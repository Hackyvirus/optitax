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br-automation\data\inputs\june\"/>
    </mc:Choice>
  </mc:AlternateContent>
  <xr:revisionPtr revIDLastSave="0" documentId="13_ncr:1_{D9D11C66-26BD-41E7-9B2A-0C48317E9EDE}" xr6:coauthVersionLast="47" xr6:coauthVersionMax="47" xr10:uidLastSave="{00000000-0000-0000-0000-000000000000}"/>
  <bookViews>
    <workbookView xWindow="-120" yWindow="-120" windowWidth="20730" windowHeight="11040" xr2:uid="{1FADF5C9-03FE-44C3-B6FC-EFE4F645400D}"/>
  </bookViews>
  <sheets>
    <sheet name="Conso Utilization from Apr 25" sheetId="28" r:id="rId1"/>
  </sheets>
  <definedNames>
    <definedName name="_xlnm._FilterDatabase" localSheetId="0" hidden="1">'Conso Utilization from Apr 25'!$A$1:$AE$2000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995" i="28" l="1"/>
  <c r="C1993" i="28"/>
  <c r="C1992" i="28"/>
  <c r="C1991" i="28"/>
  <c r="C1990" i="28"/>
  <c r="C1989" i="28"/>
  <c r="C1983" i="28"/>
  <c r="C1981" i="28"/>
  <c r="C1980" i="28"/>
  <c r="C1978" i="28"/>
  <c r="C1977" i="28"/>
  <c r="C1969" i="28"/>
  <c r="C1968" i="28"/>
  <c r="C1967" i="28"/>
  <c r="C1966" i="28"/>
  <c r="C1965" i="28"/>
  <c r="C1964" i="28"/>
  <c r="C1962" i="28"/>
  <c r="C1960" i="28"/>
  <c r="C1959" i="28"/>
  <c r="C1957" i="28"/>
  <c r="C1956" i="28"/>
  <c r="C1954" i="28"/>
  <c r="C1953" i="28"/>
  <c r="C1952" i="28"/>
  <c r="C1950" i="28"/>
  <c r="C1947" i="28"/>
  <c r="C1946" i="28"/>
  <c r="C1945" i="28"/>
  <c r="C1944" i="28"/>
  <c r="C1943" i="28"/>
  <c r="C1942" i="28"/>
  <c r="C1941" i="28"/>
  <c r="C1940" i="28"/>
  <c r="C1938" i="28"/>
  <c r="C1935" i="28"/>
  <c r="C1933" i="28"/>
  <c r="C1932" i="28"/>
  <c r="C1931" i="28"/>
  <c r="C1929" i="28"/>
  <c r="C1928" i="28"/>
  <c r="C1926" i="28"/>
  <c r="C1924" i="28"/>
  <c r="C1921" i="28"/>
  <c r="C1920" i="28"/>
  <c r="C1919" i="28"/>
  <c r="C1918" i="28"/>
  <c r="C1917" i="28"/>
  <c r="C1916" i="28"/>
  <c r="C1915" i="28"/>
  <c r="C1914" i="28"/>
  <c r="C1912" i="28"/>
  <c r="C1909" i="28"/>
  <c r="C1908" i="28"/>
  <c r="V1908" i="28"/>
  <c r="W1908" i="28" s="1"/>
  <c r="Z1908" i="28"/>
  <c r="AA1908" i="28"/>
  <c r="V1909" i="28"/>
  <c r="W1909" i="28" s="1"/>
  <c r="X1909" i="28" s="1"/>
  <c r="Y1909" i="28" s="1"/>
  <c r="AC1909" i="28" s="1"/>
  <c r="Z1909" i="28"/>
  <c r="AA1909" i="28"/>
  <c r="C1910" i="28"/>
  <c r="V1910" i="28"/>
  <c r="W1910" i="28" s="1"/>
  <c r="Z1910" i="28"/>
  <c r="AA1910" i="28"/>
  <c r="C1911" i="28"/>
  <c r="V1911" i="28"/>
  <c r="Z1911" i="28"/>
  <c r="AA1911" i="28"/>
  <c r="V1912" i="28"/>
  <c r="W1912" i="28" s="1"/>
  <c r="Z1912" i="28"/>
  <c r="AA1912" i="28"/>
  <c r="C1913" i="28"/>
  <c r="V1913" i="28"/>
  <c r="W1913" i="28" s="1"/>
  <c r="Z1913" i="28"/>
  <c r="AA1913" i="28"/>
  <c r="V1914" i="28"/>
  <c r="W1914" i="28" s="1"/>
  <c r="Z1914" i="28"/>
  <c r="AA1914" i="28"/>
  <c r="V1915" i="28"/>
  <c r="W1915" i="28" s="1"/>
  <c r="X1915" i="28" s="1"/>
  <c r="Y1915" i="28" s="1"/>
  <c r="AC1915" i="28" s="1"/>
  <c r="Z1915" i="28"/>
  <c r="AA1915" i="28"/>
  <c r="V1916" i="28"/>
  <c r="W1916" i="28" s="1"/>
  <c r="X1916" i="28" s="1"/>
  <c r="Y1916" i="28" s="1"/>
  <c r="AC1916" i="28" s="1"/>
  <c r="Z1916" i="28"/>
  <c r="AA1916" i="28"/>
  <c r="V1917" i="28"/>
  <c r="W1917" i="28" s="1"/>
  <c r="Z1917" i="28"/>
  <c r="AA1917" i="28"/>
  <c r="V1918" i="28"/>
  <c r="W1918" i="28" s="1"/>
  <c r="Z1918" i="28"/>
  <c r="AA1918" i="28"/>
  <c r="V1919" i="28"/>
  <c r="W1919" i="28" s="1"/>
  <c r="Z1919" i="28"/>
  <c r="AA1919" i="28"/>
  <c r="V1920" i="28"/>
  <c r="W1920" i="28" s="1"/>
  <c r="Z1920" i="28"/>
  <c r="AA1920" i="28"/>
  <c r="V1921" i="28"/>
  <c r="W1921" i="28" s="1"/>
  <c r="X1921" i="28" s="1"/>
  <c r="Y1921" i="28" s="1"/>
  <c r="AC1921" i="28" s="1"/>
  <c r="Z1921" i="28"/>
  <c r="AA1921" i="28"/>
  <c r="C1922" i="28"/>
  <c r="V1922" i="28"/>
  <c r="W1922" i="28" s="1"/>
  <c r="Z1922" i="28"/>
  <c r="AA1922" i="28"/>
  <c r="C1923" i="28"/>
  <c r="V1923" i="28"/>
  <c r="Z1923" i="28"/>
  <c r="AA1923" i="28"/>
  <c r="V1924" i="28"/>
  <c r="W1924" i="28" s="1"/>
  <c r="Z1924" i="28"/>
  <c r="AA1924" i="28"/>
  <c r="C1925" i="28"/>
  <c r="V1925" i="28"/>
  <c r="W1925" i="28" s="1"/>
  <c r="X1925" i="28" s="1"/>
  <c r="Y1925" i="28" s="1"/>
  <c r="AC1925" i="28" s="1"/>
  <c r="Z1925" i="28"/>
  <c r="AA1925" i="28"/>
  <c r="V1926" i="28"/>
  <c r="W1926" i="28" s="1"/>
  <c r="X1926" i="28" s="1"/>
  <c r="Y1926" i="28" s="1"/>
  <c r="AC1926" i="28" s="1"/>
  <c r="Z1926" i="28"/>
  <c r="AA1926" i="28"/>
  <c r="C1927" i="28"/>
  <c r="V1927" i="28"/>
  <c r="W1927" i="28" s="1"/>
  <c r="X1927" i="28" s="1"/>
  <c r="Y1927" i="28" s="1"/>
  <c r="AC1927" i="28" s="1"/>
  <c r="Z1927" i="28"/>
  <c r="AA1927" i="28"/>
  <c r="V1928" i="28"/>
  <c r="W1928" i="28" s="1"/>
  <c r="X1928" i="28" s="1"/>
  <c r="Y1928" i="28" s="1"/>
  <c r="AC1928" i="28" s="1"/>
  <c r="Z1928" i="28"/>
  <c r="AA1928" i="28"/>
  <c r="V1929" i="28"/>
  <c r="W1929" i="28" s="1"/>
  <c r="Z1929" i="28"/>
  <c r="AA1929" i="28"/>
  <c r="C1930" i="28"/>
  <c r="V1930" i="28"/>
  <c r="W1930" i="28" s="1"/>
  <c r="Z1930" i="28"/>
  <c r="AA1930" i="28"/>
  <c r="V1931" i="28"/>
  <c r="W1931" i="28" s="1"/>
  <c r="Z1931" i="28"/>
  <c r="AA1931" i="28"/>
  <c r="V1932" i="28"/>
  <c r="W1932" i="28" s="1"/>
  <c r="X1932" i="28" s="1"/>
  <c r="Y1932" i="28" s="1"/>
  <c r="AC1932" i="28" s="1"/>
  <c r="Z1932" i="28"/>
  <c r="AA1932" i="28"/>
  <c r="V1933" i="28"/>
  <c r="W1933" i="28" s="1"/>
  <c r="X1933" i="28" s="1"/>
  <c r="Y1933" i="28" s="1"/>
  <c r="AC1933" i="28" s="1"/>
  <c r="Z1933" i="28"/>
  <c r="AA1933" i="28"/>
  <c r="C1934" i="28"/>
  <c r="V1934" i="28"/>
  <c r="W1934" i="28" s="1"/>
  <c r="Z1934" i="28"/>
  <c r="AA1934" i="28"/>
  <c r="V1935" i="28"/>
  <c r="Z1935" i="28"/>
  <c r="AA1935" i="28"/>
  <c r="C1936" i="28"/>
  <c r="V1936" i="28"/>
  <c r="W1936" i="28" s="1"/>
  <c r="Z1936" i="28"/>
  <c r="AA1936" i="28"/>
  <c r="C1937" i="28"/>
  <c r="V1937" i="28"/>
  <c r="W1937" i="28" s="1"/>
  <c r="X1937" i="28" s="1"/>
  <c r="Y1937" i="28" s="1"/>
  <c r="AC1937" i="28" s="1"/>
  <c r="Z1937" i="28"/>
  <c r="AA1937" i="28"/>
  <c r="V1938" i="28"/>
  <c r="W1938" i="28" s="1"/>
  <c r="Z1938" i="28"/>
  <c r="AA1938" i="28"/>
  <c r="C1939" i="28"/>
  <c r="V1939" i="28"/>
  <c r="W1939" i="28" s="1"/>
  <c r="Z1939" i="28"/>
  <c r="AA1939" i="28"/>
  <c r="V1940" i="28"/>
  <c r="W1940" i="28" s="1"/>
  <c r="X1940" i="28" s="1"/>
  <c r="Y1940" i="28" s="1"/>
  <c r="AC1940" i="28" s="1"/>
  <c r="Z1940" i="28"/>
  <c r="AA1940" i="28"/>
  <c r="V1941" i="28"/>
  <c r="W1941" i="28" s="1"/>
  <c r="X1941" i="28" s="1"/>
  <c r="Y1941" i="28" s="1"/>
  <c r="AC1941" i="28" s="1"/>
  <c r="Z1941" i="28"/>
  <c r="AA1941" i="28"/>
  <c r="V1942" i="28"/>
  <c r="W1942" i="28" s="1"/>
  <c r="X1942" i="28" s="1"/>
  <c r="Y1942" i="28" s="1"/>
  <c r="AC1942" i="28" s="1"/>
  <c r="Z1942" i="28"/>
  <c r="AA1942" i="28"/>
  <c r="V1943" i="28"/>
  <c r="W1943" i="28" s="1"/>
  <c r="Z1943" i="28"/>
  <c r="AA1943" i="28"/>
  <c r="V1944" i="28"/>
  <c r="W1944" i="28" s="1"/>
  <c r="Z1944" i="28"/>
  <c r="AA1944" i="28"/>
  <c r="V1945" i="28"/>
  <c r="W1945" i="28" s="1"/>
  <c r="X1945" i="28" s="1"/>
  <c r="Y1945" i="28" s="1"/>
  <c r="AC1945" i="28" s="1"/>
  <c r="Z1945" i="28"/>
  <c r="AA1945" i="28"/>
  <c r="V1946" i="28"/>
  <c r="W1946" i="28" s="1"/>
  <c r="Z1946" i="28"/>
  <c r="AA1946" i="28"/>
  <c r="V1947" i="28"/>
  <c r="Z1947" i="28"/>
  <c r="AA1947" i="28"/>
  <c r="C1948" i="28"/>
  <c r="V1948" i="28"/>
  <c r="W1948" i="28" s="1"/>
  <c r="Z1948" i="28"/>
  <c r="AA1948" i="28"/>
  <c r="C1949" i="28"/>
  <c r="V1949" i="28"/>
  <c r="W1949" i="28" s="1"/>
  <c r="Z1949" i="28"/>
  <c r="AA1949" i="28"/>
  <c r="V1950" i="28"/>
  <c r="W1950" i="28" s="1"/>
  <c r="X1950" i="28" s="1"/>
  <c r="Y1950" i="28" s="1"/>
  <c r="AC1950" i="28" s="1"/>
  <c r="Z1950" i="28"/>
  <c r="AA1950" i="28"/>
  <c r="C1951" i="28"/>
  <c r="V1951" i="28"/>
  <c r="W1951" i="28" s="1"/>
  <c r="Z1951" i="28"/>
  <c r="AA1951" i="28"/>
  <c r="V1952" i="28"/>
  <c r="W1952" i="28" s="1"/>
  <c r="Z1952" i="28"/>
  <c r="AA1952" i="28"/>
  <c r="V1953" i="28"/>
  <c r="W1953" i="28" s="1"/>
  <c r="X1953" i="28" s="1"/>
  <c r="Y1953" i="28" s="1"/>
  <c r="AC1953" i="28" s="1"/>
  <c r="Z1953" i="28"/>
  <c r="AA1953" i="28"/>
  <c r="V1954" i="28"/>
  <c r="W1954" i="28" s="1"/>
  <c r="X1954" i="28" s="1"/>
  <c r="Y1954" i="28" s="1"/>
  <c r="AC1954" i="28" s="1"/>
  <c r="Z1954" i="28"/>
  <c r="AA1954" i="28"/>
  <c r="C1955" i="28"/>
  <c r="V1955" i="28"/>
  <c r="W1955" i="28" s="1"/>
  <c r="Z1955" i="28"/>
  <c r="AA1955" i="28"/>
  <c r="V1956" i="28"/>
  <c r="W1956" i="28" s="1"/>
  <c r="Z1956" i="28"/>
  <c r="AA1956" i="28"/>
  <c r="V1957" i="28"/>
  <c r="W1957" i="28" s="1"/>
  <c r="X1957" i="28" s="1"/>
  <c r="Y1957" i="28" s="1"/>
  <c r="AC1957" i="28" s="1"/>
  <c r="Z1957" i="28"/>
  <c r="AA1957" i="28"/>
  <c r="C1958" i="28"/>
  <c r="V1958" i="28"/>
  <c r="W1958" i="28" s="1"/>
  <c r="Z1958" i="28"/>
  <c r="AA1958" i="28"/>
  <c r="V1959" i="28"/>
  <c r="Z1959" i="28"/>
  <c r="AA1959" i="28"/>
  <c r="V1960" i="28"/>
  <c r="W1960" i="28" s="1"/>
  <c r="Z1960" i="28"/>
  <c r="AA1960" i="28"/>
  <c r="C1961" i="28"/>
  <c r="V1961" i="28"/>
  <c r="W1961" i="28" s="1"/>
  <c r="Z1961" i="28"/>
  <c r="AA1961" i="28"/>
  <c r="V1962" i="28"/>
  <c r="W1962" i="28" s="1"/>
  <c r="Z1962" i="28"/>
  <c r="AA1962" i="28"/>
  <c r="C1963" i="28"/>
  <c r="V1963" i="28"/>
  <c r="W1963" i="28" s="1"/>
  <c r="X1963" i="28" s="1"/>
  <c r="Y1963" i="28" s="1"/>
  <c r="AC1963" i="28" s="1"/>
  <c r="Z1963" i="28"/>
  <c r="AA1963" i="28"/>
  <c r="V1964" i="28"/>
  <c r="Z1964" i="28"/>
  <c r="AA1964" i="28"/>
  <c r="V1965" i="28"/>
  <c r="W1965" i="28" s="1"/>
  <c r="Z1965" i="28"/>
  <c r="AA1965" i="28"/>
  <c r="V1966" i="28"/>
  <c r="W1966" i="28" s="1"/>
  <c r="X1966" i="28" s="1"/>
  <c r="Y1966" i="28" s="1"/>
  <c r="AC1966" i="28" s="1"/>
  <c r="Z1966" i="28"/>
  <c r="AA1966" i="28"/>
  <c r="V1967" i="28"/>
  <c r="W1967" i="28" s="1"/>
  <c r="Z1967" i="28"/>
  <c r="AA1967" i="28"/>
  <c r="V1968" i="28"/>
  <c r="W1968" i="28" s="1"/>
  <c r="X1968" i="28" s="1"/>
  <c r="Y1968" i="28" s="1"/>
  <c r="AC1968" i="28" s="1"/>
  <c r="Z1968" i="28"/>
  <c r="AA1968" i="28"/>
  <c r="V1969" i="28"/>
  <c r="W1969" i="28" s="1"/>
  <c r="X1969" i="28" s="1"/>
  <c r="Y1969" i="28" s="1"/>
  <c r="AC1969" i="28" s="1"/>
  <c r="Z1969" i="28"/>
  <c r="AA1969" i="28"/>
  <c r="C1970" i="28"/>
  <c r="V1970" i="28"/>
  <c r="W1970" i="28" s="1"/>
  <c r="Z1970" i="28"/>
  <c r="AA1970" i="28"/>
  <c r="C1971" i="28"/>
  <c r="V1971" i="28"/>
  <c r="Z1971" i="28"/>
  <c r="AA1971" i="28"/>
  <c r="C1972" i="28"/>
  <c r="V1972" i="28"/>
  <c r="W1972" i="28" s="1"/>
  <c r="Z1972" i="28"/>
  <c r="AA1972" i="28"/>
  <c r="C1973" i="28"/>
  <c r="V1973" i="28"/>
  <c r="W1973" i="28" s="1"/>
  <c r="Z1973" i="28"/>
  <c r="AA1973" i="28"/>
  <c r="C1974" i="28"/>
  <c r="V1974" i="28"/>
  <c r="W1974" i="28" s="1"/>
  <c r="Z1974" i="28"/>
  <c r="AA1974" i="28"/>
  <c r="C1975" i="28"/>
  <c r="V1975" i="28"/>
  <c r="W1975" i="28" s="1"/>
  <c r="Z1975" i="28"/>
  <c r="AA1975" i="28"/>
  <c r="C1976" i="28"/>
  <c r="V1976" i="28"/>
  <c r="W1976" i="28" s="1"/>
  <c r="Z1976" i="28"/>
  <c r="AA1976" i="28"/>
  <c r="V1977" i="28"/>
  <c r="W1977" i="28" s="1"/>
  <c r="Z1977" i="28"/>
  <c r="AA1977" i="28"/>
  <c r="V1978" i="28"/>
  <c r="W1978" i="28" s="1"/>
  <c r="X1978" i="28" s="1"/>
  <c r="Y1978" i="28" s="1"/>
  <c r="AC1978" i="28" s="1"/>
  <c r="Z1978" i="28"/>
  <c r="AA1978" i="28"/>
  <c r="C1979" i="28"/>
  <c r="V1979" i="28"/>
  <c r="W1979" i="28" s="1"/>
  <c r="Z1979" i="28"/>
  <c r="AA1979" i="28"/>
  <c r="V1980" i="28"/>
  <c r="W1980" i="28" s="1"/>
  <c r="Z1980" i="28"/>
  <c r="AA1980" i="28"/>
  <c r="V1981" i="28"/>
  <c r="W1981" i="28" s="1"/>
  <c r="X1981" i="28" s="1"/>
  <c r="Y1981" i="28" s="1"/>
  <c r="AC1981" i="28" s="1"/>
  <c r="Z1981" i="28"/>
  <c r="AA1981" i="28"/>
  <c r="C1982" i="28"/>
  <c r="V1982" i="28"/>
  <c r="W1982" i="28" s="1"/>
  <c r="Z1982" i="28"/>
  <c r="AA1982" i="28"/>
  <c r="V1983" i="28"/>
  <c r="Z1983" i="28"/>
  <c r="AA1983" i="28"/>
  <c r="C1984" i="28"/>
  <c r="V1984" i="28"/>
  <c r="Z1984" i="28"/>
  <c r="AA1984" i="28"/>
  <c r="C1985" i="28"/>
  <c r="V1985" i="28"/>
  <c r="W1985" i="28" s="1"/>
  <c r="Z1985" i="28"/>
  <c r="AA1985" i="28"/>
  <c r="C1986" i="28"/>
  <c r="V1986" i="28"/>
  <c r="W1986" i="28" s="1"/>
  <c r="X1986" i="28" s="1"/>
  <c r="Y1986" i="28" s="1"/>
  <c r="AC1986" i="28" s="1"/>
  <c r="Z1986" i="28"/>
  <c r="AA1986" i="28"/>
  <c r="C1987" i="28"/>
  <c r="V1987" i="28"/>
  <c r="W1987" i="28" s="1"/>
  <c r="Z1987" i="28"/>
  <c r="AA1987" i="28"/>
  <c r="C1988" i="28"/>
  <c r="V1988" i="28"/>
  <c r="W1988" i="28" s="1"/>
  <c r="X1988" i="28" s="1"/>
  <c r="Y1988" i="28" s="1"/>
  <c r="AC1988" i="28" s="1"/>
  <c r="Z1988" i="28"/>
  <c r="AA1988" i="28"/>
  <c r="V1989" i="28"/>
  <c r="W1989" i="28" s="1"/>
  <c r="Z1989" i="28"/>
  <c r="AA1989" i="28"/>
  <c r="V1990" i="28"/>
  <c r="W1990" i="28" s="1"/>
  <c r="X1990" i="28" s="1"/>
  <c r="Y1990" i="28" s="1"/>
  <c r="AC1990" i="28" s="1"/>
  <c r="Z1990" i="28"/>
  <c r="AA1990" i="28"/>
  <c r="V1991" i="28"/>
  <c r="W1991" i="28" s="1"/>
  <c r="Z1991" i="28"/>
  <c r="AA1991" i="28"/>
  <c r="V1992" i="28"/>
  <c r="W1992" i="28" s="1"/>
  <c r="X1992" i="28" s="1"/>
  <c r="Y1992" i="28" s="1"/>
  <c r="AC1992" i="28" s="1"/>
  <c r="Z1992" i="28"/>
  <c r="AA1992" i="28"/>
  <c r="V1993" i="28"/>
  <c r="W1993" i="28" s="1"/>
  <c r="X1993" i="28" s="1"/>
  <c r="Y1993" i="28" s="1"/>
  <c r="AC1993" i="28" s="1"/>
  <c r="Z1993" i="28"/>
  <c r="AA1993" i="28"/>
  <c r="C1994" i="28"/>
  <c r="V1994" i="28"/>
  <c r="W1994" i="28" s="1"/>
  <c r="Z1994" i="28"/>
  <c r="AA1994" i="28"/>
  <c r="V1995" i="28"/>
  <c r="Z1995" i="28"/>
  <c r="AA1995" i="28"/>
  <c r="C1996" i="28"/>
  <c r="V1996" i="28"/>
  <c r="W1996" i="28" s="1"/>
  <c r="Z1996" i="28"/>
  <c r="AA1996" i="28"/>
  <c r="C1997" i="28"/>
  <c r="V1997" i="28"/>
  <c r="Z1997" i="28"/>
  <c r="AA1997" i="28"/>
  <c r="C1998" i="28"/>
  <c r="V1998" i="28"/>
  <c r="W1998" i="28" s="1"/>
  <c r="Z1998" i="28"/>
  <c r="AA1998" i="28"/>
  <c r="C1999" i="28"/>
  <c r="V1999" i="28"/>
  <c r="W1999" i="28" s="1"/>
  <c r="X1999" i="28" s="1"/>
  <c r="Y1999" i="28" s="1"/>
  <c r="AC1999" i="28" s="1"/>
  <c r="Z1999" i="28"/>
  <c r="AA1999" i="28"/>
  <c r="C2000" i="28"/>
  <c r="V2000" i="28"/>
  <c r="W2000" i="28" s="1"/>
  <c r="Z2000" i="28"/>
  <c r="AA2000" i="28"/>
  <c r="X1929" i="28" l="1"/>
  <c r="Y1929" i="28" s="1"/>
  <c r="AC1929" i="28" s="1"/>
  <c r="W1964" i="28"/>
  <c r="X1964" i="28" s="1"/>
  <c r="Y1964" i="28" s="1"/>
  <c r="AC1964" i="28" s="1"/>
  <c r="X1944" i="28"/>
  <c r="Y1944" i="28" s="1"/>
  <c r="AC1944" i="28" s="1"/>
  <c r="X1952" i="28"/>
  <c r="Y1952" i="28" s="1"/>
  <c r="AC1952" i="28" s="1"/>
  <c r="X1917" i="28"/>
  <c r="Y1917" i="28" s="1"/>
  <c r="AC1917" i="28" s="1"/>
  <c r="X1976" i="28"/>
  <c r="Y1976" i="28" s="1"/>
  <c r="AC1976" i="28" s="1"/>
  <c r="X1956" i="28"/>
  <c r="Y1956" i="28" s="1"/>
  <c r="AC1956" i="28" s="1"/>
  <c r="X1939" i="28"/>
  <c r="Y1939" i="28" s="1"/>
  <c r="AC1939" i="28" s="1"/>
  <c r="X1908" i="28"/>
  <c r="Y1908" i="28" s="1"/>
  <c r="AC1908" i="28" s="1"/>
  <c r="X1965" i="28"/>
  <c r="Y1965" i="28" s="1"/>
  <c r="AC1965" i="28" s="1"/>
  <c r="X2000" i="28"/>
  <c r="Y2000" i="28" s="1"/>
  <c r="AC2000" i="28" s="1"/>
  <c r="X1985" i="28"/>
  <c r="Y1985" i="28" s="1"/>
  <c r="AC1985" i="28" s="1"/>
  <c r="X1980" i="28"/>
  <c r="Y1980" i="28" s="1"/>
  <c r="AC1980" i="28" s="1"/>
  <c r="X1974" i="28"/>
  <c r="Y1974" i="28" s="1"/>
  <c r="AC1974" i="28" s="1"/>
  <c r="X1967" i="28"/>
  <c r="Y1967" i="28" s="1"/>
  <c r="AC1967" i="28" s="1"/>
  <c r="X1958" i="28"/>
  <c r="Y1958" i="28" s="1"/>
  <c r="AC1958" i="28" s="1"/>
  <c r="X1961" i="28"/>
  <c r="Y1961" i="28" s="1"/>
  <c r="AC1961" i="28" s="1"/>
  <c r="X1919" i="28"/>
  <c r="Y1919" i="28" s="1"/>
  <c r="AC1919" i="28" s="1"/>
  <c r="X1994" i="28"/>
  <c r="Y1994" i="28" s="1"/>
  <c r="AC1994" i="28" s="1"/>
  <c r="X1998" i="28"/>
  <c r="Y1998" i="28" s="1"/>
  <c r="AC1998" i="28" s="1"/>
  <c r="X1989" i="28"/>
  <c r="Y1989" i="28" s="1"/>
  <c r="AC1989" i="28" s="1"/>
  <c r="X1946" i="28"/>
  <c r="Y1946" i="28" s="1"/>
  <c r="AC1946" i="28" s="1"/>
  <c r="X1920" i="28"/>
  <c r="Y1920" i="28" s="1"/>
  <c r="AC1920" i="28" s="1"/>
  <c r="X1931" i="28"/>
  <c r="Y1931" i="28" s="1"/>
  <c r="AC1931" i="28" s="1"/>
  <c r="X1982" i="28"/>
  <c r="Y1982" i="28" s="1"/>
  <c r="AC1982" i="28" s="1"/>
  <c r="X1991" i="28"/>
  <c r="Y1991" i="28" s="1"/>
  <c r="AC1991" i="28" s="1"/>
  <c r="X1987" i="28"/>
  <c r="Y1987" i="28" s="1"/>
  <c r="AC1987" i="28" s="1"/>
  <c r="X1973" i="28"/>
  <c r="Y1973" i="28" s="1"/>
  <c r="AC1973" i="28" s="1"/>
  <c r="X1962" i="28"/>
  <c r="Y1962" i="28" s="1"/>
  <c r="AC1962" i="28" s="1"/>
  <c r="X1955" i="28"/>
  <c r="Y1955" i="28" s="1"/>
  <c r="AC1955" i="28" s="1"/>
  <c r="X1934" i="28"/>
  <c r="Y1934" i="28" s="1"/>
  <c r="AC1934" i="28" s="1"/>
  <c r="X1922" i="28"/>
  <c r="Y1922" i="28" s="1"/>
  <c r="AC1922" i="28" s="1"/>
  <c r="X1977" i="28"/>
  <c r="Y1977" i="28" s="1"/>
  <c r="AC1977" i="28" s="1"/>
  <c r="X1970" i="28"/>
  <c r="Y1970" i="28" s="1"/>
  <c r="AC1970" i="28" s="1"/>
  <c r="X1943" i="28"/>
  <c r="Y1943" i="28" s="1"/>
  <c r="AC1943" i="28" s="1"/>
  <c r="X1913" i="28"/>
  <c r="Y1913" i="28" s="1"/>
  <c r="AC1913" i="28" s="1"/>
  <c r="W1997" i="28"/>
  <c r="X1997" i="28" s="1"/>
  <c r="Y1997" i="28" s="1"/>
  <c r="AC1997" i="28" s="1"/>
  <c r="X1979" i="28"/>
  <c r="Y1979" i="28" s="1"/>
  <c r="AC1979" i="28" s="1"/>
  <c r="X1948" i="28"/>
  <c r="Y1948" i="28" s="1"/>
  <c r="AC1948" i="28" s="1"/>
  <c r="X1972" i="28"/>
  <c r="Y1972" i="28" s="1"/>
  <c r="AC1972" i="28" s="1"/>
  <c r="X1924" i="28"/>
  <c r="Y1924" i="28" s="1"/>
  <c r="AC1924" i="28" s="1"/>
  <c r="X1914" i="28"/>
  <c r="Y1914" i="28" s="1"/>
  <c r="AC1914" i="28" s="1"/>
  <c r="W1995" i="28"/>
  <c r="X1995" i="28" s="1"/>
  <c r="Y1995" i="28" s="1"/>
  <c r="AC1995" i="28" s="1"/>
  <c r="X1912" i="28"/>
  <c r="Y1912" i="28" s="1"/>
  <c r="AC1912" i="28" s="1"/>
  <c r="W1959" i="28"/>
  <c r="X1959" i="28" s="1"/>
  <c r="Y1959" i="28" s="1"/>
  <c r="AC1959" i="28" s="1"/>
  <c r="W1983" i="28"/>
  <c r="X1983" i="28" s="1"/>
  <c r="Y1983" i="28" s="1"/>
  <c r="AC1983" i="28" s="1"/>
  <c r="X1975" i="28"/>
  <c r="Y1975" i="28" s="1"/>
  <c r="AC1975" i="28" s="1"/>
  <c r="W1935" i="28"/>
  <c r="X1935" i="28" s="1"/>
  <c r="Y1935" i="28" s="1"/>
  <c r="AC1935" i="28" s="1"/>
  <c r="X1996" i="28"/>
  <c r="Y1996" i="28" s="1"/>
  <c r="AC1996" i="28" s="1"/>
  <c r="X1951" i="28"/>
  <c r="Y1951" i="28" s="1"/>
  <c r="AC1951" i="28" s="1"/>
  <c r="X1949" i="28"/>
  <c r="Y1949" i="28" s="1"/>
  <c r="AC1949" i="28" s="1"/>
  <c r="X1938" i="28"/>
  <c r="Y1938" i="28" s="1"/>
  <c r="AC1938" i="28" s="1"/>
  <c r="W1984" i="28"/>
  <c r="X1984" i="28" s="1"/>
  <c r="Y1984" i="28" s="1"/>
  <c r="AC1984" i="28" s="1"/>
  <c r="W1971" i="28"/>
  <c r="X1971" i="28" s="1"/>
  <c r="Y1971" i="28" s="1"/>
  <c r="AC1971" i="28" s="1"/>
  <c r="X1960" i="28"/>
  <c r="Y1960" i="28" s="1"/>
  <c r="AC1960" i="28" s="1"/>
  <c r="W1947" i="28"/>
  <c r="X1947" i="28" s="1"/>
  <c r="Y1947" i="28" s="1"/>
  <c r="AC1947" i="28" s="1"/>
  <c r="X1936" i="28"/>
  <c r="Y1936" i="28" s="1"/>
  <c r="AC1936" i="28" s="1"/>
  <c r="W1923" i="28"/>
  <c r="X1923" i="28" s="1"/>
  <c r="Y1923" i="28" s="1"/>
  <c r="AC1923" i="28" s="1"/>
  <c r="W1911" i="28"/>
  <c r="X1911" i="28" s="1"/>
  <c r="Y1911" i="28" s="1"/>
  <c r="AC1911" i="28" s="1"/>
  <c r="X1930" i="28"/>
  <c r="Y1930" i="28" s="1"/>
  <c r="AC1930" i="28" s="1"/>
  <c r="X1918" i="28"/>
  <c r="Y1918" i="28" s="1"/>
  <c r="AC1918" i="28" s="1"/>
  <c r="X1910" i="28"/>
  <c r="Y1910" i="28" s="1"/>
  <c r="AC1910" i="28" s="1"/>
  <c r="C1907" i="28" l="1"/>
  <c r="V1907" i="28"/>
  <c r="W1907" i="28" s="1"/>
  <c r="Z1907" i="28"/>
  <c r="AA1907" i="28"/>
  <c r="C1784" i="28"/>
  <c r="V1784" i="28"/>
  <c r="W1784" i="28" s="1"/>
  <c r="Z1784" i="28"/>
  <c r="AA1784" i="28"/>
  <c r="C1785" i="28"/>
  <c r="V1785" i="28"/>
  <c r="W1785" i="28" s="1"/>
  <c r="Z1785" i="28"/>
  <c r="AA1785" i="28"/>
  <c r="C1786" i="28"/>
  <c r="V1786" i="28"/>
  <c r="W1786" i="28" s="1"/>
  <c r="X1786" i="28" s="1"/>
  <c r="Y1786" i="28" s="1"/>
  <c r="AC1786" i="28" s="1"/>
  <c r="Z1786" i="28"/>
  <c r="AA1786" i="28"/>
  <c r="C1787" i="28"/>
  <c r="V1787" i="28"/>
  <c r="W1787" i="28" s="1"/>
  <c r="Z1787" i="28"/>
  <c r="AA1787" i="28"/>
  <c r="C1788" i="28"/>
  <c r="V1788" i="28"/>
  <c r="Z1788" i="28"/>
  <c r="AA1788" i="28"/>
  <c r="C1789" i="28"/>
  <c r="V1789" i="28"/>
  <c r="W1789" i="28" s="1"/>
  <c r="Z1789" i="28"/>
  <c r="AA1789" i="28"/>
  <c r="C1790" i="28"/>
  <c r="V1790" i="28"/>
  <c r="W1790" i="28" s="1"/>
  <c r="Z1790" i="28"/>
  <c r="AA1790" i="28"/>
  <c r="C1791" i="28"/>
  <c r="V1791" i="28"/>
  <c r="W1791" i="28" s="1"/>
  <c r="Z1791" i="28"/>
  <c r="AA1791" i="28"/>
  <c r="C1792" i="28"/>
  <c r="V1792" i="28"/>
  <c r="W1792" i="28" s="1"/>
  <c r="Z1792" i="28"/>
  <c r="AA1792" i="28"/>
  <c r="C1793" i="28"/>
  <c r="V1793" i="28"/>
  <c r="W1793" i="28" s="1"/>
  <c r="X1793" i="28" s="1"/>
  <c r="Y1793" i="28" s="1"/>
  <c r="AC1793" i="28" s="1"/>
  <c r="Z1793" i="28"/>
  <c r="AA1793" i="28"/>
  <c r="C1794" i="28"/>
  <c r="V1794" i="28"/>
  <c r="W1794" i="28" s="1"/>
  <c r="X1794" i="28" s="1"/>
  <c r="Y1794" i="28" s="1"/>
  <c r="AC1794" i="28" s="1"/>
  <c r="Z1794" i="28"/>
  <c r="AA1794" i="28"/>
  <c r="C1795" i="28"/>
  <c r="V1795" i="28"/>
  <c r="W1795" i="28" s="1"/>
  <c r="Z1795" i="28"/>
  <c r="AA1795" i="28"/>
  <c r="C1796" i="28"/>
  <c r="V1796" i="28"/>
  <c r="W1796" i="28" s="1"/>
  <c r="Z1796" i="28"/>
  <c r="AA1796" i="28"/>
  <c r="C1797" i="28"/>
  <c r="V1797" i="28"/>
  <c r="W1797" i="28" s="1"/>
  <c r="Z1797" i="28"/>
  <c r="AA1797" i="28"/>
  <c r="C1798" i="28"/>
  <c r="V1798" i="28"/>
  <c r="W1798" i="28" s="1"/>
  <c r="Z1798" i="28"/>
  <c r="AA1798" i="28"/>
  <c r="C1799" i="28"/>
  <c r="V1799" i="28"/>
  <c r="Z1799" i="28"/>
  <c r="AA1799" i="28"/>
  <c r="C1800" i="28"/>
  <c r="V1800" i="28"/>
  <c r="Z1800" i="28"/>
  <c r="AA1800" i="28"/>
  <c r="C1801" i="28"/>
  <c r="V1801" i="28"/>
  <c r="W1801" i="28" s="1"/>
  <c r="Z1801" i="28"/>
  <c r="AA1801" i="28"/>
  <c r="C1802" i="28"/>
  <c r="V1802" i="28"/>
  <c r="W1802" i="28" s="1"/>
  <c r="Z1802" i="28"/>
  <c r="AA1802" i="28"/>
  <c r="C1803" i="28"/>
  <c r="V1803" i="28"/>
  <c r="W1803" i="28" s="1"/>
  <c r="Z1803" i="28"/>
  <c r="AA1803" i="28"/>
  <c r="C1804" i="28"/>
  <c r="V1804" i="28"/>
  <c r="W1804" i="28" s="1"/>
  <c r="Z1804" i="28"/>
  <c r="AA1804" i="28"/>
  <c r="C1805" i="28"/>
  <c r="V1805" i="28"/>
  <c r="W1805" i="28" s="1"/>
  <c r="X1805" i="28" s="1"/>
  <c r="Y1805" i="28" s="1"/>
  <c r="AC1805" i="28" s="1"/>
  <c r="Z1805" i="28"/>
  <c r="AA1805" i="28"/>
  <c r="C1806" i="28"/>
  <c r="V1806" i="28"/>
  <c r="W1806" i="28" s="1"/>
  <c r="X1806" i="28" s="1"/>
  <c r="Y1806" i="28" s="1"/>
  <c r="AC1806" i="28" s="1"/>
  <c r="Z1806" i="28"/>
  <c r="AA1806" i="28"/>
  <c r="C1807" i="28"/>
  <c r="V1807" i="28"/>
  <c r="W1807" i="28" s="1"/>
  <c r="Z1807" i="28"/>
  <c r="AA1807" i="28"/>
  <c r="C1808" i="28"/>
  <c r="V1808" i="28"/>
  <c r="W1808" i="28" s="1"/>
  <c r="Z1808" i="28"/>
  <c r="AA1808" i="28"/>
  <c r="C1809" i="28"/>
  <c r="V1809" i="28"/>
  <c r="W1809" i="28" s="1"/>
  <c r="Z1809" i="28"/>
  <c r="AA1809" i="28"/>
  <c r="C1810" i="28"/>
  <c r="V1810" i="28"/>
  <c r="W1810" i="28" s="1"/>
  <c r="Z1810" i="28"/>
  <c r="AA1810" i="28"/>
  <c r="C1811" i="28"/>
  <c r="V1811" i="28"/>
  <c r="W1811" i="28" s="1"/>
  <c r="X1811" i="28" s="1"/>
  <c r="Y1811" i="28" s="1"/>
  <c r="AC1811" i="28" s="1"/>
  <c r="Z1811" i="28"/>
  <c r="AA1811" i="28"/>
  <c r="C1812" i="28"/>
  <c r="V1812" i="28"/>
  <c r="Z1812" i="28"/>
  <c r="AA1812" i="28"/>
  <c r="C1813" i="28"/>
  <c r="V1813" i="28"/>
  <c r="W1813" i="28" s="1"/>
  <c r="Z1813" i="28"/>
  <c r="AA1813" i="28"/>
  <c r="C1814" i="28"/>
  <c r="V1814" i="28"/>
  <c r="W1814" i="28" s="1"/>
  <c r="Z1814" i="28"/>
  <c r="AA1814" i="28"/>
  <c r="C1815" i="28"/>
  <c r="V1815" i="28"/>
  <c r="W1815" i="28" s="1"/>
  <c r="Z1815" i="28"/>
  <c r="AA1815" i="28"/>
  <c r="C1816" i="28"/>
  <c r="V1816" i="28"/>
  <c r="Z1816" i="28"/>
  <c r="AA1816" i="28"/>
  <c r="C1817" i="28"/>
  <c r="V1817" i="28"/>
  <c r="W1817" i="28" s="1"/>
  <c r="X1817" i="28" s="1"/>
  <c r="Y1817" i="28" s="1"/>
  <c r="AC1817" i="28" s="1"/>
  <c r="Z1817" i="28"/>
  <c r="AA1817" i="28"/>
  <c r="C1818" i="28"/>
  <c r="V1818" i="28"/>
  <c r="W1818" i="28" s="1"/>
  <c r="X1818" i="28" s="1"/>
  <c r="Y1818" i="28" s="1"/>
  <c r="AC1818" i="28" s="1"/>
  <c r="Z1818" i="28"/>
  <c r="AA1818" i="28"/>
  <c r="C1819" i="28"/>
  <c r="V1819" i="28"/>
  <c r="W1819" i="28" s="1"/>
  <c r="Z1819" i="28"/>
  <c r="AA1819" i="28"/>
  <c r="C1820" i="28"/>
  <c r="V1820" i="28"/>
  <c r="W1820" i="28" s="1"/>
  <c r="Z1820" i="28"/>
  <c r="AA1820" i="28"/>
  <c r="C1821" i="28"/>
  <c r="V1821" i="28"/>
  <c r="W1821" i="28" s="1"/>
  <c r="Z1821" i="28"/>
  <c r="AA1821" i="28"/>
  <c r="C1822" i="28"/>
  <c r="V1822" i="28"/>
  <c r="W1822" i="28" s="1"/>
  <c r="Z1822" i="28"/>
  <c r="AA1822" i="28"/>
  <c r="C1823" i="28"/>
  <c r="V1823" i="28"/>
  <c r="W1823" i="28" s="1"/>
  <c r="Z1823" i="28"/>
  <c r="AA1823" i="28"/>
  <c r="C1824" i="28"/>
  <c r="V1824" i="28"/>
  <c r="Z1824" i="28"/>
  <c r="AA1824" i="28"/>
  <c r="C1825" i="28"/>
  <c r="V1825" i="28"/>
  <c r="W1825" i="28" s="1"/>
  <c r="Z1825" i="28"/>
  <c r="AA1825" i="28"/>
  <c r="C1826" i="28"/>
  <c r="V1826" i="28"/>
  <c r="W1826" i="28" s="1"/>
  <c r="Z1826" i="28"/>
  <c r="AA1826" i="28"/>
  <c r="C1827" i="28"/>
  <c r="V1827" i="28"/>
  <c r="W1827" i="28" s="1"/>
  <c r="Z1827" i="28"/>
  <c r="AA1827" i="28"/>
  <c r="C1828" i="28"/>
  <c r="V1828" i="28"/>
  <c r="W1828" i="28" s="1"/>
  <c r="Z1828" i="28"/>
  <c r="AA1828" i="28"/>
  <c r="C1829" i="28"/>
  <c r="V1829" i="28"/>
  <c r="W1829" i="28" s="1"/>
  <c r="Z1829" i="28"/>
  <c r="AA1829" i="28"/>
  <c r="C1830" i="28"/>
  <c r="V1830" i="28"/>
  <c r="W1830" i="28" s="1"/>
  <c r="Z1830" i="28"/>
  <c r="AA1830" i="28"/>
  <c r="C1831" i="28"/>
  <c r="V1831" i="28"/>
  <c r="W1831" i="28" s="1"/>
  <c r="X1831" i="28" s="1"/>
  <c r="Y1831" i="28" s="1"/>
  <c r="AC1831" i="28" s="1"/>
  <c r="Z1831" i="28"/>
  <c r="AA1831" i="28"/>
  <c r="C1832" i="28"/>
  <c r="V1832" i="28"/>
  <c r="W1832" i="28" s="1"/>
  <c r="Z1832" i="28"/>
  <c r="AA1832" i="28"/>
  <c r="C1833" i="28"/>
  <c r="V1833" i="28"/>
  <c r="Z1833" i="28"/>
  <c r="AA1833" i="28"/>
  <c r="C1834" i="28"/>
  <c r="V1834" i="28"/>
  <c r="W1834" i="28" s="1"/>
  <c r="X1834" i="28" s="1"/>
  <c r="Y1834" i="28" s="1"/>
  <c r="AC1834" i="28" s="1"/>
  <c r="Z1834" i="28"/>
  <c r="AA1834" i="28"/>
  <c r="C1835" i="28"/>
  <c r="V1835" i="28"/>
  <c r="W1835" i="28" s="1"/>
  <c r="X1835" i="28" s="1"/>
  <c r="Y1835" i="28" s="1"/>
  <c r="AC1835" i="28" s="1"/>
  <c r="Z1835" i="28"/>
  <c r="AA1835" i="28"/>
  <c r="C1836" i="28"/>
  <c r="V1836" i="28"/>
  <c r="Z1836" i="28"/>
  <c r="AA1836" i="28"/>
  <c r="C1837" i="28"/>
  <c r="V1837" i="28"/>
  <c r="W1837" i="28" s="1"/>
  <c r="Z1837" i="28"/>
  <c r="AA1837" i="28"/>
  <c r="C1838" i="28"/>
  <c r="V1838" i="28"/>
  <c r="W1838" i="28" s="1"/>
  <c r="X1838" i="28" s="1"/>
  <c r="Y1838" i="28" s="1"/>
  <c r="AC1838" i="28" s="1"/>
  <c r="Z1838" i="28"/>
  <c r="AA1838" i="28"/>
  <c r="C1839" i="28"/>
  <c r="V1839" i="28"/>
  <c r="Z1839" i="28"/>
  <c r="AA1839" i="28"/>
  <c r="C1840" i="28"/>
  <c r="V1840" i="28"/>
  <c r="W1840" i="28" s="1"/>
  <c r="X1840" i="28" s="1"/>
  <c r="Y1840" i="28" s="1"/>
  <c r="AC1840" i="28" s="1"/>
  <c r="Z1840" i="28"/>
  <c r="AA1840" i="28"/>
  <c r="C1841" i="28"/>
  <c r="V1841" i="28"/>
  <c r="W1841" i="28" s="1"/>
  <c r="Z1841" i="28"/>
  <c r="AA1841" i="28"/>
  <c r="C1842" i="28"/>
  <c r="V1842" i="28"/>
  <c r="W1842" i="28" s="1"/>
  <c r="X1842" i="28" s="1"/>
  <c r="Y1842" i="28" s="1"/>
  <c r="AC1842" i="28" s="1"/>
  <c r="Z1842" i="28"/>
  <c r="AA1842" i="28"/>
  <c r="C1843" i="28"/>
  <c r="V1843" i="28"/>
  <c r="W1843" i="28" s="1"/>
  <c r="Z1843" i="28"/>
  <c r="AA1843" i="28"/>
  <c r="C1844" i="28"/>
  <c r="V1844" i="28"/>
  <c r="W1844" i="28" s="1"/>
  <c r="Z1844" i="28"/>
  <c r="AA1844" i="28"/>
  <c r="C1845" i="28"/>
  <c r="V1845" i="28"/>
  <c r="W1845" i="28" s="1"/>
  <c r="Z1845" i="28"/>
  <c r="AA1845" i="28"/>
  <c r="C1846" i="28"/>
  <c r="V1846" i="28"/>
  <c r="Z1846" i="28"/>
  <c r="AA1846" i="28"/>
  <c r="C1847" i="28"/>
  <c r="V1847" i="28"/>
  <c r="W1847" i="28" s="1"/>
  <c r="X1847" i="28" s="1"/>
  <c r="Y1847" i="28" s="1"/>
  <c r="AC1847" i="28" s="1"/>
  <c r="Z1847" i="28"/>
  <c r="AA1847" i="28"/>
  <c r="C1848" i="28"/>
  <c r="V1848" i="28"/>
  <c r="Z1848" i="28"/>
  <c r="AA1848" i="28"/>
  <c r="C1849" i="28"/>
  <c r="V1849" i="28"/>
  <c r="W1849" i="28" s="1"/>
  <c r="Z1849" i="28"/>
  <c r="AA1849" i="28"/>
  <c r="C1850" i="28"/>
  <c r="V1850" i="28"/>
  <c r="Z1850" i="28"/>
  <c r="AA1850" i="28"/>
  <c r="C1851" i="28"/>
  <c r="V1851" i="28"/>
  <c r="W1851" i="28" s="1"/>
  <c r="X1851" i="28" s="1"/>
  <c r="Y1851" i="28" s="1"/>
  <c r="AC1851" i="28" s="1"/>
  <c r="Z1851" i="28"/>
  <c r="AA1851" i="28"/>
  <c r="C1852" i="28"/>
  <c r="V1852" i="28"/>
  <c r="W1852" i="28" s="1"/>
  <c r="Z1852" i="28"/>
  <c r="AA1852" i="28"/>
  <c r="C1853" i="28"/>
  <c r="V1853" i="28"/>
  <c r="W1853" i="28" s="1"/>
  <c r="X1853" i="28" s="1"/>
  <c r="Y1853" i="28" s="1"/>
  <c r="AC1853" i="28" s="1"/>
  <c r="Z1853" i="28"/>
  <c r="AA1853" i="28"/>
  <c r="C1854" i="28"/>
  <c r="V1854" i="28"/>
  <c r="W1854" i="28" s="1"/>
  <c r="X1854" i="28" s="1"/>
  <c r="Y1854" i="28" s="1"/>
  <c r="AC1854" i="28" s="1"/>
  <c r="Z1854" i="28"/>
  <c r="AA1854" i="28"/>
  <c r="C1855" i="28"/>
  <c r="V1855" i="28"/>
  <c r="W1855" i="28" s="1"/>
  <c r="Z1855" i="28"/>
  <c r="AA1855" i="28"/>
  <c r="C1856" i="28"/>
  <c r="V1856" i="28"/>
  <c r="Z1856" i="28"/>
  <c r="AA1856" i="28"/>
  <c r="C1857" i="28"/>
  <c r="V1857" i="28"/>
  <c r="W1857" i="28" s="1"/>
  <c r="Z1857" i="28"/>
  <c r="AA1857" i="28"/>
  <c r="C1858" i="28"/>
  <c r="V1858" i="28"/>
  <c r="W1858" i="28" s="1"/>
  <c r="X1858" i="28" s="1"/>
  <c r="Y1858" i="28" s="1"/>
  <c r="AC1858" i="28" s="1"/>
  <c r="Z1858" i="28"/>
  <c r="AA1858" i="28"/>
  <c r="C1859" i="28"/>
  <c r="V1859" i="28"/>
  <c r="Z1859" i="28"/>
  <c r="AA1859" i="28"/>
  <c r="C1860" i="28"/>
  <c r="V1860" i="28"/>
  <c r="Z1860" i="28"/>
  <c r="AA1860" i="28"/>
  <c r="C1861" i="28"/>
  <c r="V1861" i="28"/>
  <c r="W1861" i="28" s="1"/>
  <c r="Z1861" i="28"/>
  <c r="AA1861" i="28"/>
  <c r="C1862" i="28"/>
  <c r="V1862" i="28"/>
  <c r="W1862" i="28" s="1"/>
  <c r="Z1862" i="28"/>
  <c r="AA1862" i="28"/>
  <c r="C1863" i="28"/>
  <c r="V1863" i="28"/>
  <c r="W1863" i="28" s="1"/>
  <c r="X1863" i="28" s="1"/>
  <c r="Y1863" i="28" s="1"/>
  <c r="AC1863" i="28" s="1"/>
  <c r="Z1863" i="28"/>
  <c r="AA1863" i="28"/>
  <c r="C1864" i="28"/>
  <c r="V1864" i="28"/>
  <c r="W1864" i="28" s="1"/>
  <c r="Z1864" i="28"/>
  <c r="AA1864" i="28"/>
  <c r="C1865" i="28"/>
  <c r="V1865" i="28"/>
  <c r="W1865" i="28" s="1"/>
  <c r="X1865" i="28" s="1"/>
  <c r="Y1865" i="28" s="1"/>
  <c r="AC1865" i="28" s="1"/>
  <c r="Z1865" i="28"/>
  <c r="AA1865" i="28"/>
  <c r="C1866" i="28"/>
  <c r="V1866" i="28"/>
  <c r="W1866" i="28" s="1"/>
  <c r="Z1866" i="28"/>
  <c r="AA1866" i="28"/>
  <c r="C1867" i="28"/>
  <c r="V1867" i="28"/>
  <c r="W1867" i="28" s="1"/>
  <c r="Z1867" i="28"/>
  <c r="AA1867" i="28"/>
  <c r="C1868" i="28"/>
  <c r="V1868" i="28"/>
  <c r="W1868" i="28" s="1"/>
  <c r="Z1868" i="28"/>
  <c r="AA1868" i="28"/>
  <c r="C1869" i="28"/>
  <c r="V1869" i="28"/>
  <c r="W1869" i="28" s="1"/>
  <c r="Z1869" i="28"/>
  <c r="AA1869" i="28"/>
  <c r="C1870" i="28"/>
  <c r="V1870" i="28"/>
  <c r="W1870" i="28" s="1"/>
  <c r="X1870" i="28" s="1"/>
  <c r="Y1870" i="28" s="1"/>
  <c r="AC1870" i="28" s="1"/>
  <c r="Z1870" i="28"/>
  <c r="AA1870" i="28"/>
  <c r="C1871" i="28"/>
  <c r="V1871" i="28"/>
  <c r="W1871" i="28" s="1"/>
  <c r="Z1871" i="28"/>
  <c r="AA1871" i="28"/>
  <c r="C1872" i="28"/>
  <c r="V1872" i="28"/>
  <c r="Z1872" i="28"/>
  <c r="AA1872" i="28"/>
  <c r="C1873" i="28"/>
  <c r="V1873" i="28"/>
  <c r="W1873" i="28" s="1"/>
  <c r="Z1873" i="28"/>
  <c r="AA1873" i="28"/>
  <c r="C1874" i="28"/>
  <c r="V1874" i="28"/>
  <c r="W1874" i="28" s="1"/>
  <c r="X1874" i="28" s="1"/>
  <c r="Y1874" i="28" s="1"/>
  <c r="AC1874" i="28" s="1"/>
  <c r="Z1874" i="28"/>
  <c r="AA1874" i="28"/>
  <c r="C1875" i="28"/>
  <c r="V1875" i="28"/>
  <c r="W1875" i="28" s="1"/>
  <c r="Z1875" i="28"/>
  <c r="AA1875" i="28"/>
  <c r="C1876" i="28"/>
  <c r="V1876" i="28"/>
  <c r="W1876" i="28" s="1"/>
  <c r="X1876" i="28" s="1"/>
  <c r="Y1876" i="28" s="1"/>
  <c r="AC1876" i="28" s="1"/>
  <c r="Z1876" i="28"/>
  <c r="AA1876" i="28"/>
  <c r="C1877" i="28"/>
  <c r="V1877" i="28"/>
  <c r="W1877" i="28" s="1"/>
  <c r="Z1877" i="28"/>
  <c r="AA1877" i="28"/>
  <c r="C1878" i="28"/>
  <c r="V1878" i="28"/>
  <c r="W1878" i="28" s="1"/>
  <c r="Z1878" i="28"/>
  <c r="AA1878" i="28"/>
  <c r="C1879" i="28"/>
  <c r="V1879" i="28"/>
  <c r="W1879" i="28" s="1"/>
  <c r="X1879" i="28" s="1"/>
  <c r="Y1879" i="28" s="1"/>
  <c r="AC1879" i="28" s="1"/>
  <c r="Z1879" i="28"/>
  <c r="AA1879" i="28"/>
  <c r="C1880" i="28"/>
  <c r="V1880" i="28"/>
  <c r="W1880" i="28" s="1"/>
  <c r="X1880" i="28" s="1"/>
  <c r="Y1880" i="28" s="1"/>
  <c r="AC1880" i="28" s="1"/>
  <c r="Z1880" i="28"/>
  <c r="AA1880" i="28"/>
  <c r="C1881" i="28"/>
  <c r="V1881" i="28"/>
  <c r="W1881" i="28" s="1"/>
  <c r="X1881" i="28" s="1"/>
  <c r="Y1881" i="28" s="1"/>
  <c r="AC1881" i="28" s="1"/>
  <c r="Z1881" i="28"/>
  <c r="AA1881" i="28"/>
  <c r="C1882" i="28"/>
  <c r="V1882" i="28"/>
  <c r="W1882" i="28" s="1"/>
  <c r="X1882" i="28" s="1"/>
  <c r="Y1882" i="28" s="1"/>
  <c r="AC1882" i="28" s="1"/>
  <c r="Z1882" i="28"/>
  <c r="AA1882" i="28"/>
  <c r="C1883" i="28"/>
  <c r="V1883" i="28"/>
  <c r="W1883" i="28" s="1"/>
  <c r="Z1883" i="28"/>
  <c r="AA1883" i="28"/>
  <c r="C1884" i="28"/>
  <c r="V1884" i="28"/>
  <c r="Z1884" i="28"/>
  <c r="AA1884" i="28"/>
  <c r="C1885" i="28"/>
  <c r="V1885" i="28"/>
  <c r="W1885" i="28" s="1"/>
  <c r="Z1885" i="28"/>
  <c r="AA1885" i="28"/>
  <c r="C1886" i="28"/>
  <c r="V1886" i="28"/>
  <c r="W1886" i="28" s="1"/>
  <c r="X1886" i="28" s="1"/>
  <c r="Y1886" i="28" s="1"/>
  <c r="AC1886" i="28" s="1"/>
  <c r="Z1886" i="28"/>
  <c r="AA1886" i="28"/>
  <c r="C1887" i="28"/>
  <c r="V1887" i="28"/>
  <c r="W1887" i="28" s="1"/>
  <c r="X1887" i="28" s="1"/>
  <c r="Y1887" i="28" s="1"/>
  <c r="AC1887" i="28" s="1"/>
  <c r="Z1887" i="28"/>
  <c r="AA1887" i="28"/>
  <c r="C1888" i="28"/>
  <c r="V1888" i="28"/>
  <c r="W1888" i="28" s="1"/>
  <c r="X1888" i="28" s="1"/>
  <c r="Y1888" i="28" s="1"/>
  <c r="AC1888" i="28" s="1"/>
  <c r="Z1888" i="28"/>
  <c r="AA1888" i="28"/>
  <c r="C1889" i="28"/>
  <c r="V1889" i="28"/>
  <c r="W1889" i="28" s="1"/>
  <c r="Z1889" i="28"/>
  <c r="AA1889" i="28"/>
  <c r="C1890" i="28"/>
  <c r="V1890" i="28"/>
  <c r="W1890" i="28" s="1"/>
  <c r="Z1890" i="28"/>
  <c r="AA1890" i="28"/>
  <c r="C1891" i="28"/>
  <c r="V1891" i="28"/>
  <c r="W1891" i="28" s="1"/>
  <c r="Z1891" i="28"/>
  <c r="AA1891" i="28"/>
  <c r="C1892" i="28"/>
  <c r="V1892" i="28"/>
  <c r="W1892" i="28" s="1"/>
  <c r="X1892" i="28" s="1"/>
  <c r="Y1892" i="28" s="1"/>
  <c r="AC1892" i="28" s="1"/>
  <c r="Z1892" i="28"/>
  <c r="AA1892" i="28"/>
  <c r="C1893" i="28"/>
  <c r="V1893" i="28"/>
  <c r="W1893" i="28" s="1"/>
  <c r="Z1893" i="28"/>
  <c r="AA1893" i="28"/>
  <c r="C1894" i="28"/>
  <c r="V1894" i="28"/>
  <c r="W1894" i="28" s="1"/>
  <c r="X1894" i="28" s="1"/>
  <c r="Y1894" i="28" s="1"/>
  <c r="AC1894" i="28" s="1"/>
  <c r="Z1894" i="28"/>
  <c r="AA1894" i="28"/>
  <c r="C1895" i="28"/>
  <c r="V1895" i="28"/>
  <c r="W1895" i="28" s="1"/>
  <c r="Z1895" i="28"/>
  <c r="AA1895" i="28"/>
  <c r="C1896" i="28"/>
  <c r="V1896" i="28"/>
  <c r="Z1896" i="28"/>
  <c r="AA1896" i="28"/>
  <c r="C1897" i="28"/>
  <c r="V1897" i="28"/>
  <c r="W1897" i="28" s="1"/>
  <c r="Z1897" i="28"/>
  <c r="AA1897" i="28"/>
  <c r="C1898" i="28"/>
  <c r="V1898" i="28"/>
  <c r="W1898" i="28" s="1"/>
  <c r="X1898" i="28" s="1"/>
  <c r="Y1898" i="28" s="1"/>
  <c r="AC1898" i="28" s="1"/>
  <c r="Z1898" i="28"/>
  <c r="AA1898" i="28"/>
  <c r="C1899" i="28"/>
  <c r="V1899" i="28"/>
  <c r="W1899" i="28" s="1"/>
  <c r="X1899" i="28" s="1"/>
  <c r="Y1899" i="28" s="1"/>
  <c r="AC1899" i="28" s="1"/>
  <c r="Z1899" i="28"/>
  <c r="AA1899" i="28"/>
  <c r="C1900" i="28"/>
  <c r="V1900" i="28"/>
  <c r="W1900" i="28" s="1"/>
  <c r="Z1900" i="28"/>
  <c r="AA1900" i="28"/>
  <c r="C1901" i="28"/>
  <c r="V1901" i="28"/>
  <c r="W1901" i="28" s="1"/>
  <c r="Z1901" i="28"/>
  <c r="AA1901" i="28"/>
  <c r="C1902" i="28"/>
  <c r="V1902" i="28"/>
  <c r="W1902" i="28" s="1"/>
  <c r="Z1902" i="28"/>
  <c r="AA1902" i="28"/>
  <c r="C1903" i="28"/>
  <c r="V1903" i="28"/>
  <c r="W1903" i="28" s="1"/>
  <c r="X1903" i="28" s="1"/>
  <c r="Y1903" i="28" s="1"/>
  <c r="AC1903" i="28" s="1"/>
  <c r="Z1903" i="28"/>
  <c r="AA1903" i="28"/>
  <c r="C1904" i="28"/>
  <c r="V1904" i="28"/>
  <c r="W1904" i="28" s="1"/>
  <c r="X1904" i="28" s="1"/>
  <c r="Y1904" i="28" s="1"/>
  <c r="AC1904" i="28" s="1"/>
  <c r="Z1904" i="28"/>
  <c r="AA1904" i="28"/>
  <c r="C1905" i="28"/>
  <c r="V1905" i="28"/>
  <c r="W1905" i="28" s="1"/>
  <c r="X1905" i="28" s="1"/>
  <c r="Y1905" i="28" s="1"/>
  <c r="AC1905" i="28" s="1"/>
  <c r="Z1905" i="28"/>
  <c r="AA1905" i="28"/>
  <c r="C1906" i="28"/>
  <c r="V1906" i="28"/>
  <c r="W1906" i="28" s="1"/>
  <c r="X1906" i="28" s="1"/>
  <c r="Y1906" i="28" s="1"/>
  <c r="AC1906" i="28" s="1"/>
  <c r="Z1906" i="28"/>
  <c r="AA1906" i="28"/>
  <c r="C1783" i="28"/>
  <c r="V1783" i="28"/>
  <c r="W1783" i="28" s="1"/>
  <c r="Z1783" i="28"/>
  <c r="AA1783" i="28"/>
  <c r="AA850" i="28"/>
  <c r="X1907" i="28" l="1"/>
  <c r="Y1907" i="28" s="1"/>
  <c r="AC1907" i="28" s="1"/>
  <c r="X1867" i="28"/>
  <c r="Y1867" i="28" s="1"/>
  <c r="AC1867" i="28" s="1"/>
  <c r="X1807" i="28"/>
  <c r="Y1807" i="28" s="1"/>
  <c r="AC1807" i="28" s="1"/>
  <c r="X1875" i="28"/>
  <c r="Y1875" i="28" s="1"/>
  <c r="AC1875" i="28" s="1"/>
  <c r="X1852" i="28"/>
  <c r="Y1852" i="28" s="1"/>
  <c r="AC1852" i="28" s="1"/>
  <c r="X1795" i="28"/>
  <c r="Y1795" i="28" s="1"/>
  <c r="AC1795" i="28" s="1"/>
  <c r="X1895" i="28"/>
  <c r="Y1895" i="28" s="1"/>
  <c r="AC1895" i="28" s="1"/>
  <c r="X1871" i="28"/>
  <c r="Y1871" i="28" s="1"/>
  <c r="AC1871" i="28" s="1"/>
  <c r="X1810" i="28"/>
  <c r="Y1810" i="28" s="1"/>
  <c r="AC1810" i="28" s="1"/>
  <c r="X1829" i="28"/>
  <c r="Y1829" i="28" s="1"/>
  <c r="AC1829" i="28" s="1"/>
  <c r="X1822" i="28"/>
  <c r="Y1822" i="28" s="1"/>
  <c r="AC1822" i="28" s="1"/>
  <c r="X1890" i="28"/>
  <c r="Y1890" i="28" s="1"/>
  <c r="AC1890" i="28" s="1"/>
  <c r="X1901" i="28"/>
  <c r="Y1901" i="28" s="1"/>
  <c r="AC1901" i="28" s="1"/>
  <c r="X1889" i="28"/>
  <c r="Y1889" i="28" s="1"/>
  <c r="AC1889" i="28" s="1"/>
  <c r="X1819" i="28"/>
  <c r="Y1819" i="28" s="1"/>
  <c r="AC1819" i="28" s="1"/>
  <c r="X1891" i="28"/>
  <c r="Y1891" i="28" s="1"/>
  <c r="AC1891" i="28" s="1"/>
  <c r="X1869" i="28"/>
  <c r="Y1869" i="28" s="1"/>
  <c r="AC1869" i="28" s="1"/>
  <c r="X1830" i="28"/>
  <c r="Y1830" i="28" s="1"/>
  <c r="AC1830" i="28" s="1"/>
  <c r="X1828" i="28"/>
  <c r="Y1828" i="28" s="1"/>
  <c r="AC1828" i="28" s="1"/>
  <c r="X1792" i="28"/>
  <c r="Y1792" i="28" s="1"/>
  <c r="AC1792" i="28" s="1"/>
  <c r="X1787" i="28"/>
  <c r="Y1787" i="28" s="1"/>
  <c r="AC1787" i="28" s="1"/>
  <c r="X1843" i="28"/>
  <c r="Y1843" i="28" s="1"/>
  <c r="AC1843" i="28" s="1"/>
  <c r="X1864" i="28"/>
  <c r="Y1864" i="28" s="1"/>
  <c r="AC1864" i="28" s="1"/>
  <c r="X1823" i="28"/>
  <c r="Y1823" i="28" s="1"/>
  <c r="AC1823" i="28" s="1"/>
  <c r="X1866" i="28"/>
  <c r="Y1866" i="28" s="1"/>
  <c r="AC1866" i="28" s="1"/>
  <c r="X1798" i="28"/>
  <c r="Y1798" i="28" s="1"/>
  <c r="AC1798" i="28" s="1"/>
  <c r="X1803" i="28"/>
  <c r="Y1803" i="28" s="1"/>
  <c r="AC1803" i="28" s="1"/>
  <c r="W1859" i="28"/>
  <c r="X1859" i="28" s="1"/>
  <c r="Y1859" i="28" s="1"/>
  <c r="AC1859" i="28" s="1"/>
  <c r="W1850" i="28"/>
  <c r="X1850" i="28" s="1"/>
  <c r="Y1850" i="28" s="1"/>
  <c r="AC1850" i="28" s="1"/>
  <c r="W1846" i="28"/>
  <c r="X1846" i="28" s="1"/>
  <c r="Y1846" i="28" s="1"/>
  <c r="AC1846" i="28" s="1"/>
  <c r="W1816" i="28"/>
  <c r="X1816" i="28" s="1"/>
  <c r="Y1816" i="28" s="1"/>
  <c r="AC1816" i="28" s="1"/>
  <c r="W1799" i="28"/>
  <c r="X1799" i="28" s="1"/>
  <c r="Y1799" i="28" s="1"/>
  <c r="AC1799" i="28" s="1"/>
  <c r="X1791" i="28"/>
  <c r="Y1791" i="28" s="1"/>
  <c r="AC1791" i="28" s="1"/>
  <c r="X1797" i="28"/>
  <c r="Y1797" i="28" s="1"/>
  <c r="AC1797" i="28" s="1"/>
  <c r="X1893" i="28"/>
  <c r="Y1893" i="28" s="1"/>
  <c r="AC1893" i="28" s="1"/>
  <c r="X1877" i="28"/>
  <c r="Y1877" i="28" s="1"/>
  <c r="AC1877" i="28" s="1"/>
  <c r="X1809" i="28"/>
  <c r="Y1809" i="28" s="1"/>
  <c r="AC1809" i="28" s="1"/>
  <c r="X1862" i="28"/>
  <c r="Y1862" i="28" s="1"/>
  <c r="AC1862" i="28" s="1"/>
  <c r="X1845" i="28"/>
  <c r="Y1845" i="28" s="1"/>
  <c r="AC1845" i="28" s="1"/>
  <c r="X1815" i="28"/>
  <c r="Y1815" i="28" s="1"/>
  <c r="AC1815" i="28" s="1"/>
  <c r="X1900" i="28"/>
  <c r="Y1900" i="28" s="1"/>
  <c r="AC1900" i="28" s="1"/>
  <c r="X1883" i="28"/>
  <c r="Y1883" i="28" s="1"/>
  <c r="AC1883" i="28" s="1"/>
  <c r="X1821" i="28"/>
  <c r="Y1821" i="28" s="1"/>
  <c r="AC1821" i="28" s="1"/>
  <c r="X1804" i="28"/>
  <c r="Y1804" i="28" s="1"/>
  <c r="AC1804" i="28" s="1"/>
  <c r="X1802" i="28"/>
  <c r="Y1802" i="28" s="1"/>
  <c r="AC1802" i="28" s="1"/>
  <c r="X1826" i="28"/>
  <c r="Y1826" i="28" s="1"/>
  <c r="AC1826" i="28" s="1"/>
  <c r="X1841" i="28"/>
  <c r="Y1841" i="28" s="1"/>
  <c r="AC1841" i="28" s="1"/>
  <c r="X1827" i="28"/>
  <c r="Y1827" i="28" s="1"/>
  <c r="AC1827" i="28" s="1"/>
  <c r="X1855" i="28"/>
  <c r="Y1855" i="28" s="1"/>
  <c r="AC1855" i="28" s="1"/>
  <c r="W1833" i="28"/>
  <c r="X1833" i="28" s="1"/>
  <c r="Y1833" i="28" s="1"/>
  <c r="AC1833" i="28" s="1"/>
  <c r="X1814" i="28"/>
  <c r="Y1814" i="28" s="1"/>
  <c r="AC1814" i="28" s="1"/>
  <c r="X1878" i="28"/>
  <c r="Y1878" i="28" s="1"/>
  <c r="AC1878" i="28" s="1"/>
  <c r="W1884" i="28"/>
  <c r="X1884" i="28" s="1"/>
  <c r="Y1884" i="28" s="1"/>
  <c r="AC1884" i="28" s="1"/>
  <c r="X1902" i="28"/>
  <c r="Y1902" i="28" s="1"/>
  <c r="AC1902" i="28" s="1"/>
  <c r="X1825" i="28"/>
  <c r="Y1825" i="28" s="1"/>
  <c r="AC1825" i="28" s="1"/>
  <c r="W1872" i="28"/>
  <c r="X1872" i="28" s="1"/>
  <c r="Y1872" i="28" s="1"/>
  <c r="AC1872" i="28" s="1"/>
  <c r="W1856" i="28"/>
  <c r="X1856" i="28" s="1"/>
  <c r="Y1856" i="28" s="1"/>
  <c r="AC1856" i="28" s="1"/>
  <c r="X1873" i="28"/>
  <c r="Y1873" i="28" s="1"/>
  <c r="AC1873" i="28" s="1"/>
  <c r="X1861" i="28"/>
  <c r="Y1861" i="28" s="1"/>
  <c r="AC1861" i="28" s="1"/>
  <c r="W1839" i="28"/>
  <c r="X1839" i="28" s="1"/>
  <c r="Y1839" i="28" s="1"/>
  <c r="AC1839" i="28" s="1"/>
  <c r="X1868" i="28"/>
  <c r="Y1868" i="28" s="1"/>
  <c r="AC1868" i="28" s="1"/>
  <c r="W1896" i="28"/>
  <c r="X1896" i="28" s="1"/>
  <c r="Y1896" i="28" s="1"/>
  <c r="AC1896" i="28" s="1"/>
  <c r="X1885" i="28"/>
  <c r="Y1885" i="28" s="1"/>
  <c r="AC1885" i="28" s="1"/>
  <c r="X1790" i="28"/>
  <c r="Y1790" i="28" s="1"/>
  <c r="AC1790" i="28" s="1"/>
  <c r="X1857" i="28"/>
  <c r="Y1857" i="28" s="1"/>
  <c r="AC1857" i="28" s="1"/>
  <c r="X1849" i="28"/>
  <c r="Y1849" i="28" s="1"/>
  <c r="AC1849" i="28" s="1"/>
  <c r="X1801" i="28"/>
  <c r="Y1801" i="28" s="1"/>
  <c r="AC1801" i="28" s="1"/>
  <c r="X1813" i="28"/>
  <c r="Y1813" i="28" s="1"/>
  <c r="AC1813" i="28" s="1"/>
  <c r="X1789" i="28"/>
  <c r="Y1789" i="28" s="1"/>
  <c r="AC1789" i="28" s="1"/>
  <c r="W1848" i="28"/>
  <c r="X1848" i="28" s="1"/>
  <c r="Y1848" i="28" s="1"/>
  <c r="AC1848" i="28" s="1"/>
  <c r="X1837" i="28"/>
  <c r="Y1837" i="28" s="1"/>
  <c r="AC1837" i="28" s="1"/>
  <c r="W1860" i="28"/>
  <c r="X1860" i="28" s="1"/>
  <c r="Y1860" i="28" s="1"/>
  <c r="AC1860" i="28" s="1"/>
  <c r="W1836" i="28"/>
  <c r="X1836" i="28" s="1"/>
  <c r="Y1836" i="28" s="1"/>
  <c r="AC1836" i="28" s="1"/>
  <c r="X1897" i="28"/>
  <c r="Y1897" i="28" s="1"/>
  <c r="AC1897" i="28" s="1"/>
  <c r="W1824" i="28"/>
  <c r="X1824" i="28" s="1"/>
  <c r="Y1824" i="28" s="1"/>
  <c r="AC1824" i="28" s="1"/>
  <c r="W1812" i="28"/>
  <c r="X1812" i="28" s="1"/>
  <c r="Y1812" i="28" s="1"/>
  <c r="AC1812" i="28" s="1"/>
  <c r="W1800" i="28"/>
  <c r="X1800" i="28" s="1"/>
  <c r="Y1800" i="28" s="1"/>
  <c r="AC1800" i="28" s="1"/>
  <c r="W1788" i="28"/>
  <c r="X1788" i="28" s="1"/>
  <c r="Y1788" i="28" s="1"/>
  <c r="AC1788" i="28" s="1"/>
  <c r="X1844" i="28"/>
  <c r="Y1844" i="28" s="1"/>
  <c r="AC1844" i="28" s="1"/>
  <c r="X1832" i="28"/>
  <c r="Y1832" i="28" s="1"/>
  <c r="AC1832" i="28" s="1"/>
  <c r="X1820" i="28"/>
  <c r="Y1820" i="28" s="1"/>
  <c r="AC1820" i="28" s="1"/>
  <c r="X1808" i="28"/>
  <c r="Y1808" i="28" s="1"/>
  <c r="AC1808" i="28" s="1"/>
  <c r="X1796" i="28"/>
  <c r="Y1796" i="28" s="1"/>
  <c r="AC1796" i="28" s="1"/>
  <c r="X1784" i="28"/>
  <c r="Y1784" i="28" s="1"/>
  <c r="AC1784" i="28" s="1"/>
  <c r="X1785" i="28"/>
  <c r="Y1785" i="28" s="1"/>
  <c r="AC1785" i="28" s="1"/>
  <c r="X1783" i="28"/>
  <c r="Y1783" i="28" s="1"/>
  <c r="AC1783" i="28" s="1"/>
  <c r="C1695" i="28" l="1"/>
  <c r="V1695" i="28"/>
  <c r="W1695" i="28" s="1"/>
  <c r="Z1695" i="28"/>
  <c r="AA1695" i="28"/>
  <c r="C1696" i="28"/>
  <c r="V1696" i="28"/>
  <c r="W1696" i="28" s="1"/>
  <c r="Z1696" i="28"/>
  <c r="AA1696" i="28"/>
  <c r="C1697" i="28"/>
  <c r="V1697" i="28"/>
  <c r="W1697" i="28" s="1"/>
  <c r="Z1697" i="28"/>
  <c r="AA1697" i="28"/>
  <c r="C1698" i="28"/>
  <c r="V1698" i="28"/>
  <c r="Z1698" i="28"/>
  <c r="AA1698" i="28"/>
  <c r="C1699" i="28"/>
  <c r="V1699" i="28"/>
  <c r="W1699" i="28" s="1"/>
  <c r="Z1699" i="28"/>
  <c r="AA1699" i="28"/>
  <c r="C1700" i="28"/>
  <c r="V1700" i="28"/>
  <c r="W1700" i="28" s="1"/>
  <c r="Z1700" i="28"/>
  <c r="AA1700" i="28"/>
  <c r="C1701" i="28"/>
  <c r="V1701" i="28"/>
  <c r="W1701" i="28" s="1"/>
  <c r="Z1701" i="28"/>
  <c r="AA1701" i="28"/>
  <c r="C1702" i="28"/>
  <c r="V1702" i="28"/>
  <c r="W1702" i="28" s="1"/>
  <c r="X1702" i="28" s="1"/>
  <c r="Y1702" i="28" s="1"/>
  <c r="AC1702" i="28" s="1"/>
  <c r="Z1702" i="28"/>
  <c r="AA1702" i="28"/>
  <c r="C1703" i="28"/>
  <c r="V1703" i="28"/>
  <c r="W1703" i="28" s="1"/>
  <c r="Z1703" i="28"/>
  <c r="AA1703" i="28"/>
  <c r="C1704" i="28"/>
  <c r="V1704" i="28"/>
  <c r="W1704" i="28" s="1"/>
  <c r="X1704" i="28" s="1"/>
  <c r="Y1704" i="28" s="1"/>
  <c r="AC1704" i="28" s="1"/>
  <c r="Z1704" i="28"/>
  <c r="AA1704" i="28"/>
  <c r="C1705" i="28"/>
  <c r="V1705" i="28"/>
  <c r="W1705" i="28" s="1"/>
  <c r="Z1705" i="28"/>
  <c r="AA1705" i="28"/>
  <c r="C1706" i="28"/>
  <c r="V1706" i="28"/>
  <c r="W1706" i="28" s="1"/>
  <c r="Z1706" i="28"/>
  <c r="AA1706" i="28"/>
  <c r="C1707" i="28"/>
  <c r="V1707" i="28"/>
  <c r="W1707" i="28" s="1"/>
  <c r="Z1707" i="28"/>
  <c r="AA1707" i="28"/>
  <c r="C1708" i="28"/>
  <c r="V1708" i="28"/>
  <c r="W1708" i="28" s="1"/>
  <c r="Z1708" i="28"/>
  <c r="AA1708" i="28"/>
  <c r="C1709" i="28"/>
  <c r="V1709" i="28"/>
  <c r="W1709" i="28" s="1"/>
  <c r="Z1709" i="28"/>
  <c r="AA1709" i="28"/>
  <c r="C1710" i="28"/>
  <c r="V1710" i="28"/>
  <c r="Z1710" i="28"/>
  <c r="AA1710" i="28"/>
  <c r="C1711" i="28"/>
  <c r="V1711" i="28"/>
  <c r="W1711" i="28" s="1"/>
  <c r="Z1711" i="28"/>
  <c r="AA1711" i="28"/>
  <c r="C1712" i="28"/>
  <c r="V1712" i="28"/>
  <c r="W1712" i="28" s="1"/>
  <c r="Z1712" i="28"/>
  <c r="AA1712" i="28"/>
  <c r="C1713" i="28"/>
  <c r="V1713" i="28"/>
  <c r="W1713" i="28" s="1"/>
  <c r="X1713" i="28" s="1"/>
  <c r="Y1713" i="28" s="1"/>
  <c r="AC1713" i="28" s="1"/>
  <c r="Z1713" i="28"/>
  <c r="AA1713" i="28"/>
  <c r="C1714" i="28"/>
  <c r="V1714" i="28"/>
  <c r="W1714" i="28" s="1"/>
  <c r="X1714" i="28" s="1"/>
  <c r="Y1714" i="28" s="1"/>
  <c r="AC1714" i="28" s="1"/>
  <c r="Z1714" i="28"/>
  <c r="AA1714" i="28"/>
  <c r="C1715" i="28"/>
  <c r="V1715" i="28"/>
  <c r="Z1715" i="28"/>
  <c r="AA1715" i="28"/>
  <c r="C1716" i="28"/>
  <c r="V1716" i="28"/>
  <c r="W1716" i="28" s="1"/>
  <c r="X1716" i="28" s="1"/>
  <c r="Y1716" i="28" s="1"/>
  <c r="AC1716" i="28" s="1"/>
  <c r="Z1716" i="28"/>
  <c r="AA1716" i="28"/>
  <c r="C1717" i="28"/>
  <c r="V1717" i="28"/>
  <c r="W1717" i="28" s="1"/>
  <c r="Z1717" i="28"/>
  <c r="AA1717" i="28"/>
  <c r="C1718" i="28"/>
  <c r="V1718" i="28"/>
  <c r="W1718" i="28" s="1"/>
  <c r="Z1718" i="28"/>
  <c r="AA1718" i="28"/>
  <c r="C1719" i="28"/>
  <c r="V1719" i="28"/>
  <c r="W1719" i="28" s="1"/>
  <c r="Z1719" i="28"/>
  <c r="AA1719" i="28"/>
  <c r="C1720" i="28"/>
  <c r="V1720" i="28"/>
  <c r="W1720" i="28" s="1"/>
  <c r="Z1720" i="28"/>
  <c r="AA1720" i="28"/>
  <c r="C1721" i="28"/>
  <c r="V1721" i="28"/>
  <c r="W1721" i="28" s="1"/>
  <c r="Z1721" i="28"/>
  <c r="AA1721" i="28"/>
  <c r="C1722" i="28"/>
  <c r="V1722" i="28"/>
  <c r="Z1722" i="28"/>
  <c r="AA1722" i="28"/>
  <c r="C1723" i="28"/>
  <c r="V1723" i="28"/>
  <c r="W1723" i="28" s="1"/>
  <c r="Z1723" i="28"/>
  <c r="AA1723" i="28"/>
  <c r="C1724" i="28"/>
  <c r="V1724" i="28"/>
  <c r="W1724" i="28" s="1"/>
  <c r="X1724" i="28" s="1"/>
  <c r="Y1724" i="28" s="1"/>
  <c r="AC1724" i="28" s="1"/>
  <c r="Z1724" i="28"/>
  <c r="AA1724" i="28"/>
  <c r="C1725" i="28"/>
  <c r="V1725" i="28"/>
  <c r="W1725" i="28" s="1"/>
  <c r="Z1725" i="28"/>
  <c r="AA1725" i="28"/>
  <c r="C1726" i="28"/>
  <c r="V1726" i="28"/>
  <c r="W1726" i="28" s="1"/>
  <c r="Z1726" i="28"/>
  <c r="AA1726" i="28"/>
  <c r="C1727" i="28"/>
  <c r="V1727" i="28"/>
  <c r="W1727" i="28" s="1"/>
  <c r="X1727" i="28" s="1"/>
  <c r="Y1727" i="28" s="1"/>
  <c r="AC1727" i="28" s="1"/>
  <c r="Z1727" i="28"/>
  <c r="AA1727" i="28"/>
  <c r="C1728" i="28"/>
  <c r="V1728" i="28"/>
  <c r="W1728" i="28" s="1"/>
  <c r="X1728" i="28" s="1"/>
  <c r="Y1728" i="28" s="1"/>
  <c r="AC1728" i="28" s="1"/>
  <c r="Z1728" i="28"/>
  <c r="AA1728" i="28"/>
  <c r="C1729" i="28"/>
  <c r="V1729" i="28"/>
  <c r="W1729" i="28" s="1"/>
  <c r="Z1729" i="28"/>
  <c r="AA1729" i="28"/>
  <c r="C1730" i="28"/>
  <c r="V1730" i="28"/>
  <c r="W1730" i="28" s="1"/>
  <c r="Z1730" i="28"/>
  <c r="AA1730" i="28"/>
  <c r="C1731" i="28"/>
  <c r="V1731" i="28"/>
  <c r="W1731" i="28" s="1"/>
  <c r="Z1731" i="28"/>
  <c r="AA1731" i="28"/>
  <c r="C1732" i="28"/>
  <c r="V1732" i="28"/>
  <c r="W1732" i="28" s="1"/>
  <c r="X1732" i="28" s="1"/>
  <c r="Y1732" i="28" s="1"/>
  <c r="AC1732" i="28" s="1"/>
  <c r="Z1732" i="28"/>
  <c r="AA1732" i="28"/>
  <c r="C1733" i="28"/>
  <c r="V1733" i="28"/>
  <c r="W1733" i="28" s="1"/>
  <c r="Z1733" i="28"/>
  <c r="AA1733" i="28"/>
  <c r="C1734" i="28"/>
  <c r="V1734" i="28"/>
  <c r="Z1734" i="28"/>
  <c r="AA1734" i="28"/>
  <c r="C1735" i="28"/>
  <c r="V1735" i="28"/>
  <c r="W1735" i="28" s="1"/>
  <c r="Z1735" i="28"/>
  <c r="AA1735" i="28"/>
  <c r="C1736" i="28"/>
  <c r="V1736" i="28"/>
  <c r="W1736" i="28" s="1"/>
  <c r="Z1736" i="28"/>
  <c r="AA1736" i="28"/>
  <c r="C1737" i="28"/>
  <c r="V1737" i="28"/>
  <c r="W1737" i="28" s="1"/>
  <c r="Z1737" i="28"/>
  <c r="AA1737" i="28"/>
  <c r="C1738" i="28"/>
  <c r="V1738" i="28"/>
  <c r="W1738" i="28" s="1"/>
  <c r="Z1738" i="28"/>
  <c r="AA1738" i="28"/>
  <c r="C1739" i="28"/>
  <c r="V1739" i="28"/>
  <c r="W1739" i="28" s="1"/>
  <c r="Z1739" i="28"/>
  <c r="AA1739" i="28"/>
  <c r="C1740" i="28"/>
  <c r="V1740" i="28"/>
  <c r="W1740" i="28" s="1"/>
  <c r="X1740" i="28" s="1"/>
  <c r="Y1740" i="28" s="1"/>
  <c r="AC1740" i="28" s="1"/>
  <c r="Z1740" i="28"/>
  <c r="AA1740" i="28"/>
  <c r="C1741" i="28"/>
  <c r="V1741" i="28"/>
  <c r="W1741" i="28" s="1"/>
  <c r="Z1741" i="28"/>
  <c r="AA1741" i="28"/>
  <c r="C1742" i="28"/>
  <c r="V1742" i="28"/>
  <c r="W1742" i="28" s="1"/>
  <c r="Z1742" i="28"/>
  <c r="AA1742" i="28"/>
  <c r="C1743" i="28"/>
  <c r="V1743" i="28"/>
  <c r="W1743" i="28" s="1"/>
  <c r="Z1743" i="28"/>
  <c r="AA1743" i="28"/>
  <c r="C1744" i="28"/>
  <c r="V1744" i="28"/>
  <c r="W1744" i="28" s="1"/>
  <c r="Z1744" i="28"/>
  <c r="AA1744" i="28"/>
  <c r="C1745" i="28"/>
  <c r="V1745" i="28"/>
  <c r="Z1745" i="28"/>
  <c r="AA1745" i="28"/>
  <c r="C1746" i="28"/>
  <c r="V1746" i="28"/>
  <c r="W1746" i="28" s="1"/>
  <c r="Z1746" i="28"/>
  <c r="AA1746" i="28"/>
  <c r="C1747" i="28"/>
  <c r="V1747" i="28"/>
  <c r="W1747" i="28" s="1"/>
  <c r="Z1747" i="28"/>
  <c r="AA1747" i="28"/>
  <c r="C1748" i="28"/>
  <c r="V1748" i="28"/>
  <c r="W1748" i="28" s="1"/>
  <c r="Z1748" i="28"/>
  <c r="AA1748" i="28"/>
  <c r="C1749" i="28"/>
  <c r="V1749" i="28"/>
  <c r="W1749" i="28" s="1"/>
  <c r="Z1749" i="28"/>
  <c r="AA1749" i="28"/>
  <c r="C1750" i="28"/>
  <c r="V1750" i="28"/>
  <c r="W1750" i="28" s="1"/>
  <c r="Z1750" i="28"/>
  <c r="AA1750" i="28"/>
  <c r="C1751" i="28"/>
  <c r="V1751" i="28"/>
  <c r="W1751" i="28" s="1"/>
  <c r="Z1751" i="28"/>
  <c r="AA1751" i="28"/>
  <c r="C1752" i="28"/>
  <c r="V1752" i="28"/>
  <c r="W1752" i="28" s="1"/>
  <c r="X1752" i="28" s="1"/>
  <c r="Y1752" i="28" s="1"/>
  <c r="AC1752" i="28" s="1"/>
  <c r="Z1752" i="28"/>
  <c r="AA1752" i="28"/>
  <c r="C1753" i="28"/>
  <c r="V1753" i="28"/>
  <c r="W1753" i="28" s="1"/>
  <c r="Z1753" i="28"/>
  <c r="AA1753" i="28"/>
  <c r="C1754" i="28"/>
  <c r="V1754" i="28"/>
  <c r="W1754" i="28" s="1"/>
  <c r="Z1754" i="28"/>
  <c r="AA1754" i="28"/>
  <c r="C1755" i="28"/>
  <c r="V1755" i="28"/>
  <c r="W1755" i="28" s="1"/>
  <c r="Z1755" i="28"/>
  <c r="AA1755" i="28"/>
  <c r="C1756" i="28"/>
  <c r="V1756" i="28"/>
  <c r="W1756" i="28" s="1"/>
  <c r="X1756" i="28" s="1"/>
  <c r="Y1756" i="28" s="1"/>
  <c r="AC1756" i="28" s="1"/>
  <c r="Z1756" i="28"/>
  <c r="AA1756" i="28"/>
  <c r="C1757" i="28"/>
  <c r="V1757" i="28"/>
  <c r="Z1757" i="28"/>
  <c r="AA1757" i="28"/>
  <c r="C1758" i="28"/>
  <c r="V1758" i="28"/>
  <c r="W1758" i="28" s="1"/>
  <c r="Z1758" i="28"/>
  <c r="AA1758" i="28"/>
  <c r="C1759" i="28"/>
  <c r="V1759" i="28"/>
  <c r="Z1759" i="28"/>
  <c r="AA1759" i="28"/>
  <c r="C1760" i="28"/>
  <c r="V1760" i="28"/>
  <c r="W1760" i="28" s="1"/>
  <c r="X1760" i="28" s="1"/>
  <c r="Y1760" i="28" s="1"/>
  <c r="AC1760" i="28" s="1"/>
  <c r="Z1760" i="28"/>
  <c r="AA1760" i="28"/>
  <c r="C1761" i="28"/>
  <c r="V1761" i="28"/>
  <c r="Z1761" i="28"/>
  <c r="AA1761" i="28"/>
  <c r="C1762" i="28"/>
  <c r="V1762" i="28"/>
  <c r="W1762" i="28" s="1"/>
  <c r="Z1762" i="28"/>
  <c r="AA1762" i="28"/>
  <c r="C1763" i="28"/>
  <c r="V1763" i="28"/>
  <c r="W1763" i="28" s="1"/>
  <c r="X1763" i="28" s="1"/>
  <c r="Y1763" i="28" s="1"/>
  <c r="AC1763" i="28" s="1"/>
  <c r="Z1763" i="28"/>
  <c r="AA1763" i="28"/>
  <c r="C1764" i="28"/>
  <c r="V1764" i="28"/>
  <c r="W1764" i="28" s="1"/>
  <c r="Z1764" i="28"/>
  <c r="AA1764" i="28"/>
  <c r="C1765" i="28"/>
  <c r="V1765" i="28"/>
  <c r="W1765" i="28" s="1"/>
  <c r="Z1765" i="28"/>
  <c r="AA1765" i="28"/>
  <c r="C1766" i="28"/>
  <c r="V1766" i="28"/>
  <c r="W1766" i="28" s="1"/>
  <c r="Z1766" i="28"/>
  <c r="AA1766" i="28"/>
  <c r="C1767" i="28"/>
  <c r="V1767" i="28"/>
  <c r="Z1767" i="28"/>
  <c r="AA1767" i="28"/>
  <c r="C1768" i="28"/>
  <c r="V1768" i="28"/>
  <c r="W1768" i="28" s="1"/>
  <c r="X1768" i="28" s="1"/>
  <c r="Y1768" i="28" s="1"/>
  <c r="AC1768" i="28" s="1"/>
  <c r="Z1768" i="28"/>
  <c r="AA1768" i="28"/>
  <c r="C1769" i="28"/>
  <c r="V1769" i="28"/>
  <c r="W1769" i="28" s="1"/>
  <c r="Z1769" i="28"/>
  <c r="AA1769" i="28"/>
  <c r="C1770" i="28"/>
  <c r="V1770" i="28"/>
  <c r="W1770" i="28" s="1"/>
  <c r="Z1770" i="28"/>
  <c r="AA1770" i="28"/>
  <c r="C1771" i="28"/>
  <c r="V1771" i="28"/>
  <c r="W1771" i="28" s="1"/>
  <c r="Z1771" i="28"/>
  <c r="AA1771" i="28"/>
  <c r="C1772" i="28"/>
  <c r="V1772" i="28"/>
  <c r="W1772" i="28" s="1"/>
  <c r="Z1772" i="28"/>
  <c r="AA1772" i="28"/>
  <c r="C1773" i="28"/>
  <c r="V1773" i="28"/>
  <c r="W1773" i="28" s="1"/>
  <c r="X1773" i="28" s="1"/>
  <c r="Y1773" i="28" s="1"/>
  <c r="AC1773" i="28" s="1"/>
  <c r="Z1773" i="28"/>
  <c r="AA1773" i="28"/>
  <c r="C1774" i="28"/>
  <c r="V1774" i="28"/>
  <c r="W1774" i="28" s="1"/>
  <c r="Z1774" i="28"/>
  <c r="AA1774" i="28"/>
  <c r="C1775" i="28"/>
  <c r="V1775" i="28"/>
  <c r="W1775" i="28" s="1"/>
  <c r="Z1775" i="28"/>
  <c r="AA1775" i="28"/>
  <c r="C1776" i="28"/>
  <c r="V1776" i="28"/>
  <c r="W1776" i="28" s="1"/>
  <c r="Z1776" i="28"/>
  <c r="AA1776" i="28"/>
  <c r="C1777" i="28"/>
  <c r="V1777" i="28"/>
  <c r="Z1777" i="28"/>
  <c r="AA1777" i="28"/>
  <c r="C1778" i="28"/>
  <c r="V1778" i="28"/>
  <c r="W1778" i="28" s="1"/>
  <c r="Z1778" i="28"/>
  <c r="AA1778" i="28"/>
  <c r="C1779" i="28"/>
  <c r="V1779" i="28"/>
  <c r="Z1779" i="28"/>
  <c r="AA1779" i="28"/>
  <c r="C1780" i="28"/>
  <c r="V1780" i="28"/>
  <c r="W1780" i="28" s="1"/>
  <c r="X1780" i="28" s="1"/>
  <c r="Y1780" i="28" s="1"/>
  <c r="AC1780" i="28" s="1"/>
  <c r="Z1780" i="28"/>
  <c r="AA1780" i="28"/>
  <c r="C1781" i="28"/>
  <c r="V1781" i="28"/>
  <c r="W1781" i="28" s="1"/>
  <c r="Z1781" i="28"/>
  <c r="AA1781" i="28"/>
  <c r="C1782" i="28"/>
  <c r="V1782" i="28"/>
  <c r="W1782" i="28" s="1"/>
  <c r="Z1782" i="28"/>
  <c r="AA1782" i="28"/>
  <c r="X1748" i="28" l="1"/>
  <c r="Y1748" i="28" s="1"/>
  <c r="AC1748" i="28" s="1"/>
  <c r="X1700" i="28"/>
  <c r="Y1700" i="28" s="1"/>
  <c r="AC1700" i="28" s="1"/>
  <c r="X1738" i="28"/>
  <c r="Y1738" i="28" s="1"/>
  <c r="AC1738" i="28" s="1"/>
  <c r="X1703" i="28"/>
  <c r="Y1703" i="28" s="1"/>
  <c r="AC1703" i="28" s="1"/>
  <c r="X1750" i="28"/>
  <c r="Y1750" i="28" s="1"/>
  <c r="AC1750" i="28" s="1"/>
  <c r="X1725" i="28"/>
  <c r="Y1725" i="28" s="1"/>
  <c r="AC1725" i="28" s="1"/>
  <c r="X1774" i="28"/>
  <c r="Y1774" i="28" s="1"/>
  <c r="AC1774" i="28" s="1"/>
  <c r="X1772" i="28"/>
  <c r="Y1772" i="28" s="1"/>
  <c r="AC1772" i="28" s="1"/>
  <c r="X1751" i="28"/>
  <c r="Y1751" i="28" s="1"/>
  <c r="AC1751" i="28" s="1"/>
  <c r="X1749" i="28"/>
  <c r="Y1749" i="28" s="1"/>
  <c r="AC1749" i="28" s="1"/>
  <c r="X1739" i="28"/>
  <c r="Y1739" i="28" s="1"/>
  <c r="AC1739" i="28" s="1"/>
  <c r="X1737" i="28"/>
  <c r="Y1737" i="28" s="1"/>
  <c r="AC1737" i="28" s="1"/>
  <c r="X1762" i="28"/>
  <c r="Y1762" i="28" s="1"/>
  <c r="AC1762" i="28" s="1"/>
  <c r="X1781" i="28"/>
  <c r="Y1781" i="28" s="1"/>
  <c r="AC1781" i="28" s="1"/>
  <c r="W1761" i="28"/>
  <c r="X1761" i="28" s="1"/>
  <c r="Y1761" i="28" s="1"/>
  <c r="AC1761" i="28" s="1"/>
  <c r="X1726" i="28"/>
  <c r="Y1726" i="28" s="1"/>
  <c r="AC1726" i="28" s="1"/>
  <c r="X1765" i="28"/>
  <c r="Y1765" i="28" s="1"/>
  <c r="AC1765" i="28" s="1"/>
  <c r="W1759" i="28"/>
  <c r="X1759" i="28" s="1"/>
  <c r="Y1759" i="28" s="1"/>
  <c r="AC1759" i="28" s="1"/>
  <c r="W1715" i="28"/>
  <c r="X1715" i="28" s="1"/>
  <c r="Y1715" i="28" s="1"/>
  <c r="AC1715" i="28" s="1"/>
  <c r="X1747" i="28"/>
  <c r="Y1747" i="28" s="1"/>
  <c r="AC1747" i="28" s="1"/>
  <c r="X1736" i="28"/>
  <c r="Y1736" i="28" s="1"/>
  <c r="AC1736" i="28" s="1"/>
  <c r="X1731" i="28"/>
  <c r="Y1731" i="28" s="1"/>
  <c r="AC1731" i="28" s="1"/>
  <c r="X1705" i="28"/>
  <c r="Y1705" i="28" s="1"/>
  <c r="AC1705" i="28" s="1"/>
  <c r="X1701" i="28"/>
  <c r="Y1701" i="28" s="1"/>
  <c r="AC1701" i="28" s="1"/>
  <c r="X1743" i="28"/>
  <c r="Y1743" i="28" s="1"/>
  <c r="AC1743" i="28" s="1"/>
  <c r="X1769" i="28"/>
  <c r="Y1769" i="28" s="1"/>
  <c r="AC1769" i="28" s="1"/>
  <c r="X1744" i="28"/>
  <c r="Y1744" i="28" s="1"/>
  <c r="AC1744" i="28" s="1"/>
  <c r="X1712" i="28"/>
  <c r="Y1712" i="28" s="1"/>
  <c r="AC1712" i="28" s="1"/>
  <c r="X1707" i="28"/>
  <c r="Y1707" i="28" s="1"/>
  <c r="AC1707" i="28" s="1"/>
  <c r="X1719" i="28"/>
  <c r="Y1719" i="28" s="1"/>
  <c r="AC1719" i="28" s="1"/>
  <c r="X1775" i="28"/>
  <c r="Y1775" i="28" s="1"/>
  <c r="AC1775" i="28" s="1"/>
  <c r="W1777" i="28"/>
  <c r="X1777" i="28" s="1"/>
  <c r="Y1777" i="28" s="1"/>
  <c r="AC1777" i="28" s="1"/>
  <c r="X1723" i="28"/>
  <c r="Y1723" i="28" s="1"/>
  <c r="AC1723" i="28" s="1"/>
  <c r="X1695" i="28"/>
  <c r="Y1695" i="28" s="1"/>
  <c r="AC1695" i="28" s="1"/>
  <c r="X1735" i="28"/>
  <c r="Y1735" i="28" s="1"/>
  <c r="AC1735" i="28" s="1"/>
  <c r="W1710" i="28"/>
  <c r="X1710" i="28" s="1"/>
  <c r="Y1710" i="28" s="1"/>
  <c r="AC1710" i="28" s="1"/>
  <c r="W1779" i="28"/>
  <c r="X1779" i="28" s="1"/>
  <c r="Y1779" i="28" s="1"/>
  <c r="AC1779" i="28" s="1"/>
  <c r="X1771" i="28"/>
  <c r="Y1771" i="28" s="1"/>
  <c r="AC1771" i="28" s="1"/>
  <c r="W1767" i="28"/>
  <c r="X1767" i="28" s="1"/>
  <c r="Y1767" i="28" s="1"/>
  <c r="AC1767" i="28" s="1"/>
  <c r="X1746" i="28"/>
  <c r="Y1746" i="28" s="1"/>
  <c r="AC1746" i="28" s="1"/>
  <c r="W1734" i="28"/>
  <c r="X1734" i="28" s="1"/>
  <c r="Y1734" i="28" s="1"/>
  <c r="AC1734" i="28" s="1"/>
  <c r="X1699" i="28"/>
  <c r="Y1699" i="28" s="1"/>
  <c r="AC1699" i="28" s="1"/>
  <c r="W1745" i="28"/>
  <c r="X1745" i="28" s="1"/>
  <c r="Y1745" i="28" s="1"/>
  <c r="AC1745" i="28" s="1"/>
  <c r="W1698" i="28"/>
  <c r="X1698" i="28" s="1"/>
  <c r="Y1698" i="28" s="1"/>
  <c r="AC1698" i="28" s="1"/>
  <c r="W1757" i="28"/>
  <c r="X1757" i="28" s="1"/>
  <c r="Y1757" i="28" s="1"/>
  <c r="AC1757" i="28" s="1"/>
  <c r="W1722" i="28"/>
  <c r="X1722" i="28" s="1"/>
  <c r="Y1722" i="28" s="1"/>
  <c r="AC1722" i="28" s="1"/>
  <c r="X1758" i="28"/>
  <c r="Y1758" i="28" s="1"/>
  <c r="AC1758" i="28" s="1"/>
  <c r="X1782" i="28"/>
  <c r="Y1782" i="28" s="1"/>
  <c r="AC1782" i="28" s="1"/>
  <c r="X1711" i="28"/>
  <c r="Y1711" i="28" s="1"/>
  <c r="AC1711" i="28" s="1"/>
  <c r="X1770" i="28"/>
  <c r="Y1770" i="28" s="1"/>
  <c r="AC1770" i="28" s="1"/>
  <c r="X1776" i="28"/>
  <c r="Y1776" i="28" s="1"/>
  <c r="AC1776" i="28" s="1"/>
  <c r="X1764" i="28"/>
  <c r="Y1764" i="28" s="1"/>
  <c r="AC1764" i="28" s="1"/>
  <c r="X1753" i="28"/>
  <c r="Y1753" i="28" s="1"/>
  <c r="AC1753" i="28" s="1"/>
  <c r="X1741" i="28"/>
  <c r="Y1741" i="28" s="1"/>
  <c r="AC1741" i="28" s="1"/>
  <c r="X1729" i="28"/>
  <c r="Y1729" i="28" s="1"/>
  <c r="AC1729" i="28" s="1"/>
  <c r="X1717" i="28"/>
  <c r="Y1717" i="28" s="1"/>
  <c r="AC1717" i="28" s="1"/>
  <c r="X1778" i="28"/>
  <c r="Y1778" i="28" s="1"/>
  <c r="AC1778" i="28" s="1"/>
  <c r="X1766" i="28"/>
  <c r="Y1766" i="28" s="1"/>
  <c r="AC1766" i="28" s="1"/>
  <c r="X1754" i="28"/>
  <c r="Y1754" i="28" s="1"/>
  <c r="AC1754" i="28" s="1"/>
  <c r="X1742" i="28"/>
  <c r="Y1742" i="28" s="1"/>
  <c r="AC1742" i="28" s="1"/>
  <c r="X1730" i="28"/>
  <c r="Y1730" i="28" s="1"/>
  <c r="AC1730" i="28" s="1"/>
  <c r="X1718" i="28"/>
  <c r="Y1718" i="28" s="1"/>
  <c r="AC1718" i="28" s="1"/>
  <c r="X1706" i="28"/>
  <c r="Y1706" i="28" s="1"/>
  <c r="AC1706" i="28" s="1"/>
  <c r="X1755" i="28"/>
  <c r="Y1755" i="28" s="1"/>
  <c r="AC1755" i="28" s="1"/>
  <c r="X1720" i="28"/>
  <c r="Y1720" i="28" s="1"/>
  <c r="AC1720" i="28" s="1"/>
  <c r="X1708" i="28"/>
  <c r="Y1708" i="28" s="1"/>
  <c r="AC1708" i="28" s="1"/>
  <c r="X1696" i="28"/>
  <c r="Y1696" i="28" s="1"/>
  <c r="AC1696" i="28" s="1"/>
  <c r="X1733" i="28"/>
  <c r="Y1733" i="28" s="1"/>
  <c r="AC1733" i="28" s="1"/>
  <c r="X1721" i="28"/>
  <c r="Y1721" i="28" s="1"/>
  <c r="AC1721" i="28" s="1"/>
  <c r="X1709" i="28"/>
  <c r="Y1709" i="28" s="1"/>
  <c r="AC1709" i="28" s="1"/>
  <c r="X1697" i="28"/>
  <c r="Y1697" i="28" s="1"/>
  <c r="AC1697" i="28" s="1"/>
  <c r="C1694" i="28" l="1"/>
  <c r="V1694" i="28"/>
  <c r="W1694" i="28" s="1"/>
  <c r="Z1694" i="28"/>
  <c r="AA1694" i="28"/>
  <c r="X1694" i="28" l="1"/>
  <c r="Y1694" i="28" s="1"/>
  <c r="AC1694" i="28" s="1"/>
  <c r="C1615" i="28" l="1"/>
  <c r="V1615" i="28"/>
  <c r="W1615" i="28" s="1"/>
  <c r="X1615" i="28" s="1"/>
  <c r="Y1615" i="28" s="1"/>
  <c r="AC1615" i="28" s="1"/>
  <c r="Z1615" i="28"/>
  <c r="AA1615" i="28"/>
  <c r="C1616" i="28"/>
  <c r="V1616" i="28"/>
  <c r="W1616" i="28" s="1"/>
  <c r="X1616" i="28" s="1"/>
  <c r="Y1616" i="28" s="1"/>
  <c r="AC1616" i="28" s="1"/>
  <c r="Z1616" i="28"/>
  <c r="AA1616" i="28"/>
  <c r="C1617" i="28"/>
  <c r="V1617" i="28"/>
  <c r="W1617" i="28" s="1"/>
  <c r="Z1617" i="28"/>
  <c r="AA1617" i="28"/>
  <c r="C1618" i="28"/>
  <c r="V1618" i="28"/>
  <c r="Z1618" i="28"/>
  <c r="AA1618" i="28"/>
  <c r="C1619" i="28"/>
  <c r="V1619" i="28"/>
  <c r="W1619" i="28" s="1"/>
  <c r="Z1619" i="28"/>
  <c r="AA1619" i="28"/>
  <c r="C1620" i="28"/>
  <c r="V1620" i="28"/>
  <c r="W1620" i="28" s="1"/>
  <c r="Z1620" i="28"/>
  <c r="AA1620" i="28"/>
  <c r="C1621" i="28"/>
  <c r="V1621" i="28"/>
  <c r="W1621" i="28" s="1"/>
  <c r="Z1621" i="28"/>
  <c r="AA1621" i="28"/>
  <c r="C1622" i="28"/>
  <c r="V1622" i="28"/>
  <c r="W1622" i="28" s="1"/>
  <c r="Z1622" i="28"/>
  <c r="AA1622" i="28"/>
  <c r="C1623" i="28"/>
  <c r="V1623" i="28"/>
  <c r="W1623" i="28" s="1"/>
  <c r="Z1623" i="28"/>
  <c r="AA1623" i="28"/>
  <c r="C1624" i="28"/>
  <c r="V1624" i="28"/>
  <c r="Z1624" i="28"/>
  <c r="AA1624" i="28"/>
  <c r="C1625" i="28"/>
  <c r="V1625" i="28"/>
  <c r="Z1625" i="28"/>
  <c r="AA1625" i="28"/>
  <c r="C1626" i="28"/>
  <c r="V1626" i="28"/>
  <c r="W1626" i="28" s="1"/>
  <c r="Z1626" i="28"/>
  <c r="AA1626" i="28"/>
  <c r="C1627" i="28"/>
  <c r="V1627" i="28"/>
  <c r="W1627" i="28" s="1"/>
  <c r="X1627" i="28" s="1"/>
  <c r="Y1627" i="28" s="1"/>
  <c r="AC1627" i="28" s="1"/>
  <c r="Z1627" i="28"/>
  <c r="AA1627" i="28"/>
  <c r="C1628" i="28"/>
  <c r="V1628" i="28"/>
  <c r="W1628" i="28" s="1"/>
  <c r="X1628" i="28" s="1"/>
  <c r="Y1628" i="28" s="1"/>
  <c r="AC1628" i="28" s="1"/>
  <c r="Z1628" i="28"/>
  <c r="AA1628" i="28"/>
  <c r="C1629" i="28"/>
  <c r="V1629" i="28"/>
  <c r="W1629" i="28" s="1"/>
  <c r="Z1629" i="28"/>
  <c r="AA1629" i="28"/>
  <c r="C1630" i="28"/>
  <c r="V1630" i="28"/>
  <c r="Z1630" i="28"/>
  <c r="AA1630" i="28"/>
  <c r="C1631" i="28"/>
  <c r="V1631" i="28"/>
  <c r="W1631" i="28" s="1"/>
  <c r="Z1631" i="28"/>
  <c r="AA1631" i="28"/>
  <c r="C1632" i="28"/>
  <c r="V1632" i="28"/>
  <c r="W1632" i="28" s="1"/>
  <c r="Z1632" i="28"/>
  <c r="AA1632" i="28"/>
  <c r="C1633" i="28"/>
  <c r="V1633" i="28"/>
  <c r="W1633" i="28" s="1"/>
  <c r="Z1633" i="28"/>
  <c r="AA1633" i="28"/>
  <c r="C1634" i="28"/>
  <c r="V1634" i="28"/>
  <c r="W1634" i="28" s="1"/>
  <c r="Z1634" i="28"/>
  <c r="AA1634" i="28"/>
  <c r="C1635" i="28"/>
  <c r="V1635" i="28"/>
  <c r="W1635" i="28" s="1"/>
  <c r="Z1635" i="28"/>
  <c r="AA1635" i="28"/>
  <c r="C1636" i="28"/>
  <c r="V1636" i="28"/>
  <c r="Z1636" i="28"/>
  <c r="AA1636" i="28"/>
  <c r="C1637" i="28"/>
  <c r="V1637" i="28"/>
  <c r="W1637" i="28" s="1"/>
  <c r="Z1637" i="28"/>
  <c r="AA1637" i="28"/>
  <c r="C1638" i="28"/>
  <c r="V1638" i="28"/>
  <c r="W1638" i="28" s="1"/>
  <c r="X1638" i="28" s="1"/>
  <c r="Y1638" i="28" s="1"/>
  <c r="AC1638" i="28" s="1"/>
  <c r="Z1638" i="28"/>
  <c r="AA1638" i="28"/>
  <c r="C1639" i="28"/>
  <c r="V1639" i="28"/>
  <c r="W1639" i="28" s="1"/>
  <c r="Z1639" i="28"/>
  <c r="AA1639" i="28"/>
  <c r="C1640" i="28"/>
  <c r="V1640" i="28"/>
  <c r="W1640" i="28" s="1"/>
  <c r="X1640" i="28" s="1"/>
  <c r="Y1640" i="28" s="1"/>
  <c r="AC1640" i="28" s="1"/>
  <c r="Z1640" i="28"/>
  <c r="AA1640" i="28"/>
  <c r="C1641" i="28"/>
  <c r="V1641" i="28"/>
  <c r="W1641" i="28" s="1"/>
  <c r="Z1641" i="28"/>
  <c r="AA1641" i="28"/>
  <c r="C1642" i="28"/>
  <c r="V1642" i="28"/>
  <c r="Z1642" i="28"/>
  <c r="AA1642" i="28"/>
  <c r="C1643" i="28"/>
  <c r="V1643" i="28"/>
  <c r="W1643" i="28" s="1"/>
  <c r="Z1643" i="28"/>
  <c r="AA1643" i="28"/>
  <c r="C1644" i="28"/>
  <c r="V1644" i="28"/>
  <c r="W1644" i="28" s="1"/>
  <c r="Z1644" i="28"/>
  <c r="AA1644" i="28"/>
  <c r="C1645" i="28"/>
  <c r="V1645" i="28"/>
  <c r="W1645" i="28" s="1"/>
  <c r="Z1645" i="28"/>
  <c r="AA1645" i="28"/>
  <c r="C1646" i="28"/>
  <c r="V1646" i="28"/>
  <c r="W1646" i="28" s="1"/>
  <c r="X1646" i="28" s="1"/>
  <c r="Y1646" i="28" s="1"/>
  <c r="AC1646" i="28" s="1"/>
  <c r="Z1646" i="28"/>
  <c r="AA1646" i="28"/>
  <c r="C1647" i="28"/>
  <c r="V1647" i="28"/>
  <c r="W1647" i="28" s="1"/>
  <c r="Z1647" i="28"/>
  <c r="AA1647" i="28"/>
  <c r="C1648" i="28"/>
  <c r="V1648" i="28"/>
  <c r="Z1648" i="28"/>
  <c r="AA1648" i="28"/>
  <c r="C1649" i="28"/>
  <c r="V1649" i="28"/>
  <c r="W1649" i="28" s="1"/>
  <c r="Z1649" i="28"/>
  <c r="AA1649" i="28"/>
  <c r="C1650" i="28"/>
  <c r="V1650" i="28"/>
  <c r="W1650" i="28" s="1"/>
  <c r="Z1650" i="28"/>
  <c r="AA1650" i="28"/>
  <c r="C1651" i="28"/>
  <c r="V1651" i="28"/>
  <c r="W1651" i="28" s="1"/>
  <c r="Z1651" i="28"/>
  <c r="AA1651" i="28"/>
  <c r="C1652" i="28"/>
  <c r="V1652" i="28"/>
  <c r="W1652" i="28" s="1"/>
  <c r="X1652" i="28" s="1"/>
  <c r="Y1652" i="28" s="1"/>
  <c r="AC1652" i="28" s="1"/>
  <c r="Z1652" i="28"/>
  <c r="AA1652" i="28"/>
  <c r="C1653" i="28"/>
  <c r="V1653" i="28"/>
  <c r="W1653" i="28" s="1"/>
  <c r="Z1653" i="28"/>
  <c r="AA1653" i="28"/>
  <c r="C1654" i="28"/>
  <c r="V1654" i="28"/>
  <c r="Z1654" i="28"/>
  <c r="AA1654" i="28"/>
  <c r="C1655" i="28"/>
  <c r="V1655" i="28"/>
  <c r="W1655" i="28" s="1"/>
  <c r="Z1655" i="28"/>
  <c r="AA1655" i="28"/>
  <c r="C1656" i="28"/>
  <c r="V1656" i="28"/>
  <c r="W1656" i="28" s="1"/>
  <c r="Z1656" i="28"/>
  <c r="AA1656" i="28"/>
  <c r="C1657" i="28"/>
  <c r="V1657" i="28"/>
  <c r="W1657" i="28" s="1"/>
  <c r="Z1657" i="28"/>
  <c r="AA1657" i="28"/>
  <c r="C1658" i="28"/>
  <c r="V1658" i="28"/>
  <c r="W1658" i="28" s="1"/>
  <c r="X1658" i="28" s="1"/>
  <c r="Y1658" i="28" s="1"/>
  <c r="AC1658" i="28" s="1"/>
  <c r="Z1658" i="28"/>
  <c r="AA1658" i="28"/>
  <c r="C1659" i="28"/>
  <c r="V1659" i="28"/>
  <c r="W1659" i="28" s="1"/>
  <c r="X1659" i="28" s="1"/>
  <c r="Y1659" i="28" s="1"/>
  <c r="AC1659" i="28" s="1"/>
  <c r="Z1659" i="28"/>
  <c r="AA1659" i="28"/>
  <c r="C1660" i="28"/>
  <c r="V1660" i="28"/>
  <c r="W1660" i="28" s="1"/>
  <c r="Z1660" i="28"/>
  <c r="AA1660" i="28"/>
  <c r="C1661" i="28"/>
  <c r="V1661" i="28"/>
  <c r="W1661" i="28" s="1"/>
  <c r="Z1661" i="28"/>
  <c r="AA1661" i="28"/>
  <c r="C1662" i="28"/>
  <c r="V1662" i="28"/>
  <c r="W1662" i="28" s="1"/>
  <c r="Z1662" i="28"/>
  <c r="AA1662" i="28"/>
  <c r="C1663" i="28"/>
  <c r="V1663" i="28"/>
  <c r="W1663" i="28" s="1"/>
  <c r="Z1663" i="28"/>
  <c r="AA1663" i="28"/>
  <c r="C1664" i="28"/>
  <c r="V1664" i="28"/>
  <c r="W1664" i="28" s="1"/>
  <c r="Z1664" i="28"/>
  <c r="AA1664" i="28"/>
  <c r="C1665" i="28"/>
  <c r="V1665" i="28"/>
  <c r="W1665" i="28" s="1"/>
  <c r="Z1665" i="28"/>
  <c r="AA1665" i="28"/>
  <c r="C1666" i="28"/>
  <c r="V1666" i="28"/>
  <c r="Z1666" i="28"/>
  <c r="AA1666" i="28"/>
  <c r="C1667" i="28"/>
  <c r="V1667" i="28"/>
  <c r="W1667" i="28" s="1"/>
  <c r="Z1667" i="28"/>
  <c r="AA1667" i="28"/>
  <c r="C1668" i="28"/>
  <c r="V1668" i="28"/>
  <c r="W1668" i="28" s="1"/>
  <c r="Z1668" i="28"/>
  <c r="AA1668" i="28"/>
  <c r="C1669" i="28"/>
  <c r="V1669" i="28"/>
  <c r="W1669" i="28" s="1"/>
  <c r="Z1669" i="28"/>
  <c r="AA1669" i="28"/>
  <c r="C1670" i="28"/>
  <c r="V1670" i="28"/>
  <c r="W1670" i="28" s="1"/>
  <c r="Z1670" i="28"/>
  <c r="AA1670" i="28"/>
  <c r="C1671" i="28"/>
  <c r="V1671" i="28"/>
  <c r="W1671" i="28" s="1"/>
  <c r="Z1671" i="28"/>
  <c r="AA1671" i="28"/>
  <c r="C1672" i="28"/>
  <c r="V1672" i="28"/>
  <c r="W1672" i="28" s="1"/>
  <c r="Z1672" i="28"/>
  <c r="AA1672" i="28"/>
  <c r="C1673" i="28"/>
  <c r="V1673" i="28"/>
  <c r="W1673" i="28" s="1"/>
  <c r="Z1673" i="28"/>
  <c r="AA1673" i="28"/>
  <c r="C1674" i="28"/>
  <c r="V1674" i="28"/>
  <c r="W1674" i="28" s="1"/>
  <c r="Z1674" i="28"/>
  <c r="AA1674" i="28"/>
  <c r="C1675" i="28"/>
  <c r="V1675" i="28"/>
  <c r="W1675" i="28" s="1"/>
  <c r="Z1675" i="28"/>
  <c r="AA1675" i="28"/>
  <c r="C1676" i="28"/>
  <c r="V1676" i="28"/>
  <c r="Z1676" i="28"/>
  <c r="AA1676" i="28"/>
  <c r="C1677" i="28"/>
  <c r="V1677" i="28"/>
  <c r="Z1677" i="28"/>
  <c r="AA1677" i="28"/>
  <c r="C1678" i="28"/>
  <c r="V1678" i="28"/>
  <c r="W1678" i="28" s="1"/>
  <c r="Z1678" i="28"/>
  <c r="AA1678" i="28"/>
  <c r="C1679" i="28"/>
  <c r="V1679" i="28"/>
  <c r="W1679" i="28" s="1"/>
  <c r="Z1679" i="28"/>
  <c r="AA1679" i="28"/>
  <c r="C1680" i="28"/>
  <c r="V1680" i="28"/>
  <c r="W1680" i="28" s="1"/>
  <c r="Z1680" i="28"/>
  <c r="AA1680" i="28"/>
  <c r="C1681" i="28"/>
  <c r="V1681" i="28"/>
  <c r="W1681" i="28" s="1"/>
  <c r="Z1681" i="28"/>
  <c r="AA1681" i="28"/>
  <c r="C1682" i="28"/>
  <c r="V1682" i="28"/>
  <c r="W1682" i="28" s="1"/>
  <c r="X1682" i="28" s="1"/>
  <c r="Y1682" i="28" s="1"/>
  <c r="AC1682" i="28" s="1"/>
  <c r="Z1682" i="28"/>
  <c r="AA1682" i="28"/>
  <c r="C1683" i="28"/>
  <c r="V1683" i="28"/>
  <c r="W1683" i="28" s="1"/>
  <c r="Z1683" i="28"/>
  <c r="AA1683" i="28"/>
  <c r="C1684" i="28"/>
  <c r="V1684" i="28"/>
  <c r="W1684" i="28" s="1"/>
  <c r="X1684" i="28" s="1"/>
  <c r="Y1684" i="28" s="1"/>
  <c r="AC1684" i="28" s="1"/>
  <c r="Z1684" i="28"/>
  <c r="AA1684" i="28"/>
  <c r="C1685" i="28"/>
  <c r="V1685" i="28"/>
  <c r="W1685" i="28" s="1"/>
  <c r="Z1685" i="28"/>
  <c r="AA1685" i="28"/>
  <c r="C1686" i="28"/>
  <c r="V1686" i="28"/>
  <c r="W1686" i="28" s="1"/>
  <c r="Z1686" i="28"/>
  <c r="AA1686" i="28"/>
  <c r="C1687" i="28"/>
  <c r="V1687" i="28"/>
  <c r="W1687" i="28" s="1"/>
  <c r="X1687" i="28" s="1"/>
  <c r="Y1687" i="28" s="1"/>
  <c r="AC1687" i="28" s="1"/>
  <c r="Z1687" i="28"/>
  <c r="AA1687" i="28"/>
  <c r="C1688" i="28"/>
  <c r="V1688" i="28"/>
  <c r="Z1688" i="28"/>
  <c r="AA1688" i="28"/>
  <c r="C1689" i="28"/>
  <c r="V1689" i="28"/>
  <c r="W1689" i="28" s="1"/>
  <c r="Z1689" i="28"/>
  <c r="AA1689" i="28"/>
  <c r="C1690" i="28"/>
  <c r="V1690" i="28"/>
  <c r="W1690" i="28" s="1"/>
  <c r="X1690" i="28" s="1"/>
  <c r="Y1690" i="28" s="1"/>
  <c r="AC1690" i="28" s="1"/>
  <c r="Z1690" i="28"/>
  <c r="AA1690" i="28"/>
  <c r="C1691" i="28"/>
  <c r="V1691" i="28"/>
  <c r="W1691" i="28" s="1"/>
  <c r="Z1691" i="28"/>
  <c r="AA1691" i="28"/>
  <c r="C1692" i="28"/>
  <c r="V1692" i="28"/>
  <c r="W1692" i="28" s="1"/>
  <c r="Z1692" i="28"/>
  <c r="AA1692" i="28"/>
  <c r="C1693" i="28"/>
  <c r="V1693" i="28"/>
  <c r="W1693" i="28" s="1"/>
  <c r="Z1693" i="28"/>
  <c r="AA1693" i="28"/>
  <c r="X1678" i="28" l="1"/>
  <c r="Y1678" i="28" s="1"/>
  <c r="AC1678" i="28" s="1"/>
  <c r="X1626" i="28"/>
  <c r="Y1626" i="28" s="1"/>
  <c r="AC1626" i="28" s="1"/>
  <c r="X1672" i="28"/>
  <c r="Y1672" i="28" s="1"/>
  <c r="AC1672" i="28" s="1"/>
  <c r="X1639" i="28"/>
  <c r="Y1639" i="28" s="1"/>
  <c r="AC1639" i="28" s="1"/>
  <c r="X1651" i="28"/>
  <c r="Y1651" i="28" s="1"/>
  <c r="AC1651" i="28" s="1"/>
  <c r="X1669" i="28"/>
  <c r="Y1669" i="28" s="1"/>
  <c r="AC1669" i="28" s="1"/>
  <c r="X1675" i="28"/>
  <c r="Y1675" i="28" s="1"/>
  <c r="AC1675" i="28" s="1"/>
  <c r="X1671" i="28"/>
  <c r="Y1671" i="28" s="1"/>
  <c r="AC1671" i="28" s="1"/>
  <c r="X1656" i="28"/>
  <c r="Y1656" i="28" s="1"/>
  <c r="AC1656" i="28" s="1"/>
  <c r="X1633" i="28"/>
  <c r="Y1633" i="28" s="1"/>
  <c r="AC1633" i="28" s="1"/>
  <c r="X1680" i="28"/>
  <c r="Y1680" i="28" s="1"/>
  <c r="AC1680" i="28" s="1"/>
  <c r="X1650" i="28"/>
  <c r="Y1650" i="28" s="1"/>
  <c r="AC1650" i="28" s="1"/>
  <c r="X1663" i="28"/>
  <c r="Y1663" i="28" s="1"/>
  <c r="AC1663" i="28" s="1"/>
  <c r="X1635" i="28"/>
  <c r="Y1635" i="28" s="1"/>
  <c r="AC1635" i="28" s="1"/>
  <c r="X1668" i="28"/>
  <c r="Y1668" i="28" s="1"/>
  <c r="AC1668" i="28" s="1"/>
  <c r="X1632" i="28"/>
  <c r="Y1632" i="28" s="1"/>
  <c r="AC1632" i="28" s="1"/>
  <c r="X1674" i="28"/>
  <c r="Y1674" i="28" s="1"/>
  <c r="AC1674" i="28" s="1"/>
  <c r="X1622" i="28"/>
  <c r="Y1622" i="28" s="1"/>
  <c r="AC1622" i="28" s="1"/>
  <c r="X1662" i="28"/>
  <c r="Y1662" i="28" s="1"/>
  <c r="AC1662" i="28" s="1"/>
  <c r="X1634" i="28"/>
  <c r="Y1634" i="28" s="1"/>
  <c r="AC1634" i="28" s="1"/>
  <c r="X1665" i="28"/>
  <c r="Y1665" i="28" s="1"/>
  <c r="AC1665" i="28" s="1"/>
  <c r="X1653" i="28"/>
  <c r="Y1653" i="28" s="1"/>
  <c r="AC1653" i="28" s="1"/>
  <c r="X1692" i="28"/>
  <c r="Y1692" i="28" s="1"/>
  <c r="AC1692" i="28" s="1"/>
  <c r="X1685" i="28"/>
  <c r="Y1685" i="28" s="1"/>
  <c r="AC1685" i="28" s="1"/>
  <c r="X1641" i="28"/>
  <c r="Y1641" i="28" s="1"/>
  <c r="AC1641" i="28" s="1"/>
  <c r="X1623" i="28"/>
  <c r="Y1623" i="28" s="1"/>
  <c r="AC1623" i="28" s="1"/>
  <c r="X1686" i="28"/>
  <c r="Y1686" i="28" s="1"/>
  <c r="AC1686" i="28" s="1"/>
  <c r="X1629" i="28"/>
  <c r="Y1629" i="28" s="1"/>
  <c r="AC1629" i="28" s="1"/>
  <c r="X1620" i="28"/>
  <c r="Y1620" i="28" s="1"/>
  <c r="AC1620" i="28" s="1"/>
  <c r="X1647" i="28"/>
  <c r="Y1647" i="28" s="1"/>
  <c r="AC1647" i="28" s="1"/>
  <c r="X1645" i="28"/>
  <c r="Y1645" i="28" s="1"/>
  <c r="AC1645" i="28" s="1"/>
  <c r="X1693" i="28"/>
  <c r="Y1693" i="28" s="1"/>
  <c r="AC1693" i="28" s="1"/>
  <c r="X1643" i="28"/>
  <c r="Y1643" i="28" s="1"/>
  <c r="AC1643" i="28" s="1"/>
  <c r="X1667" i="28"/>
  <c r="Y1667" i="28" s="1"/>
  <c r="AC1667" i="28" s="1"/>
  <c r="W1624" i="28"/>
  <c r="X1624" i="28" s="1"/>
  <c r="Y1624" i="28" s="1"/>
  <c r="AC1624" i="28" s="1"/>
  <c r="X1691" i="28"/>
  <c r="Y1691" i="28" s="1"/>
  <c r="AC1691" i="28" s="1"/>
  <c r="W1666" i="28"/>
  <c r="X1666" i="28" s="1"/>
  <c r="Y1666" i="28" s="1"/>
  <c r="AC1666" i="28" s="1"/>
  <c r="W1642" i="28"/>
  <c r="X1642" i="28" s="1"/>
  <c r="Y1642" i="28" s="1"/>
  <c r="AC1642" i="28" s="1"/>
  <c r="W1676" i="28"/>
  <c r="X1676" i="28" s="1"/>
  <c r="Y1676" i="28" s="1"/>
  <c r="AC1676" i="28" s="1"/>
  <c r="W1636" i="28"/>
  <c r="X1636" i="28" s="1"/>
  <c r="Y1636" i="28" s="1"/>
  <c r="AC1636" i="28" s="1"/>
  <c r="X1673" i="28"/>
  <c r="Y1673" i="28" s="1"/>
  <c r="AC1673" i="28" s="1"/>
  <c r="X1681" i="28"/>
  <c r="Y1681" i="28" s="1"/>
  <c r="AC1681" i="28" s="1"/>
  <c r="W1654" i="28"/>
  <c r="X1654" i="28" s="1"/>
  <c r="Y1654" i="28" s="1"/>
  <c r="AC1654" i="28" s="1"/>
  <c r="X1619" i="28"/>
  <c r="Y1619" i="28" s="1"/>
  <c r="AC1619" i="28" s="1"/>
  <c r="W1688" i="28"/>
  <c r="X1688" i="28" s="1"/>
  <c r="Y1688" i="28" s="1"/>
  <c r="AC1688" i="28" s="1"/>
  <c r="X1670" i="28"/>
  <c r="Y1670" i="28" s="1"/>
  <c r="AC1670" i="28" s="1"/>
  <c r="W1677" i="28"/>
  <c r="X1677" i="28" s="1"/>
  <c r="Y1677" i="28" s="1"/>
  <c r="AC1677" i="28" s="1"/>
  <c r="X1657" i="28"/>
  <c r="Y1657" i="28" s="1"/>
  <c r="AC1657" i="28" s="1"/>
  <c r="W1648" i="28"/>
  <c r="X1648" i="28" s="1"/>
  <c r="Y1648" i="28" s="1"/>
  <c r="AC1648" i="28" s="1"/>
  <c r="X1660" i="28"/>
  <c r="Y1660" i="28" s="1"/>
  <c r="AC1660" i="28" s="1"/>
  <c r="X1631" i="28"/>
  <c r="Y1631" i="28" s="1"/>
  <c r="AC1631" i="28" s="1"/>
  <c r="W1625" i="28"/>
  <c r="X1625" i="28" s="1"/>
  <c r="Y1625" i="28" s="1"/>
  <c r="AC1625" i="28" s="1"/>
  <c r="X1637" i="28"/>
  <c r="Y1637" i="28" s="1"/>
  <c r="AC1637" i="28" s="1"/>
  <c r="X1683" i="28"/>
  <c r="Y1683" i="28" s="1"/>
  <c r="AC1683" i="28" s="1"/>
  <c r="X1655" i="28"/>
  <c r="Y1655" i="28" s="1"/>
  <c r="AC1655" i="28" s="1"/>
  <c r="W1618" i="28"/>
  <c r="X1618" i="28" s="1"/>
  <c r="Y1618" i="28" s="1"/>
  <c r="AC1618" i="28" s="1"/>
  <c r="X1689" i="28"/>
  <c r="Y1689" i="28" s="1"/>
  <c r="AC1689" i="28" s="1"/>
  <c r="X1679" i="28"/>
  <c r="Y1679" i="28" s="1"/>
  <c r="AC1679" i="28" s="1"/>
  <c r="X1649" i="28"/>
  <c r="Y1649" i="28" s="1"/>
  <c r="AC1649" i="28" s="1"/>
  <c r="X1644" i="28"/>
  <c r="Y1644" i="28" s="1"/>
  <c r="AC1644" i="28" s="1"/>
  <c r="X1621" i="28"/>
  <c r="Y1621" i="28" s="1"/>
  <c r="AC1621" i="28" s="1"/>
  <c r="X1661" i="28"/>
  <c r="Y1661" i="28" s="1"/>
  <c r="AC1661" i="28" s="1"/>
  <c r="W1630" i="28"/>
  <c r="X1630" i="28" s="1"/>
  <c r="Y1630" i="28" s="1"/>
  <c r="AC1630" i="28" s="1"/>
  <c r="X1664" i="28"/>
  <c r="Y1664" i="28" s="1"/>
  <c r="AC1664" i="28" s="1"/>
  <c r="X1617" i="28"/>
  <c r="Y1617" i="28" s="1"/>
  <c r="AC1617" i="28" s="1"/>
  <c r="C1614" i="28" l="1"/>
  <c r="V1614" i="28"/>
  <c r="W1614" i="28" s="1"/>
  <c r="Z1614" i="28"/>
  <c r="AA1614" i="28"/>
  <c r="X1614" i="28" l="1"/>
  <c r="Y1614" i="28" s="1"/>
  <c r="AC1614" i="28" s="1"/>
  <c r="B1572" i="28" l="1"/>
  <c r="B1573" i="28" s="1"/>
  <c r="B1574" i="28" s="1"/>
  <c r="B1575" i="28" s="1"/>
  <c r="B1576" i="28" s="1"/>
  <c r="B1577" i="28" s="1"/>
  <c r="B1578" i="28" s="1"/>
  <c r="B1579" i="28" s="1"/>
  <c r="B1580" i="28" s="1"/>
  <c r="B1581" i="28" s="1"/>
  <c r="B1582" i="28" s="1"/>
  <c r="B1583" i="28" s="1"/>
  <c r="B1584" i="28" s="1"/>
  <c r="B1585" i="28" s="1"/>
  <c r="B1586" i="28" s="1"/>
  <c r="B1587" i="28" s="1"/>
  <c r="B1588" i="28" s="1"/>
  <c r="B1589" i="28" s="1"/>
  <c r="B1590" i="28" s="1"/>
  <c r="B1591" i="28" s="1"/>
  <c r="B1592" i="28" s="1"/>
  <c r="B1593" i="28" s="1"/>
  <c r="B1594" i="28" s="1"/>
  <c r="B1595" i="28" s="1"/>
  <c r="B1596" i="28" s="1"/>
  <c r="B1597" i="28" s="1"/>
  <c r="B1598" i="28" s="1"/>
  <c r="B1599" i="28" s="1"/>
  <c r="B1600" i="28" s="1"/>
  <c r="B1601" i="28" s="1"/>
  <c r="B1602" i="28" s="1"/>
  <c r="B1603" i="28" s="1"/>
  <c r="B1604" i="28" s="1"/>
  <c r="B1605" i="28" s="1"/>
  <c r="B1606" i="28" s="1"/>
  <c r="B1607" i="28" s="1"/>
  <c r="B1608" i="28" s="1"/>
  <c r="B1609" i="28" s="1"/>
  <c r="B1610" i="28" s="1"/>
  <c r="B1611" i="28" s="1"/>
  <c r="B1612" i="28" s="1"/>
  <c r="B1613" i="28" s="1"/>
  <c r="B1522" i="28"/>
  <c r="B1523" i="28" s="1"/>
  <c r="B1524" i="28" s="1"/>
  <c r="B1525" i="28" s="1"/>
  <c r="B1526" i="28" s="1"/>
  <c r="B1527" i="28" s="1"/>
  <c r="B1528" i="28" s="1"/>
  <c r="B1529" i="28" s="1"/>
  <c r="B1530" i="28" s="1"/>
  <c r="B1531" i="28" s="1"/>
  <c r="B1532" i="28" s="1"/>
  <c r="B1533" i="28" s="1"/>
  <c r="B1534" i="28" s="1"/>
  <c r="B1535" i="28" s="1"/>
  <c r="B1536" i="28" s="1"/>
  <c r="B1537" i="28" s="1"/>
  <c r="B1538" i="28" s="1"/>
  <c r="B1539" i="28" s="1"/>
  <c r="B1540" i="28" s="1"/>
  <c r="B1541" i="28" s="1"/>
  <c r="B1542" i="28" s="1"/>
  <c r="B1543" i="28" s="1"/>
  <c r="B1544" i="28" s="1"/>
  <c r="B1545" i="28" s="1"/>
  <c r="B1546" i="28" s="1"/>
  <c r="B1547" i="28" s="1"/>
  <c r="B1548" i="28" s="1"/>
  <c r="B1549" i="28" s="1"/>
  <c r="B1550" i="28" s="1"/>
  <c r="B1551" i="28" s="1"/>
  <c r="B1552" i="28" s="1"/>
  <c r="B1553" i="28" s="1"/>
  <c r="B1554" i="28" s="1"/>
  <c r="B1555" i="28" s="1"/>
  <c r="B1556" i="28" s="1"/>
  <c r="B1557" i="28" s="1"/>
  <c r="B1558" i="28" s="1"/>
  <c r="B1559" i="28" s="1"/>
  <c r="B1560" i="28" s="1"/>
  <c r="B1561" i="28" s="1"/>
  <c r="B1562" i="28" s="1"/>
  <c r="B1563" i="28" s="1"/>
  <c r="B1564" i="28" s="1"/>
  <c r="B1565" i="28" s="1"/>
  <c r="B1566" i="28" s="1"/>
  <c r="B1567" i="28" s="1"/>
  <c r="B1568" i="28" s="1"/>
  <c r="B1569" i="28" s="1"/>
  <c r="B1570" i="28" s="1"/>
  <c r="B1477" i="28"/>
  <c r="B1478" i="28" s="1"/>
  <c r="B1479" i="28" s="1"/>
  <c r="B1480" i="28" s="1"/>
  <c r="B1481" i="28" s="1"/>
  <c r="B1482" i="28" s="1"/>
  <c r="B1483" i="28" s="1"/>
  <c r="B1484" i="28" s="1"/>
  <c r="B1485" i="28" s="1"/>
  <c r="B1486" i="28" s="1"/>
  <c r="B1487" i="28" s="1"/>
  <c r="B1488" i="28" s="1"/>
  <c r="B1489" i="28" s="1"/>
  <c r="B1490" i="28" s="1"/>
  <c r="B1491" i="28" s="1"/>
  <c r="B1492" i="28" s="1"/>
  <c r="B1493" i="28" s="1"/>
  <c r="B1494" i="28" s="1"/>
  <c r="B1495" i="28" s="1"/>
  <c r="B1496" i="28" s="1"/>
  <c r="B1497" i="28" s="1"/>
  <c r="B1498" i="28" s="1"/>
  <c r="B1499" i="28" s="1"/>
  <c r="B1500" i="28" s="1"/>
  <c r="B1501" i="28" s="1"/>
  <c r="B1502" i="28" s="1"/>
  <c r="B1503" i="28" s="1"/>
  <c r="B1504" i="28" s="1"/>
  <c r="B1505" i="28" s="1"/>
  <c r="B1506" i="28" s="1"/>
  <c r="B1507" i="28" s="1"/>
  <c r="B1508" i="28" s="1"/>
  <c r="B1509" i="28" s="1"/>
  <c r="B1510" i="28" s="1"/>
  <c r="B1511" i="28" s="1"/>
  <c r="B1512" i="28" s="1"/>
  <c r="B1513" i="28" s="1"/>
  <c r="B1514" i="28" s="1"/>
  <c r="B1515" i="28" s="1"/>
  <c r="B1516" i="28" s="1"/>
  <c r="B1517" i="28" s="1"/>
  <c r="B1518" i="28" s="1"/>
  <c r="B1519" i="28" s="1"/>
  <c r="B1520" i="28" s="1"/>
  <c r="B1432" i="28"/>
  <c r="B1433" i="28" s="1"/>
  <c r="B1434" i="28" s="1"/>
  <c r="B1435" i="28" s="1"/>
  <c r="B1436" i="28" s="1"/>
  <c r="B1437" i="28" s="1"/>
  <c r="B1438" i="28" s="1"/>
  <c r="B1439" i="28" s="1"/>
  <c r="B1440" i="28" s="1"/>
  <c r="B1441" i="28" s="1"/>
  <c r="B1442" i="28" s="1"/>
  <c r="B1443" i="28" s="1"/>
  <c r="B1444" i="28" s="1"/>
  <c r="B1445" i="28" s="1"/>
  <c r="B1446" i="28" s="1"/>
  <c r="B1447" i="28" s="1"/>
  <c r="B1448" i="28" s="1"/>
  <c r="B1449" i="28" s="1"/>
  <c r="B1450" i="28" s="1"/>
  <c r="B1451" i="28" s="1"/>
  <c r="B1452" i="28" s="1"/>
  <c r="B1453" i="28" s="1"/>
  <c r="B1454" i="28" s="1"/>
  <c r="B1455" i="28" s="1"/>
  <c r="B1456" i="28" s="1"/>
  <c r="B1457" i="28" s="1"/>
  <c r="B1458" i="28" s="1"/>
  <c r="B1459" i="28" s="1"/>
  <c r="B1460" i="28" s="1"/>
  <c r="B1461" i="28" s="1"/>
  <c r="B1462" i="28" s="1"/>
  <c r="B1463" i="28" s="1"/>
  <c r="B1464" i="28" s="1"/>
  <c r="B1465" i="28" s="1"/>
  <c r="B1466" i="28" s="1"/>
  <c r="B1467" i="28" s="1"/>
  <c r="B1468" i="28" s="1"/>
  <c r="B1469" i="28" s="1"/>
  <c r="B1470" i="28" s="1"/>
  <c r="B1471" i="28" s="1"/>
  <c r="B1472" i="28" s="1"/>
  <c r="B1473" i="28" s="1"/>
  <c r="B1474" i="28" s="1"/>
  <c r="B1475" i="28" s="1"/>
  <c r="B1386" i="28"/>
  <c r="B1387" i="28" s="1"/>
  <c r="B1388" i="28" s="1"/>
  <c r="B1389" i="28" s="1"/>
  <c r="B1390" i="28" s="1"/>
  <c r="B1391" i="28" s="1"/>
  <c r="B1392" i="28" s="1"/>
  <c r="B1393" i="28" s="1"/>
  <c r="B1394" i="28" s="1"/>
  <c r="B1395" i="28" s="1"/>
  <c r="B1396" i="28" s="1"/>
  <c r="B1397" i="28" s="1"/>
  <c r="B1398" i="28" s="1"/>
  <c r="B1399" i="28" s="1"/>
  <c r="B1400" i="28" s="1"/>
  <c r="B1401" i="28" s="1"/>
  <c r="B1402" i="28" s="1"/>
  <c r="B1403" i="28" s="1"/>
  <c r="B1404" i="28" s="1"/>
  <c r="B1405" i="28" s="1"/>
  <c r="B1406" i="28" s="1"/>
  <c r="B1407" i="28" s="1"/>
  <c r="B1408" i="28" s="1"/>
  <c r="B1409" i="28" s="1"/>
  <c r="B1410" i="28" s="1"/>
  <c r="B1411" i="28" s="1"/>
  <c r="B1412" i="28" s="1"/>
  <c r="B1413" i="28" s="1"/>
  <c r="B1414" i="28" s="1"/>
  <c r="B1415" i="28" s="1"/>
  <c r="B1416" i="28" s="1"/>
  <c r="B1417" i="28" s="1"/>
  <c r="B1418" i="28" s="1"/>
  <c r="B1419" i="28" s="1"/>
  <c r="B1420" i="28" s="1"/>
  <c r="B1421" i="28" s="1"/>
  <c r="B1422" i="28" s="1"/>
  <c r="B1423" i="28" s="1"/>
  <c r="B1424" i="28" s="1"/>
  <c r="B1425" i="28" s="1"/>
  <c r="B1426" i="28" s="1"/>
  <c r="B1427" i="28" s="1"/>
  <c r="B1428" i="28" s="1"/>
  <c r="B1429" i="28" s="1"/>
  <c r="B1430" i="28" s="1"/>
  <c r="B1343" i="28"/>
  <c r="B1344" i="28" s="1"/>
  <c r="B1345" i="28" s="1"/>
  <c r="B1346" i="28" s="1"/>
  <c r="B1347" i="28" s="1"/>
  <c r="B1348" i="28" s="1"/>
  <c r="B1349" i="28" s="1"/>
  <c r="B1350" i="28" s="1"/>
  <c r="B1351" i="28" s="1"/>
  <c r="B1352" i="28" s="1"/>
  <c r="B1353" i="28" s="1"/>
  <c r="B1354" i="28" s="1"/>
  <c r="B1355" i="28" s="1"/>
  <c r="B1356" i="28" s="1"/>
  <c r="B1357" i="28" s="1"/>
  <c r="B1358" i="28" s="1"/>
  <c r="B1359" i="28" s="1"/>
  <c r="B1360" i="28" s="1"/>
  <c r="B1361" i="28" s="1"/>
  <c r="B1362" i="28" s="1"/>
  <c r="B1363" i="28" s="1"/>
  <c r="B1364" i="28" s="1"/>
  <c r="B1365" i="28" s="1"/>
  <c r="B1366" i="28" s="1"/>
  <c r="B1367" i="28" s="1"/>
  <c r="B1368" i="28" s="1"/>
  <c r="B1369" i="28" s="1"/>
  <c r="B1370" i="28" s="1"/>
  <c r="B1371" i="28" s="1"/>
  <c r="B1372" i="28" s="1"/>
  <c r="B1373" i="28" s="1"/>
  <c r="B1374" i="28" s="1"/>
  <c r="B1375" i="28" s="1"/>
  <c r="B1376" i="28" s="1"/>
  <c r="B1377" i="28" s="1"/>
  <c r="B1378" i="28" s="1"/>
  <c r="B1379" i="28" s="1"/>
  <c r="B1380" i="28" s="1"/>
  <c r="B1381" i="28" s="1"/>
  <c r="B1382" i="28" s="1"/>
  <c r="B1383" i="28" s="1"/>
  <c r="B1384" i="28" s="1"/>
  <c r="B1294" i="28"/>
  <c r="B1295" i="28" s="1"/>
  <c r="B1296" i="28" s="1"/>
  <c r="B1297" i="28" s="1"/>
  <c r="B1298" i="28" s="1"/>
  <c r="B1299" i="28" s="1"/>
  <c r="B1300" i="28" s="1"/>
  <c r="B1301" i="28" s="1"/>
  <c r="B1302" i="28" s="1"/>
  <c r="B1303" i="28" s="1"/>
  <c r="B1304" i="28" s="1"/>
  <c r="B1305" i="28" s="1"/>
  <c r="B1306" i="28" s="1"/>
  <c r="B1307" i="28" s="1"/>
  <c r="B1308" i="28" s="1"/>
  <c r="B1309" i="28" s="1"/>
  <c r="B1310" i="28" s="1"/>
  <c r="B1311" i="28" s="1"/>
  <c r="B1312" i="28" s="1"/>
  <c r="B1313" i="28" s="1"/>
  <c r="B1314" i="28" s="1"/>
  <c r="B1315" i="28" s="1"/>
  <c r="B1316" i="28" s="1"/>
  <c r="B1317" i="28" s="1"/>
  <c r="B1318" i="28" s="1"/>
  <c r="B1319" i="28" s="1"/>
  <c r="B1320" i="28" s="1"/>
  <c r="B1321" i="28" s="1"/>
  <c r="B1322" i="28" s="1"/>
  <c r="B1323" i="28" s="1"/>
  <c r="B1324" i="28" s="1"/>
  <c r="B1325" i="28" s="1"/>
  <c r="B1326" i="28" s="1"/>
  <c r="B1327" i="28" s="1"/>
  <c r="B1328" i="28" s="1"/>
  <c r="B1329" i="28" s="1"/>
  <c r="B1330" i="28" s="1"/>
  <c r="B1331" i="28" s="1"/>
  <c r="B1332" i="28" s="1"/>
  <c r="B1333" i="28" s="1"/>
  <c r="B1334" i="28" s="1"/>
  <c r="B1335" i="28" s="1"/>
  <c r="B1336" i="28" s="1"/>
  <c r="B1337" i="28" s="1"/>
  <c r="B1338" i="28" s="1"/>
  <c r="B1339" i="28" s="1"/>
  <c r="B1340" i="28" s="1"/>
  <c r="B1341" i="28" s="1"/>
  <c r="B1233" i="28"/>
  <c r="B1234" i="28" s="1"/>
  <c r="B1235" i="28" s="1"/>
  <c r="B1236" i="28" s="1"/>
  <c r="B1237" i="28" s="1"/>
  <c r="B1238" i="28" s="1"/>
  <c r="B1239" i="28" s="1"/>
  <c r="B1240" i="28" s="1"/>
  <c r="B1241" i="28" s="1"/>
  <c r="B1242" i="28" s="1"/>
  <c r="B1243" i="28" s="1"/>
  <c r="B1244" i="28" s="1"/>
  <c r="B1245" i="28" s="1"/>
  <c r="B1246" i="28" s="1"/>
  <c r="B1247" i="28" s="1"/>
  <c r="B1248" i="28" s="1"/>
  <c r="B1249" i="28" s="1"/>
  <c r="B1250" i="28" s="1"/>
  <c r="B1251" i="28" s="1"/>
  <c r="B1252" i="28" s="1"/>
  <c r="B1253" i="28" s="1"/>
  <c r="B1254" i="28" s="1"/>
  <c r="B1255" i="28" s="1"/>
  <c r="B1256" i="28" s="1"/>
  <c r="B1257" i="28" s="1"/>
  <c r="B1258" i="28" s="1"/>
  <c r="B1259" i="28" s="1"/>
  <c r="B1260" i="28" s="1"/>
  <c r="B1261" i="28" s="1"/>
  <c r="B1262" i="28" s="1"/>
  <c r="B1263" i="28" s="1"/>
  <c r="B1264" i="28" s="1"/>
  <c r="B1265" i="28" s="1"/>
  <c r="B1266" i="28" s="1"/>
  <c r="B1267" i="28" s="1"/>
  <c r="B1268" i="28" s="1"/>
  <c r="B1269" i="28" s="1"/>
  <c r="B1270" i="28" s="1"/>
  <c r="B1271" i="28" s="1"/>
  <c r="B1272" i="28" s="1"/>
  <c r="B1273" i="28" s="1"/>
  <c r="B1274" i="28" s="1"/>
  <c r="B1275" i="28" s="1"/>
  <c r="B1276" i="28" s="1"/>
  <c r="B1277" i="28" s="1"/>
  <c r="B1278" i="28" s="1"/>
  <c r="B1279" i="28" s="1"/>
  <c r="B1280" i="28" s="1"/>
  <c r="B1281" i="28" s="1"/>
  <c r="B1282" i="28" s="1"/>
  <c r="B1283" i="28" s="1"/>
  <c r="B1284" i="28" s="1"/>
  <c r="B1285" i="28" s="1"/>
  <c r="B1286" i="28" s="1"/>
  <c r="B1287" i="28" s="1"/>
  <c r="B1288" i="28" s="1"/>
  <c r="B1289" i="28" s="1"/>
  <c r="B1290" i="28" s="1"/>
  <c r="B1291" i="28" s="1"/>
  <c r="B1292" i="28" s="1"/>
  <c r="B1206" i="28"/>
  <c r="B1207" i="28" s="1"/>
  <c r="B1208" i="28" s="1"/>
  <c r="B1209" i="28" s="1"/>
  <c r="B1210" i="28" s="1"/>
  <c r="B1211" i="28" s="1"/>
  <c r="B1212" i="28" s="1"/>
  <c r="B1213" i="28" s="1"/>
  <c r="B1214" i="28" s="1"/>
  <c r="B1215" i="28" s="1"/>
  <c r="B1216" i="28" s="1"/>
  <c r="B1217" i="28" s="1"/>
  <c r="B1218" i="28" s="1"/>
  <c r="B1219" i="28" s="1"/>
  <c r="B1220" i="28" s="1"/>
  <c r="B1221" i="28" s="1"/>
  <c r="B1222" i="28" s="1"/>
  <c r="B1223" i="28" s="1"/>
  <c r="B1224" i="28" s="1"/>
  <c r="B1225" i="28" s="1"/>
  <c r="B1226" i="28" s="1"/>
  <c r="B1227" i="28" s="1"/>
  <c r="B1228" i="28" s="1"/>
  <c r="B1229" i="28" s="1"/>
  <c r="B1230" i="28" s="1"/>
  <c r="B1231" i="28" s="1"/>
  <c r="B1160" i="28"/>
  <c r="B1161" i="28" s="1"/>
  <c r="B1162" i="28" s="1"/>
  <c r="B1163" i="28" s="1"/>
  <c r="B1164" i="28" s="1"/>
  <c r="B1165" i="28" s="1"/>
  <c r="B1166" i="28" s="1"/>
  <c r="B1167" i="28" s="1"/>
  <c r="B1168" i="28" s="1"/>
  <c r="B1169" i="28" s="1"/>
  <c r="B1170" i="28" s="1"/>
  <c r="B1171" i="28" s="1"/>
  <c r="B1172" i="28" s="1"/>
  <c r="B1173" i="28" s="1"/>
  <c r="B1174" i="28" s="1"/>
  <c r="B1175" i="28" s="1"/>
  <c r="B1176" i="28" s="1"/>
  <c r="B1177" i="28" s="1"/>
  <c r="B1178" i="28" s="1"/>
  <c r="B1179" i="28" s="1"/>
  <c r="B1180" i="28" s="1"/>
  <c r="B1181" i="28" s="1"/>
  <c r="B1182" i="28" s="1"/>
  <c r="B1183" i="28" s="1"/>
  <c r="B1184" i="28" s="1"/>
  <c r="B1185" i="28" s="1"/>
  <c r="B1186" i="28" s="1"/>
  <c r="B1187" i="28" s="1"/>
  <c r="B1188" i="28" s="1"/>
  <c r="B1189" i="28" s="1"/>
  <c r="B1190" i="28" s="1"/>
  <c r="B1191" i="28" s="1"/>
  <c r="B1192" i="28" s="1"/>
  <c r="B1193" i="28" s="1"/>
  <c r="B1194" i="28" s="1"/>
  <c r="B1195" i="28" s="1"/>
  <c r="B1196" i="28" s="1"/>
  <c r="B1197" i="28" s="1"/>
  <c r="B1198" i="28" s="1"/>
  <c r="B1199" i="28" s="1"/>
  <c r="B1200" i="28" s="1"/>
  <c r="B1201" i="28" s="1"/>
  <c r="B1202" i="28" s="1"/>
  <c r="B1203" i="28" s="1"/>
  <c r="B1204" i="28" s="1"/>
  <c r="C1612" i="28"/>
  <c r="C1611" i="28"/>
  <c r="C1610" i="28"/>
  <c r="C1609" i="28"/>
  <c r="C1608" i="28"/>
  <c r="C1607" i="28"/>
  <c r="C1606" i="28"/>
  <c r="C1605" i="28"/>
  <c r="C1604" i="28"/>
  <c r="C1603" i="28"/>
  <c r="C1602" i="28"/>
  <c r="C1601" i="28"/>
  <c r="C1600" i="28"/>
  <c r="C1599" i="28"/>
  <c r="C1598" i="28"/>
  <c r="C1597" i="28"/>
  <c r="C1596" i="28"/>
  <c r="C1595" i="28"/>
  <c r="C1594" i="28"/>
  <c r="C1593" i="28"/>
  <c r="C1592" i="28"/>
  <c r="C1591" i="28"/>
  <c r="C1590" i="28"/>
  <c r="C1589" i="28"/>
  <c r="C1588" i="28"/>
  <c r="C1587" i="28"/>
  <c r="C1586" i="28"/>
  <c r="C1585" i="28"/>
  <c r="C1584" i="28"/>
  <c r="C1583" i="28"/>
  <c r="C1582" i="28"/>
  <c r="C1581" i="28"/>
  <c r="C1580" i="28"/>
  <c r="C1579" i="28"/>
  <c r="C1578" i="28"/>
  <c r="C1577" i="28"/>
  <c r="C1576" i="28"/>
  <c r="C1575" i="28"/>
  <c r="C1574" i="28"/>
  <c r="C1573" i="28"/>
  <c r="C1572" i="28"/>
  <c r="C1571" i="28"/>
  <c r="C1570" i="28"/>
  <c r="C1569" i="28"/>
  <c r="C1568" i="28"/>
  <c r="C1567" i="28"/>
  <c r="C1566" i="28"/>
  <c r="C1565" i="28"/>
  <c r="C1564" i="28"/>
  <c r="C1563" i="28"/>
  <c r="C1562" i="28"/>
  <c r="C1561" i="28"/>
  <c r="C1560" i="28"/>
  <c r="C1559" i="28"/>
  <c r="C1558" i="28"/>
  <c r="C1557" i="28"/>
  <c r="C1556" i="28"/>
  <c r="C1555" i="28"/>
  <c r="C1554" i="28"/>
  <c r="C1553" i="28"/>
  <c r="C1552" i="28"/>
  <c r="C1551" i="28"/>
  <c r="C1550" i="28"/>
  <c r="C1549" i="28"/>
  <c r="C1548" i="28"/>
  <c r="C1546" i="28"/>
  <c r="C1545" i="28"/>
  <c r="C1544" i="28"/>
  <c r="C1543" i="28"/>
  <c r="C1542" i="28"/>
  <c r="C1541" i="28"/>
  <c r="C1540" i="28"/>
  <c r="C1539" i="28"/>
  <c r="C1538" i="28"/>
  <c r="C1537" i="28"/>
  <c r="C1536" i="28"/>
  <c r="C1535" i="28"/>
  <c r="C1534" i="28"/>
  <c r="C1533" i="28"/>
  <c r="C1532" i="28"/>
  <c r="C1531" i="28"/>
  <c r="C1530" i="28"/>
  <c r="C1529" i="28"/>
  <c r="C1528" i="28"/>
  <c r="C1527" i="28"/>
  <c r="C1526" i="28"/>
  <c r="C1525" i="28"/>
  <c r="C1524" i="28"/>
  <c r="C1523" i="28"/>
  <c r="C1522" i="28"/>
  <c r="C1520" i="28"/>
  <c r="C1519" i="28"/>
  <c r="C1518" i="28"/>
  <c r="C1517" i="28"/>
  <c r="C1516" i="28"/>
  <c r="C1515" i="28"/>
  <c r="C1514" i="28"/>
  <c r="C1513" i="28"/>
  <c r="C1512" i="28"/>
  <c r="C1511" i="28"/>
  <c r="C1510" i="28"/>
  <c r="C1509" i="28"/>
  <c r="C1508" i="28"/>
  <c r="C1507" i="28"/>
  <c r="C1506" i="28"/>
  <c r="C1505" i="28"/>
  <c r="C1504" i="28"/>
  <c r="C1503" i="28"/>
  <c r="C1502" i="28"/>
  <c r="C1501" i="28"/>
  <c r="C1500" i="28"/>
  <c r="C1499" i="28"/>
  <c r="C1498" i="28"/>
  <c r="C1497" i="28"/>
  <c r="C1496" i="28"/>
  <c r="C1495" i="28"/>
  <c r="C1494" i="28"/>
  <c r="C1493" i="28"/>
  <c r="C1492" i="28"/>
  <c r="C1491" i="28"/>
  <c r="C1490" i="28"/>
  <c r="C1489" i="28"/>
  <c r="C1488" i="28"/>
  <c r="C1487" i="28"/>
  <c r="C1486" i="28"/>
  <c r="C1485" i="28"/>
  <c r="C1484" i="28"/>
  <c r="C1483" i="28"/>
  <c r="C1482" i="28"/>
  <c r="C1481" i="28"/>
  <c r="C1480" i="28"/>
  <c r="C1479" i="28"/>
  <c r="C1478" i="28"/>
  <c r="C1477" i="28"/>
  <c r="C1476" i="28"/>
  <c r="C1475" i="28"/>
  <c r="C1474" i="28"/>
  <c r="C1473" i="28"/>
  <c r="C1472" i="28"/>
  <c r="C1471" i="28"/>
  <c r="C1470" i="28"/>
  <c r="C1469" i="28"/>
  <c r="C1468" i="28"/>
  <c r="C1467" i="28"/>
  <c r="C1466" i="28"/>
  <c r="C1465" i="28"/>
  <c r="C1464" i="28"/>
  <c r="C1463" i="28"/>
  <c r="C1462" i="28"/>
  <c r="C1461" i="28"/>
  <c r="C1460" i="28"/>
  <c r="C1459" i="28"/>
  <c r="C1458" i="28"/>
  <c r="C1457" i="28"/>
  <c r="C1456" i="28"/>
  <c r="C1455" i="28"/>
  <c r="C1454" i="28"/>
  <c r="C1453" i="28"/>
  <c r="C1452" i="28"/>
  <c r="C1451" i="28"/>
  <c r="C1450" i="28"/>
  <c r="C1449" i="28"/>
  <c r="C1448" i="28"/>
  <c r="C1447" i="28"/>
  <c r="C1446" i="28"/>
  <c r="C1445" i="28"/>
  <c r="C1444" i="28"/>
  <c r="C1443" i="28"/>
  <c r="C1442" i="28"/>
  <c r="C1441" i="28"/>
  <c r="C1440" i="28"/>
  <c r="C1439" i="28"/>
  <c r="C1438" i="28"/>
  <c r="C1437" i="28"/>
  <c r="C1436" i="28"/>
  <c r="C1435" i="28"/>
  <c r="C1434" i="28"/>
  <c r="C1433" i="28"/>
  <c r="C1432" i="28"/>
  <c r="C1431" i="28"/>
  <c r="C1430" i="28"/>
  <c r="C1429" i="28"/>
  <c r="C1428" i="28"/>
  <c r="C1427" i="28"/>
  <c r="C1426" i="28"/>
  <c r="C1425" i="28"/>
  <c r="C1423" i="28"/>
  <c r="C1422" i="28"/>
  <c r="C1421" i="28"/>
  <c r="C1419" i="28"/>
  <c r="C1416" i="28"/>
  <c r="C1415" i="28"/>
  <c r="C1414" i="28"/>
  <c r="C1413" i="28"/>
  <c r="C1412" i="28"/>
  <c r="C1411" i="28"/>
  <c r="C1409" i="28"/>
  <c r="C1408" i="28"/>
  <c r="C1406" i="28"/>
  <c r="C1405" i="28"/>
  <c r="C1404" i="28"/>
  <c r="C1403" i="28"/>
  <c r="C1402" i="28"/>
  <c r="C1401" i="28"/>
  <c r="C1400" i="28"/>
  <c r="C1399" i="28"/>
  <c r="C1398" i="28"/>
  <c r="C1397" i="28"/>
  <c r="C1396" i="28"/>
  <c r="C1395" i="28"/>
  <c r="C1394" i="28"/>
  <c r="C1393" i="28"/>
  <c r="C1392" i="28"/>
  <c r="C1391" i="28"/>
  <c r="C1390" i="28"/>
  <c r="C1389" i="28"/>
  <c r="C1388" i="28"/>
  <c r="C1387" i="28"/>
  <c r="C1386" i="28"/>
  <c r="C1385" i="28"/>
  <c r="C1384" i="28"/>
  <c r="C1383" i="28"/>
  <c r="C1382" i="28"/>
  <c r="C1381" i="28"/>
  <c r="C1380" i="28"/>
  <c r="C1379" i="28"/>
  <c r="C1378" i="28"/>
  <c r="C1376" i="28"/>
  <c r="C1372" i="28"/>
  <c r="C1371" i="28"/>
  <c r="C1369" i="28"/>
  <c r="C1367" i="28"/>
  <c r="C1366" i="28"/>
  <c r="C1365" i="28"/>
  <c r="C1364" i="28"/>
  <c r="C1363" i="28"/>
  <c r="C1362" i="28"/>
  <c r="C1361" i="28"/>
  <c r="C1360" i="28"/>
  <c r="C1359" i="28"/>
  <c r="C1358" i="28"/>
  <c r="C1357" i="28"/>
  <c r="C1356" i="28"/>
  <c r="C1353" i="28"/>
  <c r="C1352" i="28"/>
  <c r="C1350" i="28"/>
  <c r="C1349" i="28"/>
  <c r="C1348" i="28"/>
  <c r="C1347" i="28"/>
  <c r="C1346" i="28"/>
  <c r="C1345" i="28"/>
  <c r="C1344" i="28"/>
  <c r="C1343" i="28"/>
  <c r="C1342" i="28"/>
  <c r="C1341" i="28"/>
  <c r="C1339" i="28"/>
  <c r="C1338" i="28"/>
  <c r="C1337" i="28"/>
  <c r="C1336" i="28"/>
  <c r="C1335" i="28"/>
  <c r="C1334" i="28"/>
  <c r="C1333" i="28"/>
  <c r="C1332" i="28"/>
  <c r="C1331" i="28"/>
  <c r="C1330" i="28"/>
  <c r="C1329" i="28"/>
  <c r="C1328" i="28"/>
  <c r="C1327" i="28"/>
  <c r="C1324" i="28"/>
  <c r="C1323" i="28"/>
  <c r="C1322" i="28"/>
  <c r="C1321" i="28"/>
  <c r="C1320" i="28"/>
  <c r="C1319" i="28"/>
  <c r="C1318" i="28"/>
  <c r="C1316" i="28"/>
  <c r="C1315" i="28"/>
  <c r="C1313" i="28"/>
  <c r="C1311" i="28"/>
  <c r="C1310" i="28"/>
  <c r="C1306" i="28"/>
  <c r="C1303" i="28"/>
  <c r="C1301" i="28"/>
  <c r="C1300" i="28"/>
  <c r="C1299" i="28"/>
  <c r="C1298" i="28"/>
  <c r="C1297" i="28"/>
  <c r="C1295" i="28"/>
  <c r="C1294" i="28"/>
  <c r="C1293" i="28"/>
  <c r="C1292" i="28"/>
  <c r="C1291" i="28"/>
  <c r="C1290" i="28"/>
  <c r="C1286" i="28"/>
  <c r="C1285" i="28"/>
  <c r="C1284" i="28"/>
  <c r="C1283" i="28"/>
  <c r="C1282" i="28"/>
  <c r="C1281" i="28"/>
  <c r="C1280" i="28"/>
  <c r="C1279" i="28"/>
  <c r="C1278" i="28"/>
  <c r="C1273" i="28"/>
  <c r="C1271" i="28"/>
  <c r="C1270" i="28"/>
  <c r="C1269" i="28"/>
  <c r="C1264" i="28"/>
  <c r="C1261" i="28"/>
  <c r="C1260" i="28"/>
  <c r="C1258" i="28"/>
  <c r="C1257" i="28"/>
  <c r="C1256" i="28"/>
  <c r="C1255" i="28"/>
  <c r="C1254" i="28"/>
  <c r="C1253" i="28"/>
  <c r="C1252" i="28"/>
  <c r="C1250" i="28"/>
  <c r="C1249" i="28"/>
  <c r="C1248" i="28"/>
  <c r="C1247" i="28"/>
  <c r="C1246" i="28"/>
  <c r="C1245" i="28"/>
  <c r="C1244" i="28"/>
  <c r="C1243" i="28"/>
  <c r="C1242" i="28"/>
  <c r="C1241" i="28"/>
  <c r="C1240" i="28"/>
  <c r="C1239" i="28"/>
  <c r="C1238" i="28"/>
  <c r="C1237" i="28"/>
  <c r="C1236" i="28"/>
  <c r="C1235" i="28"/>
  <c r="C1234" i="28"/>
  <c r="C1233" i="28"/>
  <c r="C1232" i="28"/>
  <c r="C1231" i="28"/>
  <c r="C1230" i="28"/>
  <c r="C1229" i="28"/>
  <c r="C1228" i="28"/>
  <c r="C1227" i="28"/>
  <c r="C1226" i="28"/>
  <c r="C1225" i="28"/>
  <c r="C1224" i="28"/>
  <c r="C1223" i="28"/>
  <c r="C1222" i="28"/>
  <c r="C1221" i="28"/>
  <c r="C1220" i="28"/>
  <c r="C1218" i="28"/>
  <c r="C1217" i="28"/>
  <c r="C1216" i="28"/>
  <c r="C1215" i="28"/>
  <c r="C1214" i="28"/>
  <c r="C1213" i="28"/>
  <c r="C1212" i="28"/>
  <c r="C1211" i="28"/>
  <c r="C1210" i="28"/>
  <c r="C1209" i="28"/>
  <c r="C1208" i="28"/>
  <c r="C1206" i="28"/>
  <c r="C1205" i="28"/>
  <c r="C1204" i="28"/>
  <c r="C1203" i="28"/>
  <c r="C1201" i="28"/>
  <c r="C1199" i="28"/>
  <c r="C1198" i="28"/>
  <c r="C1197" i="28"/>
  <c r="C1196" i="28"/>
  <c r="C1195" i="28"/>
  <c r="C1194" i="28"/>
  <c r="C1193" i="28"/>
  <c r="C1192" i="28"/>
  <c r="C1191" i="28"/>
  <c r="C1190" i="28"/>
  <c r="C1189" i="28"/>
  <c r="C1188" i="28"/>
  <c r="C1187" i="28"/>
  <c r="C1186" i="28"/>
  <c r="C1185" i="28"/>
  <c r="C1184" i="28"/>
  <c r="C1183" i="28"/>
  <c r="C1182" i="28"/>
  <c r="C1181" i="28"/>
  <c r="C1180" i="28"/>
  <c r="C1179" i="28"/>
  <c r="C1178" i="28"/>
  <c r="C1177" i="28"/>
  <c r="C1176" i="28"/>
  <c r="C1175" i="28"/>
  <c r="C1174" i="28"/>
  <c r="C1173" i="28"/>
  <c r="C1172" i="28"/>
  <c r="C1170" i="28"/>
  <c r="C1169" i="28"/>
  <c r="C1167" i="28"/>
  <c r="C1166" i="28"/>
  <c r="C1165" i="28"/>
  <c r="C1164" i="28"/>
  <c r="C1163" i="28"/>
  <c r="C1162" i="28"/>
  <c r="C1161" i="28"/>
  <c r="C1160" i="28"/>
  <c r="C1159" i="28"/>
  <c r="C1158" i="28"/>
  <c r="C1157" i="28"/>
  <c r="C1156" i="28"/>
  <c r="C1155" i="28"/>
  <c r="C1154" i="28"/>
  <c r="C1153" i="28"/>
  <c r="C1150" i="28"/>
  <c r="C1149" i="28"/>
  <c r="C1148" i="28"/>
  <c r="C1147" i="28"/>
  <c r="C1146" i="28"/>
  <c r="C1145" i="28"/>
  <c r="C1143" i="28"/>
  <c r="C1139" i="28"/>
  <c r="C1138" i="28"/>
  <c r="C1137" i="28"/>
  <c r="C1136" i="28"/>
  <c r="C1135" i="28"/>
  <c r="C1134" i="28"/>
  <c r="C1133" i="28"/>
  <c r="C1132" i="28"/>
  <c r="C1131" i="28"/>
  <c r="C1130" i="28"/>
  <c r="C1128" i="28"/>
  <c r="C1127" i="28"/>
  <c r="C1126" i="28"/>
  <c r="C1125" i="28"/>
  <c r="C1123" i="28"/>
  <c r="C1121" i="28"/>
  <c r="C1117" i="28"/>
  <c r="C1116" i="28"/>
  <c r="C1115" i="28"/>
  <c r="C1111" i="28"/>
  <c r="C1109" i="28"/>
  <c r="C1108" i="28"/>
  <c r="C1106" i="28"/>
  <c r="C1105" i="28"/>
  <c r="C1104" i="28"/>
  <c r="C1103" i="28"/>
  <c r="C1102" i="28"/>
  <c r="C1101" i="28"/>
  <c r="C1100" i="28"/>
  <c r="C1099" i="28"/>
  <c r="C1095" i="28"/>
  <c r="C1094" i="28"/>
  <c r="C1092" i="28"/>
  <c r="C1088" i="28"/>
  <c r="C1087" i="28"/>
  <c r="C1086" i="28"/>
  <c r="C1085" i="28"/>
  <c r="C1084" i="28"/>
  <c r="C1083" i="28"/>
  <c r="C1082" i="28"/>
  <c r="C1081" i="28"/>
  <c r="C1080" i="28"/>
  <c r="C1079" i="28"/>
  <c r="C1078" i="28"/>
  <c r="C1077" i="28"/>
  <c r="C1075" i="28"/>
  <c r="C1074" i="28"/>
  <c r="C1072" i="28"/>
  <c r="C1071" i="28"/>
  <c r="C1070" i="28"/>
  <c r="C1068" i="28"/>
  <c r="C1067" i="28"/>
  <c r="C1066" i="28"/>
  <c r="C1065" i="28"/>
  <c r="C1063" i="28"/>
  <c r="C1062" i="28"/>
  <c r="C1058" i="28"/>
  <c r="C1057" i="28"/>
  <c r="C1051" i="28"/>
  <c r="C1049" i="28"/>
  <c r="C1048" i="28"/>
  <c r="C1046" i="28"/>
  <c r="C1045" i="28"/>
  <c r="C1044" i="28"/>
  <c r="C1043" i="28"/>
  <c r="C1042" i="28"/>
  <c r="C1041" i="28"/>
  <c r="C1040" i="28"/>
  <c r="C1039" i="28"/>
  <c r="C1038" i="28"/>
  <c r="C1036" i="28"/>
  <c r="C1035" i="28"/>
  <c r="C1034" i="28"/>
  <c r="C1033" i="28"/>
  <c r="C1032" i="28"/>
  <c r="C1031" i="28"/>
  <c r="C1030" i="28"/>
  <c r="C1029" i="28"/>
  <c r="C1028" i="28"/>
  <c r="C1027" i="28"/>
  <c r="C1026" i="28"/>
  <c r="C1025" i="28"/>
  <c r="C1024" i="28"/>
  <c r="C1023" i="28"/>
  <c r="C1022" i="28"/>
  <c r="C1021" i="28"/>
  <c r="C1020" i="28"/>
  <c r="C1019" i="28"/>
  <c r="C1018" i="28"/>
  <c r="C1017" i="28"/>
  <c r="C1016" i="28"/>
  <c r="C1015" i="28"/>
  <c r="C1010" i="28"/>
  <c r="C1007" i="28"/>
  <c r="C1006" i="28"/>
  <c r="C1005" i="28"/>
  <c r="C1003" i="28"/>
  <c r="C1002" i="28"/>
  <c r="C1001" i="28"/>
  <c r="C1000" i="28"/>
  <c r="C993" i="28"/>
  <c r="C992" i="28"/>
  <c r="C990" i="28"/>
  <c r="C989" i="28"/>
  <c r="C988" i="28"/>
  <c r="C987" i="28"/>
  <c r="C985" i="28"/>
  <c r="C984" i="28"/>
  <c r="C982" i="28"/>
  <c r="C981" i="28"/>
  <c r="C980" i="28"/>
  <c r="C979" i="28"/>
  <c r="C978" i="28"/>
  <c r="C977" i="28"/>
  <c r="C973" i="28"/>
  <c r="C972" i="28"/>
  <c r="C971" i="28"/>
  <c r="C970" i="28"/>
  <c r="C969" i="28"/>
  <c r="C968" i="28"/>
  <c r="C967" i="28"/>
  <c r="C965" i="28"/>
  <c r="C964" i="28"/>
  <c r="C960" i="28"/>
  <c r="C958" i="28"/>
  <c r="C956" i="28"/>
  <c r="C955" i="28"/>
  <c r="C953" i="28"/>
  <c r="C952" i="28"/>
  <c r="C951" i="28"/>
  <c r="C950" i="28"/>
  <c r="C949" i="28"/>
  <c r="C948" i="28"/>
  <c r="C946" i="28"/>
  <c r="C945" i="28"/>
  <c r="C944" i="28"/>
  <c r="C943" i="28"/>
  <c r="C941" i="28"/>
  <c r="C940" i="28"/>
  <c r="C936" i="28"/>
  <c r="C935" i="28"/>
  <c r="C934" i="28"/>
  <c r="C931" i="28"/>
  <c r="C927" i="28"/>
  <c r="C926" i="28"/>
  <c r="C920" i="28"/>
  <c r="C919" i="28"/>
  <c r="C917" i="28"/>
  <c r="C915" i="28"/>
  <c r="C914" i="28"/>
  <c r="C913" i="28"/>
  <c r="C912" i="28"/>
  <c r="C911" i="28"/>
  <c r="C910" i="28"/>
  <c r="C908" i="28"/>
  <c r="C907" i="28"/>
  <c r="C901" i="28"/>
  <c r="C898" i="28"/>
  <c r="C897" i="28"/>
  <c r="C896" i="28"/>
  <c r="C895" i="28"/>
  <c r="C892" i="28"/>
  <c r="C891" i="28"/>
  <c r="C890" i="28"/>
  <c r="C883" i="28"/>
  <c r="C882" i="28"/>
  <c r="C881" i="28"/>
  <c r="C880" i="28"/>
  <c r="C879" i="28"/>
  <c r="C878" i="28"/>
  <c r="C877" i="28"/>
  <c r="C876" i="28"/>
  <c r="C875" i="28"/>
  <c r="C874" i="28"/>
  <c r="C873" i="28"/>
  <c r="C872" i="28"/>
  <c r="C871" i="28"/>
  <c r="C870" i="28"/>
  <c r="C869" i="28"/>
  <c r="C866" i="28"/>
  <c r="C865" i="28"/>
  <c r="C863" i="28"/>
  <c r="C862" i="28"/>
  <c r="C860" i="28"/>
  <c r="C859" i="28"/>
  <c r="C857" i="28"/>
  <c r="C856" i="28"/>
  <c r="C855" i="28"/>
  <c r="C850" i="28"/>
  <c r="C849" i="28"/>
  <c r="C848" i="28"/>
  <c r="C847" i="28"/>
  <c r="C846" i="28"/>
  <c r="C845" i="28"/>
  <c r="C844" i="28"/>
  <c r="C843" i="28"/>
  <c r="C842" i="28"/>
  <c r="C841" i="28"/>
  <c r="C840" i="28"/>
  <c r="C839" i="28"/>
  <c r="C838" i="28"/>
  <c r="C837" i="28"/>
  <c r="C836" i="28"/>
  <c r="C835" i="28"/>
  <c r="C834" i="28"/>
  <c r="C833" i="28"/>
  <c r="C832" i="28"/>
  <c r="C831" i="28"/>
  <c r="C830" i="28"/>
  <c r="C829" i="28"/>
  <c r="C828" i="28"/>
  <c r="C827" i="28"/>
  <c r="C826" i="28"/>
  <c r="C825" i="28"/>
  <c r="C824" i="28"/>
  <c r="C823" i="28"/>
  <c r="C822" i="28"/>
  <c r="C821" i="28"/>
  <c r="C820" i="28"/>
  <c r="C819" i="28"/>
  <c r="C818" i="28"/>
  <c r="C817" i="28"/>
  <c r="C816" i="28"/>
  <c r="C815" i="28"/>
  <c r="C814" i="28"/>
  <c r="C813" i="28"/>
  <c r="C812" i="28"/>
  <c r="C811" i="28"/>
  <c r="C810" i="28"/>
  <c r="C809" i="28"/>
  <c r="C808" i="28"/>
  <c r="C807" i="28"/>
  <c r="C806" i="28"/>
  <c r="C805" i="28"/>
  <c r="C804" i="28"/>
  <c r="C803" i="28"/>
  <c r="C802" i="28"/>
  <c r="C801" i="28"/>
  <c r="C800" i="28"/>
  <c r="C799" i="28"/>
  <c r="C798" i="28"/>
  <c r="C797" i="28"/>
  <c r="C796" i="28"/>
  <c r="C795" i="28"/>
  <c r="C794" i="28"/>
  <c r="C793" i="28"/>
  <c r="C792" i="28"/>
  <c r="C791" i="28"/>
  <c r="C790" i="28"/>
  <c r="C789" i="28"/>
  <c r="C788" i="28"/>
  <c r="C787" i="28"/>
  <c r="C786" i="28"/>
  <c r="C785" i="28"/>
  <c r="C784" i="28"/>
  <c r="C783" i="28"/>
  <c r="C782" i="28"/>
  <c r="C781" i="28"/>
  <c r="C780" i="28"/>
  <c r="C779" i="28"/>
  <c r="C778" i="28"/>
  <c r="C777" i="28"/>
  <c r="C776" i="28"/>
  <c r="C775" i="28"/>
  <c r="C774" i="28"/>
  <c r="C773" i="28"/>
  <c r="C772" i="28"/>
  <c r="C771" i="28"/>
  <c r="C770" i="28"/>
  <c r="C769" i="28"/>
  <c r="C768" i="28"/>
  <c r="C767" i="28"/>
  <c r="C766" i="28"/>
  <c r="C765" i="28"/>
  <c r="C764" i="28"/>
  <c r="C763" i="28"/>
  <c r="C762" i="28"/>
  <c r="C761" i="28"/>
  <c r="C760" i="28"/>
  <c r="C759" i="28"/>
  <c r="C758" i="28"/>
  <c r="C757" i="28"/>
  <c r="C756" i="28"/>
  <c r="C755" i="28"/>
  <c r="C754" i="28"/>
  <c r="C753" i="28"/>
  <c r="C752" i="28"/>
  <c r="C751" i="28"/>
  <c r="C750" i="28"/>
  <c r="C749" i="28"/>
  <c r="C748" i="28"/>
  <c r="C747" i="28"/>
  <c r="C746" i="28"/>
  <c r="C745" i="28"/>
  <c r="C744" i="28"/>
  <c r="C743" i="28"/>
  <c r="C742" i="28"/>
  <c r="C741" i="28"/>
  <c r="C740" i="28"/>
  <c r="C739" i="28"/>
  <c r="C738" i="28"/>
  <c r="C737" i="28"/>
  <c r="C736" i="28"/>
  <c r="C735" i="28"/>
  <c r="C734" i="28"/>
  <c r="C733" i="28"/>
  <c r="C732" i="28"/>
  <c r="C731" i="28"/>
  <c r="C730" i="28"/>
  <c r="C729" i="28"/>
  <c r="C728" i="28"/>
  <c r="C727" i="28"/>
  <c r="C726" i="28"/>
  <c r="C725" i="28"/>
  <c r="C724" i="28"/>
  <c r="C723" i="28"/>
  <c r="C722" i="28"/>
  <c r="C721" i="28"/>
  <c r="C720" i="28"/>
  <c r="C719" i="28"/>
  <c r="C718" i="28"/>
  <c r="C717" i="28"/>
  <c r="C716" i="28"/>
  <c r="C715" i="28"/>
  <c r="C714" i="28"/>
  <c r="C713" i="28"/>
  <c r="C712" i="28"/>
  <c r="C711" i="28"/>
  <c r="C710" i="28"/>
  <c r="C709" i="28"/>
  <c r="C708" i="28"/>
  <c r="C707" i="28"/>
  <c r="C706" i="28"/>
  <c r="C705" i="28"/>
  <c r="C704" i="28"/>
  <c r="C703" i="28"/>
  <c r="C702" i="28"/>
  <c r="C701" i="28"/>
  <c r="C700" i="28"/>
  <c r="C699" i="28"/>
  <c r="C698" i="28"/>
  <c r="C697" i="28"/>
  <c r="C696" i="28"/>
  <c r="C695" i="28"/>
  <c r="C694" i="28"/>
  <c r="C693" i="28"/>
  <c r="C692" i="28"/>
  <c r="C691" i="28"/>
  <c r="C690" i="28"/>
  <c r="C689" i="28"/>
  <c r="C688" i="28"/>
  <c r="C687" i="28"/>
  <c r="C686" i="28"/>
  <c r="C685" i="28"/>
  <c r="C684" i="28"/>
  <c r="C683" i="28"/>
  <c r="C682" i="28"/>
  <c r="C681" i="28"/>
  <c r="C680" i="28"/>
  <c r="C679" i="28"/>
  <c r="C678" i="28"/>
  <c r="C677" i="28"/>
  <c r="C676" i="28"/>
  <c r="C675" i="28"/>
  <c r="C674" i="28"/>
  <c r="C673" i="28"/>
  <c r="C672" i="28"/>
  <c r="C671" i="28"/>
  <c r="C670" i="28"/>
  <c r="C669" i="28"/>
  <c r="C668" i="28"/>
  <c r="C667" i="28"/>
  <c r="C666" i="28"/>
  <c r="C665" i="28"/>
  <c r="C664" i="28"/>
  <c r="C663" i="28"/>
  <c r="C662" i="28"/>
  <c r="C661" i="28"/>
  <c r="C660" i="28"/>
  <c r="C659" i="28"/>
  <c r="C658" i="28"/>
  <c r="C657" i="28"/>
  <c r="C656" i="28"/>
  <c r="C655" i="28"/>
  <c r="C654" i="28"/>
  <c r="C653" i="28"/>
  <c r="C652" i="28"/>
  <c r="C651" i="28"/>
  <c r="C650" i="28"/>
  <c r="C649" i="28"/>
  <c r="C648" i="28"/>
  <c r="C647" i="28"/>
  <c r="C646" i="28"/>
  <c r="C645" i="28"/>
  <c r="C644" i="28"/>
  <c r="C643" i="28"/>
  <c r="C642" i="28"/>
  <c r="C641" i="28"/>
  <c r="C640" i="28"/>
  <c r="C639" i="28"/>
  <c r="C638" i="28"/>
  <c r="C637" i="28"/>
  <c r="C636" i="28"/>
  <c r="C635" i="28"/>
  <c r="C634" i="28"/>
  <c r="C633" i="28"/>
  <c r="C632" i="28"/>
  <c r="C631" i="28"/>
  <c r="C630" i="28"/>
  <c r="C629" i="28"/>
  <c r="C628" i="28"/>
  <c r="C627" i="28"/>
  <c r="C626" i="28"/>
  <c r="C625" i="28"/>
  <c r="C624" i="28"/>
  <c r="C623" i="28"/>
  <c r="C622" i="28"/>
  <c r="C621" i="28"/>
  <c r="C620" i="28"/>
  <c r="C619" i="28"/>
  <c r="C618" i="28"/>
  <c r="C617" i="28"/>
  <c r="C616" i="28"/>
  <c r="C615" i="28"/>
  <c r="C614" i="28"/>
  <c r="C613" i="28"/>
  <c r="C612" i="28"/>
  <c r="C611" i="28"/>
  <c r="C610" i="28"/>
  <c r="C609" i="28"/>
  <c r="C608" i="28"/>
  <c r="C607" i="28"/>
  <c r="C606" i="28"/>
  <c r="C605" i="28"/>
  <c r="C604" i="28"/>
  <c r="C603" i="28"/>
  <c r="C602" i="28"/>
  <c r="C601" i="28"/>
  <c r="C600" i="28"/>
  <c r="C599" i="28"/>
  <c r="C598" i="28"/>
  <c r="C597" i="28"/>
  <c r="C596" i="28"/>
  <c r="C595" i="28"/>
  <c r="C594" i="28"/>
  <c r="C593" i="28"/>
  <c r="C592" i="28"/>
  <c r="C591" i="28"/>
  <c r="C590" i="28"/>
  <c r="C589" i="28"/>
  <c r="C588" i="28"/>
  <c r="C587" i="28"/>
  <c r="C586" i="28"/>
  <c r="C585" i="28"/>
  <c r="C584" i="28"/>
  <c r="C583" i="28"/>
  <c r="C582" i="28"/>
  <c r="C581" i="28"/>
  <c r="C580" i="28"/>
  <c r="C579" i="28"/>
  <c r="C578" i="28"/>
  <c r="C577" i="28"/>
  <c r="C576" i="28"/>
  <c r="C575" i="28"/>
  <c r="C574" i="28"/>
  <c r="C573" i="28"/>
  <c r="C572" i="28"/>
  <c r="C571" i="28"/>
  <c r="C570" i="28"/>
  <c r="C569" i="28"/>
  <c r="C568" i="28"/>
  <c r="C567" i="28"/>
  <c r="C566" i="28"/>
  <c r="C565" i="28"/>
  <c r="C564" i="28"/>
  <c r="C563" i="28"/>
  <c r="C560" i="28"/>
  <c r="C559" i="28"/>
  <c r="C558" i="28"/>
  <c r="C557" i="28"/>
  <c r="C556" i="28"/>
  <c r="C555" i="28"/>
  <c r="C554" i="28"/>
  <c r="C553" i="28"/>
  <c r="C552" i="28"/>
  <c r="C551" i="28"/>
  <c r="C550" i="28"/>
  <c r="C549" i="28"/>
  <c r="C548" i="28"/>
  <c r="C547" i="28"/>
  <c r="C546" i="28"/>
  <c r="C545" i="28"/>
  <c r="C544" i="28"/>
  <c r="C543" i="28"/>
  <c r="C542" i="28"/>
  <c r="C541" i="28"/>
  <c r="C540" i="28"/>
  <c r="C539" i="28"/>
  <c r="C538" i="28"/>
  <c r="C537" i="28"/>
  <c r="C536" i="28"/>
  <c r="C535" i="28"/>
  <c r="C534" i="28"/>
  <c r="C533" i="28"/>
  <c r="C532" i="28"/>
  <c r="C531" i="28"/>
  <c r="C530" i="28"/>
  <c r="C529" i="28"/>
  <c r="C528" i="28"/>
  <c r="C527" i="28"/>
  <c r="C526" i="28"/>
  <c r="C525" i="28"/>
  <c r="C524" i="28"/>
  <c r="C523" i="28"/>
  <c r="C522" i="28"/>
  <c r="C521" i="28"/>
  <c r="C520" i="28"/>
  <c r="C519" i="28"/>
  <c r="C518" i="28"/>
  <c r="C517" i="28"/>
  <c r="C516" i="28"/>
  <c r="C515" i="28"/>
  <c r="C514" i="28"/>
  <c r="C513" i="28"/>
  <c r="C512" i="28"/>
  <c r="C511" i="28"/>
  <c r="C510" i="28"/>
  <c r="C509" i="28"/>
  <c r="C508" i="28"/>
  <c r="C507" i="28"/>
  <c r="C506" i="28"/>
  <c r="C505" i="28"/>
  <c r="C504" i="28"/>
  <c r="C503" i="28"/>
  <c r="C502" i="28"/>
  <c r="C501" i="28"/>
  <c r="C500" i="28"/>
  <c r="C499" i="28"/>
  <c r="C498" i="28"/>
  <c r="C497" i="28"/>
  <c r="C496" i="28"/>
  <c r="C495" i="28"/>
  <c r="C494" i="28"/>
  <c r="C493" i="28"/>
  <c r="C492" i="28"/>
  <c r="C491" i="28"/>
  <c r="C490" i="28"/>
  <c r="C489" i="28"/>
  <c r="C488" i="28"/>
  <c r="C487" i="28"/>
  <c r="C486" i="28"/>
  <c r="C485" i="28"/>
  <c r="C484" i="28"/>
  <c r="C483" i="28"/>
  <c r="C482" i="28"/>
  <c r="C481" i="28"/>
  <c r="C480" i="28"/>
  <c r="C479" i="28"/>
  <c r="C478" i="28"/>
  <c r="C477" i="28"/>
  <c r="C476" i="28"/>
  <c r="C475" i="28"/>
  <c r="C474" i="28"/>
  <c r="C473" i="28"/>
  <c r="C472" i="28"/>
  <c r="C471" i="28"/>
  <c r="C470" i="28"/>
  <c r="C469" i="28"/>
  <c r="C468" i="28"/>
  <c r="C467" i="28"/>
  <c r="C466" i="28"/>
  <c r="C465" i="28"/>
  <c r="C464" i="28"/>
  <c r="C463" i="28"/>
  <c r="C462" i="28"/>
  <c r="C461" i="28"/>
  <c r="C457" i="28"/>
  <c r="C456" i="28"/>
  <c r="C455" i="28"/>
  <c r="C454" i="28"/>
  <c r="C453" i="28"/>
  <c r="C452" i="28"/>
  <c r="C451" i="28"/>
  <c r="C450" i="28"/>
  <c r="C449" i="28"/>
  <c r="C448" i="28"/>
  <c r="C446" i="28"/>
  <c r="C445" i="28"/>
  <c r="C444" i="28"/>
  <c r="C443" i="28"/>
  <c r="C442" i="28"/>
  <c r="C441" i="28"/>
  <c r="C440" i="28"/>
  <c r="C439" i="28"/>
  <c r="C438" i="28"/>
  <c r="C437" i="28"/>
  <c r="C436" i="28"/>
  <c r="C435" i="28"/>
  <c r="C434" i="28"/>
  <c r="C433" i="28"/>
  <c r="C432" i="28"/>
  <c r="C431" i="28"/>
  <c r="C430" i="28"/>
  <c r="C429" i="28"/>
  <c r="C428" i="28"/>
  <c r="C427" i="28"/>
  <c r="C426" i="28"/>
  <c r="C425" i="28"/>
  <c r="C424" i="28"/>
  <c r="C423" i="28"/>
  <c r="C422" i="28"/>
  <c r="C421" i="28"/>
  <c r="C420" i="28"/>
  <c r="C419" i="28"/>
  <c r="C418" i="28"/>
  <c r="C417" i="28"/>
  <c r="C416" i="28"/>
  <c r="C415" i="28"/>
  <c r="C414" i="28"/>
  <c r="C413" i="28"/>
  <c r="C412" i="28"/>
  <c r="C411" i="28"/>
  <c r="C410" i="28"/>
  <c r="C409" i="28"/>
  <c r="C408" i="28"/>
  <c r="C407" i="28"/>
  <c r="C406" i="28"/>
  <c r="C405" i="28"/>
  <c r="C404" i="28"/>
  <c r="C403" i="28"/>
  <c r="C402" i="28"/>
  <c r="C401" i="28"/>
  <c r="C400" i="28"/>
  <c r="C399" i="28"/>
  <c r="C398" i="28"/>
  <c r="C397" i="28"/>
  <c r="C396" i="28"/>
  <c r="C395" i="28"/>
  <c r="C394" i="28"/>
  <c r="C393" i="28"/>
  <c r="C392" i="28"/>
  <c r="C391" i="28"/>
  <c r="C390" i="28"/>
  <c r="C389" i="28"/>
  <c r="C388" i="28"/>
  <c r="C387" i="28"/>
  <c r="C386" i="28"/>
  <c r="C385" i="28"/>
  <c r="C384" i="28"/>
  <c r="C383" i="28"/>
  <c r="C382" i="28"/>
  <c r="C381" i="28"/>
  <c r="C380" i="28"/>
  <c r="C379" i="28"/>
  <c r="C378" i="28"/>
  <c r="C377" i="28"/>
  <c r="C376" i="28"/>
  <c r="C375" i="28"/>
  <c r="C374" i="28"/>
  <c r="C373" i="28"/>
  <c r="C372" i="28"/>
  <c r="C371" i="28"/>
  <c r="C370" i="28"/>
  <c r="C369" i="28"/>
  <c r="C368" i="28"/>
  <c r="C367" i="28"/>
  <c r="C366" i="28"/>
  <c r="C365" i="28"/>
  <c r="C364" i="28"/>
  <c r="C363" i="28"/>
  <c r="C362" i="28"/>
  <c r="C361" i="28"/>
  <c r="C360" i="28"/>
  <c r="C359" i="28"/>
  <c r="C358" i="28"/>
  <c r="C357" i="28"/>
  <c r="C356" i="28"/>
  <c r="C355" i="28"/>
  <c r="C354" i="28"/>
  <c r="C353" i="28"/>
  <c r="C352" i="28"/>
  <c r="C351" i="28"/>
  <c r="C350" i="28"/>
  <c r="C349" i="28"/>
  <c r="C348" i="28"/>
  <c r="C347" i="28"/>
  <c r="C346" i="28"/>
  <c r="C345" i="28"/>
  <c r="C344" i="28"/>
  <c r="C343" i="28"/>
  <c r="C342" i="28"/>
  <c r="C341" i="28"/>
  <c r="C340" i="28"/>
  <c r="C339" i="28"/>
  <c r="C338" i="28"/>
  <c r="C337" i="28"/>
  <c r="C336" i="28"/>
  <c r="C335" i="28"/>
  <c r="C334" i="28"/>
  <c r="C333" i="28"/>
  <c r="C332" i="28"/>
  <c r="C331" i="28"/>
  <c r="C330" i="28"/>
  <c r="C329" i="28"/>
  <c r="C328" i="28"/>
  <c r="C327" i="28"/>
  <c r="C326" i="28"/>
  <c r="C325" i="28"/>
  <c r="C324" i="28"/>
  <c r="C323" i="28"/>
  <c r="C322" i="28"/>
  <c r="C321" i="28"/>
  <c r="C320" i="28"/>
  <c r="C319" i="28"/>
  <c r="C318" i="28"/>
  <c r="C317" i="28"/>
  <c r="C316" i="28"/>
  <c r="C315" i="28"/>
  <c r="C314" i="28"/>
  <c r="C313" i="28"/>
  <c r="C312" i="28"/>
  <c r="C311" i="28"/>
  <c r="C310" i="28"/>
  <c r="C309" i="28"/>
  <c r="C308" i="28"/>
  <c r="C307" i="28"/>
  <c r="C306" i="28"/>
  <c r="C305" i="28"/>
  <c r="C304" i="28"/>
  <c r="C303" i="28"/>
  <c r="C302" i="28"/>
  <c r="C301" i="28"/>
  <c r="C300" i="28"/>
  <c r="C299" i="28"/>
  <c r="C298" i="28"/>
  <c r="C297" i="28"/>
  <c r="C296" i="28"/>
  <c r="C295" i="28"/>
  <c r="C294" i="28"/>
  <c r="C293" i="28"/>
  <c r="C292" i="28"/>
  <c r="C291" i="28"/>
  <c r="C290" i="28"/>
  <c r="C289" i="28"/>
  <c r="C288" i="28"/>
  <c r="C287" i="28"/>
  <c r="C286" i="28"/>
  <c r="C285" i="28"/>
  <c r="C284" i="28"/>
  <c r="C283" i="28"/>
  <c r="C282" i="28"/>
  <c r="C281" i="28"/>
  <c r="C280" i="28"/>
  <c r="C279" i="28"/>
  <c r="C278" i="28"/>
  <c r="C277" i="28"/>
  <c r="C276" i="28"/>
  <c r="C275" i="28"/>
  <c r="C274" i="28"/>
  <c r="C273" i="28"/>
  <c r="C272" i="28"/>
  <c r="C271" i="28"/>
  <c r="C270" i="28"/>
  <c r="C269" i="28"/>
  <c r="C268" i="28"/>
  <c r="C267" i="28"/>
  <c r="C266" i="28"/>
  <c r="C265" i="28"/>
  <c r="C264" i="28"/>
  <c r="C263" i="28"/>
  <c r="C262" i="28"/>
  <c r="C261" i="28"/>
  <c r="C260" i="28"/>
  <c r="C259" i="28"/>
  <c r="C258" i="28"/>
  <c r="C257" i="28"/>
  <c r="C256" i="28"/>
  <c r="C255" i="28"/>
  <c r="C254" i="28"/>
  <c r="C253" i="28"/>
  <c r="C252" i="28"/>
  <c r="C251" i="28"/>
  <c r="C250" i="28"/>
  <c r="C249" i="28"/>
  <c r="C248" i="28"/>
  <c r="C247" i="28"/>
  <c r="C246" i="28"/>
  <c r="C245" i="28"/>
  <c r="C244" i="28"/>
  <c r="C243" i="28"/>
  <c r="C242" i="28"/>
  <c r="C241" i="28"/>
  <c r="C240" i="28"/>
  <c r="C239" i="28"/>
  <c r="C238" i="28"/>
  <c r="C237" i="28"/>
  <c r="C236" i="28"/>
  <c r="C235" i="28"/>
  <c r="C234" i="28"/>
  <c r="C233" i="28"/>
  <c r="C232" i="28"/>
  <c r="C231" i="28"/>
  <c r="C230" i="28"/>
  <c r="C229" i="28"/>
  <c r="C228" i="28"/>
  <c r="C227" i="28"/>
  <c r="C226" i="28"/>
  <c r="C225" i="28"/>
  <c r="C224" i="28"/>
  <c r="C223" i="28"/>
  <c r="C222" i="28"/>
  <c r="C221" i="28"/>
  <c r="C220" i="28"/>
  <c r="C219" i="28"/>
  <c r="C218" i="28"/>
  <c r="C217" i="28"/>
  <c r="C216" i="28"/>
  <c r="C215" i="28"/>
  <c r="C214" i="28"/>
  <c r="C213" i="28"/>
  <c r="C212" i="28"/>
  <c r="C211" i="28"/>
  <c r="C210" i="28"/>
  <c r="C209" i="28"/>
  <c r="C208" i="28"/>
  <c r="C207" i="28"/>
  <c r="C206" i="28"/>
  <c r="C205" i="28"/>
  <c r="C204" i="28"/>
  <c r="C203" i="28"/>
  <c r="C202" i="28"/>
  <c r="C201" i="28"/>
  <c r="C200" i="28"/>
  <c r="C199" i="28"/>
  <c r="C198" i="28"/>
  <c r="C197" i="28"/>
  <c r="C196" i="28"/>
  <c r="C195" i="28"/>
  <c r="C194" i="28"/>
  <c r="C193" i="28"/>
  <c r="C192" i="28"/>
  <c r="C191" i="28"/>
  <c r="C190" i="28"/>
  <c r="C189" i="28"/>
  <c r="C188" i="28"/>
  <c r="C187" i="28"/>
  <c r="C186" i="28"/>
  <c r="C185" i="28"/>
  <c r="C184" i="28"/>
  <c r="C183" i="28"/>
  <c r="C182" i="28"/>
  <c r="C181" i="28"/>
  <c r="C180" i="28"/>
  <c r="C179" i="28"/>
  <c r="C178" i="28"/>
  <c r="C177" i="28"/>
  <c r="C176" i="28"/>
  <c r="C175" i="28"/>
  <c r="C174" i="28"/>
  <c r="C173" i="28"/>
  <c r="C172" i="28"/>
  <c r="C171" i="28"/>
  <c r="C170" i="28"/>
  <c r="C169" i="28"/>
  <c r="C168" i="28"/>
  <c r="C167" i="28"/>
  <c r="C166" i="28"/>
  <c r="C165" i="28"/>
  <c r="C164" i="28"/>
  <c r="C163" i="28"/>
  <c r="C162" i="28"/>
  <c r="C161" i="28"/>
  <c r="C160" i="28"/>
  <c r="C159" i="28"/>
  <c r="C158" i="28"/>
  <c r="C157" i="28"/>
  <c r="C156" i="28"/>
  <c r="C155" i="28"/>
  <c r="C154" i="28"/>
  <c r="C153" i="28"/>
  <c r="C152" i="28"/>
  <c r="C151" i="28"/>
  <c r="C150" i="28"/>
  <c r="C149" i="28"/>
  <c r="C148" i="28"/>
  <c r="C147" i="28"/>
  <c r="C146" i="28"/>
  <c r="C145" i="28"/>
  <c r="C144" i="28"/>
  <c r="C143" i="28"/>
  <c r="C142" i="28"/>
  <c r="C141" i="28"/>
  <c r="C140" i="28"/>
  <c r="C139" i="28"/>
  <c r="C138" i="28"/>
  <c r="C137" i="28"/>
  <c r="C136" i="28"/>
  <c r="C135" i="28"/>
  <c r="C134" i="28"/>
  <c r="C133" i="28"/>
  <c r="C132" i="28"/>
  <c r="C131" i="28"/>
  <c r="C130" i="28"/>
  <c r="C129" i="28"/>
  <c r="C128" i="28"/>
  <c r="C127" i="28"/>
  <c r="C126" i="28"/>
  <c r="C125" i="28"/>
  <c r="C124" i="28"/>
  <c r="C123" i="28"/>
  <c r="C122" i="28"/>
  <c r="C121" i="28"/>
  <c r="C120" i="28"/>
  <c r="C119" i="28"/>
  <c r="C118" i="28"/>
  <c r="C117" i="28"/>
  <c r="C116" i="28"/>
  <c r="C115" i="28"/>
  <c r="C114" i="28"/>
  <c r="C113" i="28"/>
  <c r="C112" i="28"/>
  <c r="C111" i="28"/>
  <c r="C110" i="28"/>
  <c r="C109" i="28"/>
  <c r="C108" i="28"/>
  <c r="C107" i="28"/>
  <c r="C106" i="28"/>
  <c r="C105" i="28"/>
  <c r="C104" i="28"/>
  <c r="C103" i="28"/>
  <c r="C102" i="28"/>
  <c r="C101" i="28"/>
  <c r="C100" i="28"/>
  <c r="C99" i="28"/>
  <c r="C98" i="28"/>
  <c r="C97" i="28"/>
  <c r="C96" i="28"/>
  <c r="C95" i="28"/>
  <c r="C94" i="28"/>
  <c r="C93" i="28"/>
  <c r="C92" i="28"/>
  <c r="C91" i="28"/>
  <c r="C90" i="28"/>
  <c r="C89" i="28"/>
  <c r="C88" i="28"/>
  <c r="C87" i="28"/>
  <c r="C86" i="28"/>
  <c r="C85" i="28"/>
  <c r="C84" i="28"/>
  <c r="C83" i="28"/>
  <c r="C82" i="28"/>
  <c r="C81" i="28"/>
  <c r="C80" i="28"/>
  <c r="C79" i="28"/>
  <c r="C78" i="28"/>
  <c r="C77" i="28"/>
  <c r="C76" i="28"/>
  <c r="C75" i="28"/>
  <c r="C74" i="28"/>
  <c r="C73" i="28"/>
  <c r="C72" i="28"/>
  <c r="C71" i="28"/>
  <c r="C70" i="28"/>
  <c r="C69" i="28"/>
  <c r="C68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C5" i="28"/>
  <c r="C4" i="28"/>
  <c r="C3" i="28"/>
  <c r="AA1613" i="28"/>
  <c r="Z1613" i="28"/>
  <c r="V1613" i="28"/>
  <c r="W1613" i="28" s="1"/>
  <c r="X1613" i="28" s="1"/>
  <c r="Y1613" i="28" s="1"/>
  <c r="AC1613" i="28" s="1"/>
  <c r="C1613" i="28"/>
  <c r="AA1612" i="28"/>
  <c r="Z1612" i="28"/>
  <c r="V1612" i="28"/>
  <c r="W1612" i="28" s="1"/>
  <c r="X1612" i="28" s="1"/>
  <c r="Y1612" i="28" s="1"/>
  <c r="AC1612" i="28" s="1"/>
  <c r="AA1611" i="28"/>
  <c r="Z1611" i="28"/>
  <c r="V1611" i="28"/>
  <c r="W1611" i="28" s="1"/>
  <c r="AA1610" i="28"/>
  <c r="Z1610" i="28"/>
  <c r="V1610" i="28"/>
  <c r="AA1609" i="28"/>
  <c r="Z1609" i="28"/>
  <c r="V1609" i="28"/>
  <c r="AA1608" i="28"/>
  <c r="Z1608" i="28"/>
  <c r="V1608" i="28"/>
  <c r="AA1607" i="28"/>
  <c r="Z1607" i="28"/>
  <c r="V1607" i="28"/>
  <c r="W1607" i="28" s="1"/>
  <c r="X1607" i="28" s="1"/>
  <c r="Y1607" i="28" s="1"/>
  <c r="AC1607" i="28" s="1"/>
  <c r="AA1606" i="28"/>
  <c r="Z1606" i="28"/>
  <c r="V1606" i="28"/>
  <c r="W1606" i="28" s="1"/>
  <c r="AA1605" i="28"/>
  <c r="Z1605" i="28"/>
  <c r="V1605" i="28"/>
  <c r="AA1604" i="28"/>
  <c r="Z1604" i="28"/>
  <c r="V1604" i="28"/>
  <c r="W1604" i="28" s="1"/>
  <c r="X1604" i="28" s="1"/>
  <c r="Y1604" i="28" s="1"/>
  <c r="AC1604" i="28" s="1"/>
  <c r="AA1603" i="28"/>
  <c r="Z1603" i="28"/>
  <c r="V1603" i="28"/>
  <c r="AA1602" i="28"/>
  <c r="Z1602" i="28"/>
  <c r="V1602" i="28"/>
  <c r="AA1601" i="28"/>
  <c r="Z1601" i="28"/>
  <c r="V1601" i="28"/>
  <c r="AA1600" i="28"/>
  <c r="Z1600" i="28"/>
  <c r="V1600" i="28"/>
  <c r="W1600" i="28" s="1"/>
  <c r="AA1599" i="28"/>
  <c r="Z1599" i="28"/>
  <c r="V1599" i="28"/>
  <c r="AA1598" i="28"/>
  <c r="Z1598" i="28"/>
  <c r="V1598" i="28"/>
  <c r="W1598" i="28" s="1"/>
  <c r="AA1597" i="28"/>
  <c r="Z1597" i="28"/>
  <c r="V1597" i="28"/>
  <c r="AA1596" i="28"/>
  <c r="Z1596" i="28"/>
  <c r="V1596" i="28"/>
  <c r="W1596" i="28" s="1"/>
  <c r="X1596" i="28" s="1"/>
  <c r="Y1596" i="28" s="1"/>
  <c r="AC1596" i="28" s="1"/>
  <c r="AA1595" i="28"/>
  <c r="Z1595" i="28"/>
  <c r="V1595" i="28"/>
  <c r="AA1594" i="28"/>
  <c r="Z1594" i="28"/>
  <c r="V1594" i="28"/>
  <c r="W1594" i="28" s="1"/>
  <c r="AA1593" i="28"/>
  <c r="Z1593" i="28"/>
  <c r="V1593" i="28"/>
  <c r="W1593" i="28" s="1"/>
  <c r="X1593" i="28" s="1"/>
  <c r="Y1593" i="28" s="1"/>
  <c r="AC1593" i="28" s="1"/>
  <c r="AA1592" i="28"/>
  <c r="Z1592" i="28"/>
  <c r="V1592" i="28"/>
  <c r="W1592" i="28" s="1"/>
  <c r="X1592" i="28" s="1"/>
  <c r="Y1592" i="28" s="1"/>
  <c r="AC1592" i="28" s="1"/>
  <c r="AA1591" i="28"/>
  <c r="Z1591" i="28"/>
  <c r="V1591" i="28"/>
  <c r="AA1590" i="28"/>
  <c r="Z1590" i="28"/>
  <c r="V1590" i="28"/>
  <c r="AA1589" i="28"/>
  <c r="Z1589" i="28"/>
  <c r="V1589" i="28"/>
  <c r="W1589" i="28" s="1"/>
  <c r="X1589" i="28" s="1"/>
  <c r="Y1589" i="28" s="1"/>
  <c r="AC1589" i="28" s="1"/>
  <c r="AA1588" i="28"/>
  <c r="Z1588" i="28"/>
  <c r="V1588" i="28"/>
  <c r="W1588" i="28" s="1"/>
  <c r="X1588" i="28" s="1"/>
  <c r="Y1588" i="28" s="1"/>
  <c r="AC1588" i="28" s="1"/>
  <c r="AA1587" i="28"/>
  <c r="Z1587" i="28"/>
  <c r="V1587" i="28"/>
  <c r="W1587" i="28" s="1"/>
  <c r="AA1586" i="28"/>
  <c r="Z1586" i="28"/>
  <c r="V1586" i="28"/>
  <c r="W1586" i="28" s="1"/>
  <c r="AA1585" i="28"/>
  <c r="Z1585" i="28"/>
  <c r="V1585" i="28"/>
  <c r="AA1584" i="28"/>
  <c r="Z1584" i="28"/>
  <c r="V1584" i="28"/>
  <c r="W1584" i="28" s="1"/>
  <c r="X1584" i="28" s="1"/>
  <c r="Y1584" i="28" s="1"/>
  <c r="AC1584" i="28" s="1"/>
  <c r="AA1583" i="28"/>
  <c r="Z1583" i="28"/>
  <c r="V1583" i="28"/>
  <c r="AA1582" i="28"/>
  <c r="Z1582" i="28"/>
  <c r="V1582" i="28"/>
  <c r="W1582" i="28" s="1"/>
  <c r="AA1581" i="28"/>
  <c r="Z1581" i="28"/>
  <c r="V1581" i="28"/>
  <c r="W1581" i="28" s="1"/>
  <c r="X1581" i="28" s="1"/>
  <c r="Y1581" i="28" s="1"/>
  <c r="AC1581" i="28" s="1"/>
  <c r="AA1580" i="28"/>
  <c r="Z1580" i="28"/>
  <c r="V1580" i="28"/>
  <c r="W1580" i="28" s="1"/>
  <c r="X1580" i="28" s="1"/>
  <c r="Y1580" i="28" s="1"/>
  <c r="AC1580" i="28" s="1"/>
  <c r="AA1579" i="28"/>
  <c r="Z1579" i="28"/>
  <c r="V1579" i="28"/>
  <c r="AA1578" i="28"/>
  <c r="Z1578" i="28"/>
  <c r="V1578" i="28"/>
  <c r="W1578" i="28" s="1"/>
  <c r="X1578" i="28" s="1"/>
  <c r="Y1578" i="28" s="1"/>
  <c r="AC1578" i="28" s="1"/>
  <c r="AA1577" i="28"/>
  <c r="Z1577" i="28"/>
  <c r="V1577" i="28"/>
  <c r="W1577" i="28" s="1"/>
  <c r="AA1576" i="28"/>
  <c r="Z1576" i="28"/>
  <c r="V1576" i="28"/>
  <c r="AA1575" i="28"/>
  <c r="Z1575" i="28"/>
  <c r="V1575" i="28"/>
  <c r="W1575" i="28" s="1"/>
  <c r="AA1574" i="28"/>
  <c r="Z1574" i="28"/>
  <c r="V1574" i="28"/>
  <c r="AA1573" i="28"/>
  <c r="Z1573" i="28"/>
  <c r="V1573" i="28"/>
  <c r="W1573" i="28" s="1"/>
  <c r="AA1572" i="28"/>
  <c r="Z1572" i="28"/>
  <c r="V1572" i="28"/>
  <c r="W1572" i="28" s="1"/>
  <c r="X1572" i="28" s="1"/>
  <c r="Y1572" i="28" s="1"/>
  <c r="AC1572" i="28" s="1"/>
  <c r="AA1571" i="28"/>
  <c r="Z1571" i="28"/>
  <c r="V1571" i="28"/>
  <c r="AA1570" i="28"/>
  <c r="Z1570" i="28"/>
  <c r="V1570" i="28"/>
  <c r="AA1569" i="28"/>
  <c r="Z1569" i="28"/>
  <c r="V1569" i="28"/>
  <c r="AA1568" i="28"/>
  <c r="Z1568" i="28"/>
  <c r="V1568" i="28"/>
  <c r="W1568" i="28" s="1"/>
  <c r="X1568" i="28" s="1"/>
  <c r="Y1568" i="28" s="1"/>
  <c r="AC1568" i="28" s="1"/>
  <c r="AA1567" i="28"/>
  <c r="Z1567" i="28"/>
  <c r="V1567" i="28"/>
  <c r="AA1566" i="28"/>
  <c r="Z1566" i="28"/>
  <c r="V1566" i="28"/>
  <c r="AA1565" i="28"/>
  <c r="Z1565" i="28"/>
  <c r="V1565" i="28"/>
  <c r="AA1564" i="28"/>
  <c r="Z1564" i="28"/>
  <c r="V1564" i="28"/>
  <c r="W1564" i="28" s="1"/>
  <c r="AA1563" i="28"/>
  <c r="Z1563" i="28"/>
  <c r="V1563" i="28"/>
  <c r="AA1562" i="28"/>
  <c r="Z1562" i="28"/>
  <c r="V1562" i="28"/>
  <c r="W1562" i="28" s="1"/>
  <c r="AA1561" i="28"/>
  <c r="Z1561" i="28"/>
  <c r="V1561" i="28"/>
  <c r="AA1560" i="28"/>
  <c r="Z1560" i="28"/>
  <c r="V1560" i="28"/>
  <c r="W1560" i="28" s="1"/>
  <c r="X1560" i="28" s="1"/>
  <c r="Y1560" i="28" s="1"/>
  <c r="AC1560" i="28" s="1"/>
  <c r="AA1559" i="28"/>
  <c r="Z1559" i="28"/>
  <c r="V1559" i="28"/>
  <c r="AA1558" i="28"/>
  <c r="Z1558" i="28"/>
  <c r="V1558" i="28"/>
  <c r="W1558" i="28" s="1"/>
  <c r="AA1557" i="28"/>
  <c r="Z1557" i="28"/>
  <c r="V1557" i="28"/>
  <c r="W1557" i="28" s="1"/>
  <c r="X1557" i="28" s="1"/>
  <c r="Y1557" i="28" s="1"/>
  <c r="AC1557" i="28" s="1"/>
  <c r="AA1556" i="28"/>
  <c r="Z1556" i="28"/>
  <c r="V1556" i="28"/>
  <c r="W1556" i="28" s="1"/>
  <c r="X1556" i="28" s="1"/>
  <c r="Y1556" i="28" s="1"/>
  <c r="AC1556" i="28" s="1"/>
  <c r="AA1555" i="28"/>
  <c r="Z1555" i="28"/>
  <c r="V1555" i="28"/>
  <c r="W1555" i="28" s="1"/>
  <c r="AA1554" i="28"/>
  <c r="Z1554" i="28"/>
  <c r="V1554" i="28"/>
  <c r="AA1553" i="28"/>
  <c r="Z1553" i="28"/>
  <c r="V1553" i="28"/>
  <c r="AA1552" i="28"/>
  <c r="Z1552" i="28"/>
  <c r="V1552" i="28"/>
  <c r="W1552" i="28" s="1"/>
  <c r="AA1551" i="28"/>
  <c r="Z1551" i="28"/>
  <c r="V1551" i="28"/>
  <c r="W1551" i="28" s="1"/>
  <c r="AA1550" i="28"/>
  <c r="Z1550" i="28"/>
  <c r="V1550" i="28"/>
  <c r="W1550" i="28" s="1"/>
  <c r="AA1549" i="28"/>
  <c r="Z1549" i="28"/>
  <c r="V1549" i="28"/>
  <c r="W1549" i="28" s="1"/>
  <c r="AA1548" i="28"/>
  <c r="Z1548" i="28"/>
  <c r="V1548" i="28"/>
  <c r="W1548" i="28" s="1"/>
  <c r="X1548" i="28" s="1"/>
  <c r="Y1548" i="28" s="1"/>
  <c r="AC1548" i="28" s="1"/>
  <c r="AA1547" i="28"/>
  <c r="Z1547" i="28"/>
  <c r="V1547" i="28"/>
  <c r="AA1546" i="28"/>
  <c r="Z1546" i="28"/>
  <c r="V1546" i="28"/>
  <c r="W1546" i="28" s="1"/>
  <c r="AA1545" i="28"/>
  <c r="Z1545" i="28"/>
  <c r="V1545" i="28"/>
  <c r="W1545" i="28" s="1"/>
  <c r="X1545" i="28" s="1"/>
  <c r="Y1545" i="28" s="1"/>
  <c r="AC1545" i="28" s="1"/>
  <c r="AA1544" i="28"/>
  <c r="Z1544" i="28"/>
  <c r="V1544" i="28"/>
  <c r="W1544" i="28" s="1"/>
  <c r="X1544" i="28" s="1"/>
  <c r="Y1544" i="28" s="1"/>
  <c r="AC1544" i="28" s="1"/>
  <c r="AA1543" i="28"/>
  <c r="Z1543" i="28"/>
  <c r="V1543" i="28"/>
  <c r="W1543" i="28" s="1"/>
  <c r="AA1542" i="28"/>
  <c r="Z1542" i="28"/>
  <c r="V1542" i="28"/>
  <c r="W1542" i="28" s="1"/>
  <c r="AA1541" i="28"/>
  <c r="Z1541" i="28"/>
  <c r="V1541" i="28"/>
  <c r="AA1540" i="28"/>
  <c r="Z1540" i="28"/>
  <c r="V1540" i="28"/>
  <c r="W1540" i="28" s="1"/>
  <c r="X1540" i="28" s="1"/>
  <c r="Y1540" i="28" s="1"/>
  <c r="AC1540" i="28" s="1"/>
  <c r="AA1539" i="28"/>
  <c r="Z1539" i="28"/>
  <c r="V1539" i="28"/>
  <c r="AA1538" i="28"/>
  <c r="Z1538" i="28"/>
  <c r="V1538" i="28"/>
  <c r="AA1537" i="28"/>
  <c r="Z1537" i="28"/>
  <c r="V1537" i="28"/>
  <c r="W1537" i="28" s="1"/>
  <c r="AA1536" i="28"/>
  <c r="Z1536" i="28"/>
  <c r="V1536" i="28"/>
  <c r="W1536" i="28" s="1"/>
  <c r="X1536" i="28" s="1"/>
  <c r="Y1536" i="28" s="1"/>
  <c r="AC1536" i="28" s="1"/>
  <c r="AA1535" i="28"/>
  <c r="Z1535" i="28"/>
  <c r="V1535" i="28"/>
  <c r="AA1534" i="28"/>
  <c r="Z1534" i="28"/>
  <c r="V1534" i="28"/>
  <c r="W1534" i="28" s="1"/>
  <c r="AA1533" i="28"/>
  <c r="Z1533" i="28"/>
  <c r="V1533" i="28"/>
  <c r="AA1532" i="28"/>
  <c r="Z1532" i="28"/>
  <c r="V1532" i="28"/>
  <c r="W1532" i="28" s="1"/>
  <c r="X1532" i="28" s="1"/>
  <c r="Y1532" i="28" s="1"/>
  <c r="AC1532" i="28" s="1"/>
  <c r="AA1531" i="28"/>
  <c r="Z1531" i="28"/>
  <c r="V1531" i="28"/>
  <c r="W1531" i="28" s="1"/>
  <c r="AA1530" i="28"/>
  <c r="Z1530" i="28"/>
  <c r="V1530" i="28"/>
  <c r="W1530" i="28" s="1"/>
  <c r="AA1529" i="28"/>
  <c r="Z1529" i="28"/>
  <c r="V1529" i="28"/>
  <c r="AA1528" i="28"/>
  <c r="Z1528" i="28"/>
  <c r="V1528" i="28"/>
  <c r="AA1527" i="28"/>
  <c r="Z1527" i="28"/>
  <c r="V1527" i="28"/>
  <c r="AA1526" i="28"/>
  <c r="Z1526" i="28"/>
  <c r="V1526" i="28"/>
  <c r="AA1525" i="28"/>
  <c r="Z1525" i="28"/>
  <c r="V1525" i="28"/>
  <c r="W1525" i="28" s="1"/>
  <c r="AA1524" i="28"/>
  <c r="Z1524" i="28"/>
  <c r="V1524" i="28"/>
  <c r="W1524" i="28" s="1"/>
  <c r="X1524" i="28" s="1"/>
  <c r="Y1524" i="28" s="1"/>
  <c r="AC1524" i="28" s="1"/>
  <c r="AA1523" i="28"/>
  <c r="Z1523" i="28"/>
  <c r="V1523" i="28"/>
  <c r="AA1522" i="28"/>
  <c r="Z1522" i="28"/>
  <c r="V1522" i="28"/>
  <c r="W1522" i="28" s="1"/>
  <c r="AA1521" i="28"/>
  <c r="Z1521" i="28"/>
  <c r="V1521" i="28"/>
  <c r="AA1520" i="28"/>
  <c r="Z1520" i="28"/>
  <c r="V1520" i="28"/>
  <c r="W1520" i="28" s="1"/>
  <c r="X1520" i="28" s="1"/>
  <c r="Y1520" i="28" s="1"/>
  <c r="AC1520" i="28" s="1"/>
  <c r="AA1519" i="28"/>
  <c r="Z1519" i="28"/>
  <c r="V1519" i="28"/>
  <c r="AA1518" i="28"/>
  <c r="Z1518" i="28"/>
  <c r="V1518" i="28"/>
  <c r="W1518" i="28" s="1"/>
  <c r="AA1517" i="28"/>
  <c r="Z1517" i="28"/>
  <c r="V1517" i="28"/>
  <c r="W1517" i="28" s="1"/>
  <c r="AA1516" i="28"/>
  <c r="Z1516" i="28"/>
  <c r="V1516" i="28"/>
  <c r="AA1515" i="28"/>
  <c r="Z1515" i="28"/>
  <c r="V1515" i="28"/>
  <c r="AA1514" i="28"/>
  <c r="Z1514" i="28"/>
  <c r="V1514" i="28"/>
  <c r="AA1513" i="28"/>
  <c r="Z1513" i="28"/>
  <c r="V1513" i="28"/>
  <c r="W1513" i="28" s="1"/>
  <c r="X1513" i="28" s="1"/>
  <c r="Y1513" i="28" s="1"/>
  <c r="AC1513" i="28" s="1"/>
  <c r="AA1512" i="28"/>
  <c r="Z1512" i="28"/>
  <c r="V1512" i="28"/>
  <c r="W1512" i="28" s="1"/>
  <c r="X1512" i="28" s="1"/>
  <c r="Y1512" i="28" s="1"/>
  <c r="AC1512" i="28" s="1"/>
  <c r="AA1511" i="28"/>
  <c r="Z1511" i="28"/>
  <c r="V1511" i="28"/>
  <c r="W1511" i="28" s="1"/>
  <c r="AA1510" i="28"/>
  <c r="Z1510" i="28"/>
  <c r="V1510" i="28"/>
  <c r="AA1509" i="28"/>
  <c r="Z1509" i="28"/>
  <c r="V1509" i="28"/>
  <c r="W1509" i="28" s="1"/>
  <c r="AA1508" i="28"/>
  <c r="Z1508" i="28"/>
  <c r="V1508" i="28"/>
  <c r="W1508" i="28" s="1"/>
  <c r="AA1507" i="28"/>
  <c r="Z1507" i="28"/>
  <c r="V1507" i="28"/>
  <c r="AA1506" i="28"/>
  <c r="Z1506" i="28"/>
  <c r="V1506" i="28"/>
  <c r="W1506" i="28" s="1"/>
  <c r="X1506" i="28" s="1"/>
  <c r="Y1506" i="28" s="1"/>
  <c r="AC1506" i="28" s="1"/>
  <c r="AA1505" i="28"/>
  <c r="Z1505" i="28"/>
  <c r="V1505" i="28"/>
  <c r="AA1504" i="28"/>
  <c r="Z1504" i="28"/>
  <c r="V1504" i="28"/>
  <c r="AA1503" i="28"/>
  <c r="Z1503" i="28"/>
  <c r="V1503" i="28"/>
  <c r="W1503" i="28" s="1"/>
  <c r="AA1502" i="28"/>
  <c r="Z1502" i="28"/>
  <c r="V1502" i="28"/>
  <c r="W1502" i="28" s="1"/>
  <c r="AA1501" i="28"/>
  <c r="Z1501" i="28"/>
  <c r="V1501" i="28"/>
  <c r="W1501" i="28" s="1"/>
  <c r="X1501" i="28" s="1"/>
  <c r="Y1501" i="28" s="1"/>
  <c r="AC1501" i="28" s="1"/>
  <c r="AA1500" i="28"/>
  <c r="Z1500" i="28"/>
  <c r="V1500" i="28"/>
  <c r="AA1499" i="28"/>
  <c r="Z1499" i="28"/>
  <c r="V1499" i="28"/>
  <c r="AA1498" i="28"/>
  <c r="Z1498" i="28"/>
  <c r="V1498" i="28"/>
  <c r="AA1497" i="28"/>
  <c r="Z1497" i="28"/>
  <c r="V1497" i="28"/>
  <c r="W1497" i="28" s="1"/>
  <c r="X1497" i="28" s="1"/>
  <c r="Y1497" i="28" s="1"/>
  <c r="AC1497" i="28" s="1"/>
  <c r="AA1496" i="28"/>
  <c r="Z1496" i="28"/>
  <c r="V1496" i="28"/>
  <c r="W1496" i="28" s="1"/>
  <c r="X1496" i="28" s="1"/>
  <c r="Y1496" i="28" s="1"/>
  <c r="AC1496" i="28" s="1"/>
  <c r="AA1495" i="28"/>
  <c r="Z1495" i="28"/>
  <c r="V1495" i="28"/>
  <c r="W1495" i="28" s="1"/>
  <c r="X1495" i="28" s="1"/>
  <c r="Y1495" i="28" s="1"/>
  <c r="AC1495" i="28" s="1"/>
  <c r="AA1494" i="28"/>
  <c r="Z1494" i="28"/>
  <c r="V1494" i="28"/>
  <c r="AA1493" i="28"/>
  <c r="Z1493" i="28"/>
  <c r="V1493" i="28"/>
  <c r="W1493" i="28" s="1"/>
  <c r="AA1492" i="28"/>
  <c r="Z1492" i="28"/>
  <c r="V1492" i="28"/>
  <c r="AA1491" i="28"/>
  <c r="Z1491" i="28"/>
  <c r="V1491" i="28"/>
  <c r="W1491" i="28" s="1"/>
  <c r="AA1490" i="28"/>
  <c r="Z1490" i="28"/>
  <c r="V1490" i="28"/>
  <c r="AA1489" i="28"/>
  <c r="Z1489" i="28"/>
  <c r="V1489" i="28"/>
  <c r="AA1488" i="28"/>
  <c r="Z1488" i="28"/>
  <c r="V1488" i="28"/>
  <c r="AA1487" i="28"/>
  <c r="Z1487" i="28"/>
  <c r="V1487" i="28"/>
  <c r="AA1486" i="28"/>
  <c r="Z1486" i="28"/>
  <c r="V1486" i="28"/>
  <c r="AA1485" i="28"/>
  <c r="Z1485" i="28"/>
  <c r="V1485" i="28"/>
  <c r="AA1484" i="28"/>
  <c r="Z1484" i="28"/>
  <c r="V1484" i="28"/>
  <c r="W1484" i="28" s="1"/>
  <c r="X1484" i="28" s="1"/>
  <c r="Y1484" i="28" s="1"/>
  <c r="AC1484" i="28" s="1"/>
  <c r="AA1483" i="28"/>
  <c r="Z1483" i="28"/>
  <c r="V1483" i="28"/>
  <c r="W1483" i="28" s="1"/>
  <c r="AA1482" i="28"/>
  <c r="Z1482" i="28"/>
  <c r="V1482" i="28"/>
  <c r="W1482" i="28" s="1"/>
  <c r="X1482" i="28" s="1"/>
  <c r="Y1482" i="28" s="1"/>
  <c r="AC1482" i="28" s="1"/>
  <c r="AA1481" i="28"/>
  <c r="Z1481" i="28"/>
  <c r="V1481" i="28"/>
  <c r="AA1480" i="28"/>
  <c r="Z1480" i="28"/>
  <c r="V1480" i="28"/>
  <c r="W1480" i="28" s="1"/>
  <c r="X1480" i="28" s="1"/>
  <c r="Y1480" i="28" s="1"/>
  <c r="AC1480" i="28" s="1"/>
  <c r="AA1479" i="28"/>
  <c r="Z1479" i="28"/>
  <c r="V1479" i="28"/>
  <c r="AA1478" i="28"/>
  <c r="Z1478" i="28"/>
  <c r="V1478" i="28"/>
  <c r="AA1477" i="28"/>
  <c r="Z1477" i="28"/>
  <c r="V1477" i="28"/>
  <c r="AA1476" i="28"/>
  <c r="Z1476" i="28"/>
  <c r="V1476" i="28"/>
  <c r="AA1475" i="28"/>
  <c r="Z1475" i="28"/>
  <c r="V1475" i="28"/>
  <c r="W1475" i="28" s="1"/>
  <c r="X1475" i="28" s="1"/>
  <c r="Y1475" i="28" s="1"/>
  <c r="AC1475" i="28" s="1"/>
  <c r="AA1474" i="28"/>
  <c r="Z1474" i="28"/>
  <c r="V1474" i="28"/>
  <c r="AA1473" i="28"/>
  <c r="Z1473" i="28"/>
  <c r="V1473" i="28"/>
  <c r="W1473" i="28" s="1"/>
  <c r="AA1472" i="28"/>
  <c r="Z1472" i="28"/>
  <c r="V1472" i="28"/>
  <c r="W1472" i="28" s="1"/>
  <c r="X1472" i="28" s="1"/>
  <c r="Y1472" i="28" s="1"/>
  <c r="AC1472" i="28" s="1"/>
  <c r="AA1471" i="28"/>
  <c r="Z1471" i="28"/>
  <c r="V1471" i="28"/>
  <c r="AA1470" i="28"/>
  <c r="Z1470" i="28"/>
  <c r="V1470" i="28"/>
  <c r="AA1469" i="28"/>
  <c r="Z1469" i="28"/>
  <c r="V1469" i="28"/>
  <c r="AA1468" i="28"/>
  <c r="Z1468" i="28"/>
  <c r="V1468" i="28"/>
  <c r="W1468" i="28" s="1"/>
  <c r="AA1467" i="28"/>
  <c r="Z1467" i="28"/>
  <c r="V1467" i="28"/>
  <c r="W1467" i="28" s="1"/>
  <c r="X1467" i="28" s="1"/>
  <c r="Y1467" i="28" s="1"/>
  <c r="AC1467" i="28" s="1"/>
  <c r="AA1466" i="28"/>
  <c r="Z1466" i="28"/>
  <c r="V1466" i="28"/>
  <c r="AA1465" i="28"/>
  <c r="Z1465" i="28"/>
  <c r="V1465" i="28"/>
  <c r="AA1464" i="28"/>
  <c r="Z1464" i="28"/>
  <c r="V1464" i="28"/>
  <c r="AA1463" i="28"/>
  <c r="Z1463" i="28"/>
  <c r="V1463" i="28"/>
  <c r="W1463" i="28" s="1"/>
  <c r="X1463" i="28" s="1"/>
  <c r="Y1463" i="28" s="1"/>
  <c r="AC1463" i="28" s="1"/>
  <c r="AA1462" i="28"/>
  <c r="Z1462" i="28"/>
  <c r="V1462" i="28"/>
  <c r="W1462" i="28" s="1"/>
  <c r="X1462" i="28" s="1"/>
  <c r="Y1462" i="28" s="1"/>
  <c r="AC1462" i="28" s="1"/>
  <c r="AA1461" i="28"/>
  <c r="Z1461" i="28"/>
  <c r="V1461" i="28"/>
  <c r="W1461" i="28" s="1"/>
  <c r="AA1460" i="28"/>
  <c r="Z1460" i="28"/>
  <c r="V1460" i="28"/>
  <c r="W1460" i="28" s="1"/>
  <c r="AA1459" i="28"/>
  <c r="Z1459" i="28"/>
  <c r="V1459" i="28"/>
  <c r="W1459" i="28" s="1"/>
  <c r="AA1458" i="28"/>
  <c r="Z1458" i="28"/>
  <c r="V1458" i="28"/>
  <c r="AA1457" i="28"/>
  <c r="Z1457" i="28"/>
  <c r="V1457" i="28"/>
  <c r="AA1456" i="28"/>
  <c r="Z1456" i="28"/>
  <c r="V1456" i="28"/>
  <c r="W1456" i="28" s="1"/>
  <c r="AA1455" i="28"/>
  <c r="Z1455" i="28"/>
  <c r="V1455" i="28"/>
  <c r="AA1454" i="28"/>
  <c r="Z1454" i="28"/>
  <c r="V1454" i="28"/>
  <c r="AA1453" i="28"/>
  <c r="Z1453" i="28"/>
  <c r="V1453" i="28"/>
  <c r="W1453" i="28" s="1"/>
  <c r="X1453" i="28" s="1"/>
  <c r="Y1453" i="28" s="1"/>
  <c r="AC1453" i="28" s="1"/>
  <c r="AA1452" i="28"/>
  <c r="Z1452" i="28"/>
  <c r="V1452" i="28"/>
  <c r="AA1451" i="28"/>
  <c r="Z1451" i="28"/>
  <c r="V1451" i="28"/>
  <c r="AA1450" i="28"/>
  <c r="Z1450" i="28"/>
  <c r="V1450" i="28"/>
  <c r="W1450" i="28" s="1"/>
  <c r="AA1449" i="28"/>
  <c r="Z1449" i="28"/>
  <c r="V1449" i="28"/>
  <c r="AA1448" i="28"/>
  <c r="Z1448" i="28"/>
  <c r="V1448" i="28"/>
  <c r="W1448" i="28" s="1"/>
  <c r="X1448" i="28" s="1"/>
  <c r="Y1448" i="28" s="1"/>
  <c r="AC1448" i="28" s="1"/>
  <c r="AA1447" i="28"/>
  <c r="Z1447" i="28"/>
  <c r="V1447" i="28"/>
  <c r="AA1446" i="28"/>
  <c r="Z1446" i="28"/>
  <c r="V1446" i="28"/>
  <c r="AA1445" i="28"/>
  <c r="Z1445" i="28"/>
  <c r="V1445" i="28"/>
  <c r="AA1444" i="28"/>
  <c r="Z1444" i="28"/>
  <c r="V1444" i="28"/>
  <c r="AA1443" i="28"/>
  <c r="Z1443" i="28"/>
  <c r="V1443" i="28"/>
  <c r="W1443" i="28" s="1"/>
  <c r="X1443" i="28" s="1"/>
  <c r="Y1443" i="28" s="1"/>
  <c r="AC1443" i="28" s="1"/>
  <c r="AA1442" i="28"/>
  <c r="Z1442" i="28"/>
  <c r="V1442" i="28"/>
  <c r="W1442" i="28" s="1"/>
  <c r="AA1441" i="28"/>
  <c r="Z1441" i="28"/>
  <c r="V1441" i="28"/>
  <c r="AA1440" i="28"/>
  <c r="Z1440" i="28"/>
  <c r="V1440" i="28"/>
  <c r="AA1439" i="28"/>
  <c r="Z1439" i="28"/>
  <c r="V1439" i="28"/>
  <c r="W1439" i="28" s="1"/>
  <c r="X1439" i="28" s="1"/>
  <c r="Y1439" i="28" s="1"/>
  <c r="AC1439" i="28" s="1"/>
  <c r="AA1438" i="28"/>
  <c r="AE1438" i="28" s="1"/>
  <c r="Z1438" i="28"/>
  <c r="V1438" i="28"/>
  <c r="AA1437" i="28"/>
  <c r="Z1437" i="28"/>
  <c r="V1437" i="28"/>
  <c r="W1437" i="28" s="1"/>
  <c r="X1437" i="28" s="1"/>
  <c r="Y1437" i="28" s="1"/>
  <c r="AC1437" i="28" s="1"/>
  <c r="AA1436" i="28"/>
  <c r="Z1436" i="28"/>
  <c r="V1436" i="28"/>
  <c r="W1436" i="28" s="1"/>
  <c r="AA1435" i="28"/>
  <c r="Z1435" i="28"/>
  <c r="V1435" i="28"/>
  <c r="AA1434" i="28"/>
  <c r="Z1434" i="28"/>
  <c r="V1434" i="28"/>
  <c r="AA1433" i="28"/>
  <c r="Z1433" i="28"/>
  <c r="V1433" i="28"/>
  <c r="W1433" i="28" s="1"/>
  <c r="X1433" i="28" s="1"/>
  <c r="Y1433" i="28" s="1"/>
  <c r="AC1433" i="28" s="1"/>
  <c r="AA1432" i="28"/>
  <c r="Z1432" i="28"/>
  <c r="V1432" i="28"/>
  <c r="AA1431" i="28"/>
  <c r="Z1431" i="28"/>
  <c r="V1431" i="28"/>
  <c r="AA1430" i="28"/>
  <c r="Z1430" i="28"/>
  <c r="V1430" i="28"/>
  <c r="AA1429" i="28"/>
  <c r="Z1429" i="28"/>
  <c r="V1429" i="28"/>
  <c r="W1429" i="28" s="1"/>
  <c r="X1429" i="28" s="1"/>
  <c r="Y1429" i="28" s="1"/>
  <c r="AC1429" i="28" s="1"/>
  <c r="AA1428" i="28"/>
  <c r="Z1428" i="28"/>
  <c r="V1428" i="28"/>
  <c r="AA1427" i="28"/>
  <c r="Z1427" i="28"/>
  <c r="V1427" i="28"/>
  <c r="W1427" i="28" s="1"/>
  <c r="X1427" i="28" s="1"/>
  <c r="Y1427" i="28" s="1"/>
  <c r="AC1427" i="28" s="1"/>
  <c r="AA1426" i="28"/>
  <c r="Z1426" i="28"/>
  <c r="V1426" i="28"/>
  <c r="AA1425" i="28"/>
  <c r="Z1425" i="28"/>
  <c r="V1425" i="28"/>
  <c r="W1425" i="28" s="1"/>
  <c r="X1425" i="28" s="1"/>
  <c r="Y1425" i="28" s="1"/>
  <c r="AC1425" i="28" s="1"/>
  <c r="AA1424" i="28"/>
  <c r="Z1424" i="28"/>
  <c r="V1424" i="28"/>
  <c r="AA1423" i="28"/>
  <c r="Z1423" i="28"/>
  <c r="V1423" i="28"/>
  <c r="AA1422" i="28"/>
  <c r="Z1422" i="28"/>
  <c r="V1422" i="28"/>
  <c r="W1422" i="28" s="1"/>
  <c r="X1422" i="28" s="1"/>
  <c r="Y1422" i="28" s="1"/>
  <c r="AC1422" i="28" s="1"/>
  <c r="AA1421" i="28"/>
  <c r="Z1421" i="28"/>
  <c r="V1421" i="28"/>
  <c r="W1421" i="28" s="1"/>
  <c r="X1421" i="28" s="1"/>
  <c r="Y1421" i="28" s="1"/>
  <c r="AC1421" i="28" s="1"/>
  <c r="AA1420" i="28"/>
  <c r="Z1420" i="28"/>
  <c r="V1420" i="28"/>
  <c r="AA1419" i="28"/>
  <c r="Z1419" i="28"/>
  <c r="V1419" i="28"/>
  <c r="W1419" i="28" s="1"/>
  <c r="X1419" i="28" s="1"/>
  <c r="Y1419" i="28" s="1"/>
  <c r="AC1419" i="28" s="1"/>
  <c r="AA1418" i="28"/>
  <c r="Z1418" i="28"/>
  <c r="V1418" i="28"/>
  <c r="AA1417" i="28"/>
  <c r="Z1417" i="28"/>
  <c r="V1417" i="28"/>
  <c r="W1417" i="28" s="1"/>
  <c r="X1417" i="28" s="1"/>
  <c r="Y1417" i="28" s="1"/>
  <c r="AC1417" i="28" s="1"/>
  <c r="AA1416" i="28"/>
  <c r="Z1416" i="28"/>
  <c r="V1416" i="28"/>
  <c r="W1416" i="28" s="1"/>
  <c r="X1416" i="28" s="1"/>
  <c r="Y1416" i="28" s="1"/>
  <c r="AC1416" i="28" s="1"/>
  <c r="AA1415" i="28"/>
  <c r="Z1415" i="28"/>
  <c r="V1415" i="28"/>
  <c r="W1415" i="28" s="1"/>
  <c r="AA1414" i="28"/>
  <c r="Z1414" i="28"/>
  <c r="V1414" i="28"/>
  <c r="AA1413" i="28"/>
  <c r="Z1413" i="28"/>
  <c r="V1413" i="28"/>
  <c r="AA1412" i="28"/>
  <c r="Z1412" i="28"/>
  <c r="V1412" i="28"/>
  <c r="W1412" i="28" s="1"/>
  <c r="AA1411" i="28"/>
  <c r="Z1411" i="28"/>
  <c r="V1411" i="28"/>
  <c r="AA1410" i="28"/>
  <c r="Z1410" i="28"/>
  <c r="V1410" i="28"/>
  <c r="AA1409" i="28"/>
  <c r="Z1409" i="28"/>
  <c r="V1409" i="28"/>
  <c r="W1409" i="28" s="1"/>
  <c r="X1409" i="28" s="1"/>
  <c r="Y1409" i="28" s="1"/>
  <c r="AC1409" i="28" s="1"/>
  <c r="AA1408" i="28"/>
  <c r="Z1408" i="28"/>
  <c r="V1408" i="28"/>
  <c r="AA1407" i="28"/>
  <c r="Z1407" i="28"/>
  <c r="V1407" i="28"/>
  <c r="W1407" i="28" s="1"/>
  <c r="X1407" i="28" s="1"/>
  <c r="Y1407" i="28" s="1"/>
  <c r="AC1407" i="28" s="1"/>
  <c r="AA1406" i="28"/>
  <c r="Z1406" i="28"/>
  <c r="V1406" i="28"/>
  <c r="AA1405" i="28"/>
  <c r="Z1405" i="28"/>
  <c r="V1405" i="28"/>
  <c r="AA1404" i="28"/>
  <c r="Z1404" i="28"/>
  <c r="V1404" i="28"/>
  <c r="W1404" i="28" s="1"/>
  <c r="X1404" i="28" s="1"/>
  <c r="Y1404" i="28" s="1"/>
  <c r="AC1404" i="28" s="1"/>
  <c r="AA1403" i="28"/>
  <c r="Z1403" i="28"/>
  <c r="V1403" i="28"/>
  <c r="AA1402" i="28"/>
  <c r="Z1402" i="28"/>
  <c r="V1402" i="28"/>
  <c r="W1402" i="28" s="1"/>
  <c r="AA1401" i="28"/>
  <c r="Z1401" i="28"/>
  <c r="V1401" i="28"/>
  <c r="W1401" i="28" s="1"/>
  <c r="AA1400" i="28"/>
  <c r="Z1400" i="28"/>
  <c r="V1400" i="28"/>
  <c r="W1400" i="28" s="1"/>
  <c r="AA1399" i="28"/>
  <c r="Z1399" i="28"/>
  <c r="V1399" i="28"/>
  <c r="W1399" i="28" s="1"/>
  <c r="X1399" i="28" s="1"/>
  <c r="Y1399" i="28" s="1"/>
  <c r="AC1399" i="28" s="1"/>
  <c r="AA1398" i="28"/>
  <c r="Z1398" i="28"/>
  <c r="V1398" i="28"/>
  <c r="AA1397" i="28"/>
  <c r="AE1397" i="28" s="1"/>
  <c r="Z1397" i="28"/>
  <c r="V1397" i="28"/>
  <c r="W1397" i="28" s="1"/>
  <c r="AA1396" i="28"/>
  <c r="Z1396" i="28"/>
  <c r="V1396" i="28"/>
  <c r="W1396" i="28" s="1"/>
  <c r="AA1395" i="28"/>
  <c r="Z1395" i="28"/>
  <c r="V1395" i="28"/>
  <c r="W1395" i="28" s="1"/>
  <c r="AA1394" i="28"/>
  <c r="Z1394" i="28"/>
  <c r="V1394" i="28"/>
  <c r="W1394" i="28" s="1"/>
  <c r="X1394" i="28" s="1"/>
  <c r="Y1394" i="28" s="1"/>
  <c r="AC1394" i="28" s="1"/>
  <c r="AA1393" i="28"/>
  <c r="Z1393" i="28"/>
  <c r="V1393" i="28"/>
  <c r="W1393" i="28" s="1"/>
  <c r="X1393" i="28" s="1"/>
  <c r="Y1393" i="28" s="1"/>
  <c r="AC1393" i="28" s="1"/>
  <c r="AA1392" i="28"/>
  <c r="Z1392" i="28"/>
  <c r="V1392" i="28"/>
  <c r="W1392" i="28" s="1"/>
  <c r="AA1391" i="28"/>
  <c r="Z1391" i="28"/>
  <c r="V1391" i="28"/>
  <c r="W1391" i="28" s="1"/>
  <c r="AA1390" i="28"/>
  <c r="Z1390" i="28"/>
  <c r="V1390" i="28"/>
  <c r="AA1389" i="28"/>
  <c r="Z1389" i="28"/>
  <c r="V1389" i="28"/>
  <c r="AA1388" i="28"/>
  <c r="Z1388" i="28"/>
  <c r="V1388" i="28"/>
  <c r="W1388" i="28" s="1"/>
  <c r="X1388" i="28" s="1"/>
  <c r="Y1388" i="28" s="1"/>
  <c r="AC1388" i="28" s="1"/>
  <c r="AA1387" i="28"/>
  <c r="Z1387" i="28"/>
  <c r="V1387" i="28"/>
  <c r="AA1386" i="28"/>
  <c r="Z1386" i="28"/>
  <c r="V1386" i="28"/>
  <c r="AA1385" i="28"/>
  <c r="Z1385" i="28"/>
  <c r="V1385" i="28"/>
  <c r="AA1384" i="28"/>
  <c r="Z1384" i="28"/>
  <c r="V1384" i="28"/>
  <c r="W1384" i="28" s="1"/>
  <c r="AA1383" i="28"/>
  <c r="Z1383" i="28"/>
  <c r="V1383" i="28"/>
  <c r="AA1382" i="28"/>
  <c r="Z1382" i="28"/>
  <c r="V1382" i="28"/>
  <c r="W1382" i="28" s="1"/>
  <c r="X1382" i="28" s="1"/>
  <c r="Y1382" i="28" s="1"/>
  <c r="AC1382" i="28" s="1"/>
  <c r="AA1381" i="28"/>
  <c r="Z1381" i="28"/>
  <c r="V1381" i="28"/>
  <c r="W1381" i="28" s="1"/>
  <c r="X1381" i="28" s="1"/>
  <c r="Y1381" i="28" s="1"/>
  <c r="AC1381" i="28" s="1"/>
  <c r="AA1380" i="28"/>
  <c r="Z1380" i="28"/>
  <c r="V1380" i="28"/>
  <c r="W1380" i="28" s="1"/>
  <c r="AA1379" i="28"/>
  <c r="Z1379" i="28"/>
  <c r="V1379" i="28"/>
  <c r="AA1378" i="28"/>
  <c r="Z1378" i="28"/>
  <c r="V1378" i="28"/>
  <c r="W1378" i="28" s="1"/>
  <c r="X1378" i="28" s="1"/>
  <c r="Y1378" i="28" s="1"/>
  <c r="AC1378" i="28" s="1"/>
  <c r="AA1377" i="28"/>
  <c r="Z1377" i="28"/>
  <c r="V1377" i="28"/>
  <c r="W1377" i="28" s="1"/>
  <c r="AA1376" i="28"/>
  <c r="Z1376" i="28"/>
  <c r="V1376" i="28"/>
  <c r="AA1375" i="28"/>
  <c r="Z1375" i="28"/>
  <c r="V1375" i="28"/>
  <c r="AA1374" i="28"/>
  <c r="Z1374" i="28"/>
  <c r="V1374" i="28"/>
  <c r="W1374" i="28" s="1"/>
  <c r="AA1373" i="28"/>
  <c r="Z1373" i="28"/>
  <c r="V1373" i="28"/>
  <c r="W1373" i="28" s="1"/>
  <c r="AA1372" i="28"/>
  <c r="Z1372" i="28"/>
  <c r="V1372" i="28"/>
  <c r="W1372" i="28" s="1"/>
  <c r="AA1371" i="28"/>
  <c r="Z1371" i="28"/>
  <c r="V1371" i="28"/>
  <c r="AA1370" i="28"/>
  <c r="Z1370" i="28"/>
  <c r="V1370" i="28"/>
  <c r="AA1369" i="28"/>
  <c r="Z1369" i="28"/>
  <c r="V1369" i="28"/>
  <c r="AA1368" i="28"/>
  <c r="Z1368" i="28"/>
  <c r="V1368" i="28"/>
  <c r="AA1367" i="28"/>
  <c r="Z1367" i="28"/>
  <c r="V1367" i="28"/>
  <c r="AA1366" i="28"/>
  <c r="Z1366" i="28"/>
  <c r="V1366" i="28"/>
  <c r="W1366" i="28" s="1"/>
  <c r="X1366" i="28" s="1"/>
  <c r="Y1366" i="28" s="1"/>
  <c r="AC1366" i="28" s="1"/>
  <c r="AA1365" i="28"/>
  <c r="Z1365" i="28"/>
  <c r="V1365" i="28"/>
  <c r="AA1364" i="28"/>
  <c r="Z1364" i="28"/>
  <c r="V1364" i="28"/>
  <c r="W1364" i="28" s="1"/>
  <c r="X1364" i="28" s="1"/>
  <c r="Y1364" i="28" s="1"/>
  <c r="AC1364" i="28" s="1"/>
  <c r="AA1363" i="28"/>
  <c r="Z1363" i="28"/>
  <c r="V1363" i="28"/>
  <c r="AA1362" i="28"/>
  <c r="Z1362" i="28"/>
  <c r="V1362" i="28"/>
  <c r="W1362" i="28" s="1"/>
  <c r="AA1361" i="28"/>
  <c r="Z1361" i="28"/>
  <c r="V1361" i="28"/>
  <c r="W1361" i="28" s="1"/>
  <c r="AA1360" i="28"/>
  <c r="Z1360" i="28"/>
  <c r="V1360" i="28"/>
  <c r="W1360" i="28" s="1"/>
  <c r="AA1359" i="28"/>
  <c r="Z1359" i="28"/>
  <c r="V1359" i="28"/>
  <c r="W1359" i="28" s="1"/>
  <c r="AA1358" i="28"/>
  <c r="Z1358" i="28"/>
  <c r="V1358" i="28"/>
  <c r="W1358" i="28" s="1"/>
  <c r="AA1357" i="28"/>
  <c r="Z1357" i="28"/>
  <c r="V1357" i="28"/>
  <c r="AA1356" i="28"/>
  <c r="Z1356" i="28"/>
  <c r="V1356" i="28"/>
  <c r="AA1355" i="28"/>
  <c r="Z1355" i="28"/>
  <c r="V1355" i="28"/>
  <c r="AA1354" i="28"/>
  <c r="Z1354" i="28"/>
  <c r="V1354" i="28"/>
  <c r="W1354" i="28" s="1"/>
  <c r="X1354" i="28" s="1"/>
  <c r="Y1354" i="28" s="1"/>
  <c r="AC1354" i="28" s="1"/>
  <c r="AA1353" i="28"/>
  <c r="Z1353" i="28"/>
  <c r="V1353" i="28"/>
  <c r="AA1352" i="28"/>
  <c r="Z1352" i="28"/>
  <c r="V1352" i="28"/>
  <c r="W1352" i="28" s="1"/>
  <c r="AA1351" i="28"/>
  <c r="Z1351" i="28"/>
  <c r="V1351" i="28"/>
  <c r="W1351" i="28" s="1"/>
  <c r="AA1350" i="28"/>
  <c r="Z1350" i="28"/>
  <c r="V1350" i="28"/>
  <c r="W1350" i="28" s="1"/>
  <c r="AA1349" i="28"/>
  <c r="Z1349" i="28"/>
  <c r="V1349" i="28"/>
  <c r="W1349" i="28" s="1"/>
  <c r="AA1348" i="28"/>
  <c r="Z1348" i="28"/>
  <c r="V1348" i="28"/>
  <c r="AA1347" i="28"/>
  <c r="Z1347" i="28"/>
  <c r="V1347" i="28"/>
  <c r="AA1346" i="28"/>
  <c r="Z1346" i="28"/>
  <c r="V1346" i="28"/>
  <c r="AA1345" i="28"/>
  <c r="Z1345" i="28"/>
  <c r="V1345" i="28"/>
  <c r="W1345" i="28" s="1"/>
  <c r="AA1344" i="28"/>
  <c r="Z1344" i="28"/>
  <c r="V1344" i="28"/>
  <c r="W1344" i="28" s="1"/>
  <c r="X1344" i="28" s="1"/>
  <c r="Y1344" i="28" s="1"/>
  <c r="AC1344" i="28" s="1"/>
  <c r="AA1343" i="28"/>
  <c r="Z1343" i="28"/>
  <c r="V1343" i="28"/>
  <c r="W1343" i="28" s="1"/>
  <c r="AA1342" i="28"/>
  <c r="Z1342" i="28"/>
  <c r="V1342" i="28"/>
  <c r="W1342" i="28" s="1"/>
  <c r="X1342" i="28" s="1"/>
  <c r="Y1342" i="28" s="1"/>
  <c r="AC1342" i="28" s="1"/>
  <c r="AA1341" i="28"/>
  <c r="Z1341" i="28"/>
  <c r="V1341" i="28"/>
  <c r="W1341" i="28" s="1"/>
  <c r="X1341" i="28" s="1"/>
  <c r="Y1341" i="28" s="1"/>
  <c r="AC1341" i="28" s="1"/>
  <c r="AA1340" i="28"/>
  <c r="Z1340" i="28"/>
  <c r="V1340" i="28"/>
  <c r="AA1339" i="28"/>
  <c r="Z1339" i="28"/>
  <c r="V1339" i="28"/>
  <c r="W1339" i="28" s="1"/>
  <c r="AA1338" i="28"/>
  <c r="Z1338" i="28"/>
  <c r="V1338" i="28"/>
  <c r="AA1337" i="28"/>
  <c r="Z1337" i="28"/>
  <c r="V1337" i="28"/>
  <c r="W1337" i="28" s="1"/>
  <c r="AA1336" i="28"/>
  <c r="Z1336" i="28"/>
  <c r="V1336" i="28"/>
  <c r="W1336" i="28" s="1"/>
  <c r="AA1335" i="28"/>
  <c r="Z1335" i="28"/>
  <c r="V1335" i="28"/>
  <c r="AA1334" i="28"/>
  <c r="Z1334" i="28"/>
  <c r="V1334" i="28"/>
  <c r="W1334" i="28" s="1"/>
  <c r="AA1333" i="28"/>
  <c r="Z1333" i="28"/>
  <c r="V1333" i="28"/>
  <c r="AA1332" i="28"/>
  <c r="Z1332" i="28"/>
  <c r="V1332" i="28"/>
  <c r="W1332" i="28" s="1"/>
  <c r="X1332" i="28" s="1"/>
  <c r="Y1332" i="28" s="1"/>
  <c r="AC1332" i="28" s="1"/>
  <c r="AA1331" i="28"/>
  <c r="Z1331" i="28"/>
  <c r="V1331" i="28"/>
  <c r="W1331" i="28" s="1"/>
  <c r="X1331" i="28" s="1"/>
  <c r="Y1331" i="28" s="1"/>
  <c r="AC1331" i="28" s="1"/>
  <c r="AA1330" i="28"/>
  <c r="Z1330" i="28"/>
  <c r="V1330" i="28"/>
  <c r="W1330" i="28" s="1"/>
  <c r="AA1329" i="28"/>
  <c r="Z1329" i="28"/>
  <c r="V1329" i="28"/>
  <c r="W1329" i="28" s="1"/>
  <c r="AA1328" i="28"/>
  <c r="Z1328" i="28"/>
  <c r="V1328" i="28"/>
  <c r="AA1327" i="28"/>
  <c r="Z1327" i="28"/>
  <c r="V1327" i="28"/>
  <c r="W1327" i="28" s="1"/>
  <c r="X1327" i="28" s="1"/>
  <c r="Y1327" i="28" s="1"/>
  <c r="AC1327" i="28" s="1"/>
  <c r="AA1326" i="28"/>
  <c r="Z1326" i="28"/>
  <c r="V1326" i="28"/>
  <c r="W1326" i="28" s="1"/>
  <c r="AA1325" i="28"/>
  <c r="Z1325" i="28"/>
  <c r="V1325" i="28"/>
  <c r="AA1324" i="28"/>
  <c r="Z1324" i="28"/>
  <c r="V1324" i="28"/>
  <c r="W1324" i="28" s="1"/>
  <c r="X1324" i="28" s="1"/>
  <c r="Y1324" i="28" s="1"/>
  <c r="AC1324" i="28" s="1"/>
  <c r="AA1323" i="28"/>
  <c r="Z1323" i="28"/>
  <c r="V1323" i="28"/>
  <c r="W1323" i="28" s="1"/>
  <c r="X1323" i="28" s="1"/>
  <c r="Y1323" i="28" s="1"/>
  <c r="AC1323" i="28" s="1"/>
  <c r="AA1322" i="28"/>
  <c r="Z1322" i="28"/>
  <c r="V1322" i="28"/>
  <c r="W1322" i="28" s="1"/>
  <c r="AA1321" i="28"/>
  <c r="Z1321" i="28"/>
  <c r="V1321" i="28"/>
  <c r="AA1320" i="28"/>
  <c r="Z1320" i="28"/>
  <c r="V1320" i="28"/>
  <c r="W1320" i="28" s="1"/>
  <c r="X1320" i="28" s="1"/>
  <c r="Y1320" i="28" s="1"/>
  <c r="AC1320" i="28" s="1"/>
  <c r="AA1319" i="28"/>
  <c r="Z1319" i="28"/>
  <c r="V1319" i="28"/>
  <c r="AA1318" i="28"/>
  <c r="Z1318" i="28"/>
  <c r="V1318" i="28"/>
  <c r="AA1317" i="28"/>
  <c r="Z1317" i="28"/>
  <c r="V1317" i="28"/>
  <c r="W1317" i="28" s="1"/>
  <c r="X1317" i="28" s="1"/>
  <c r="Y1317" i="28" s="1"/>
  <c r="AC1317" i="28" s="1"/>
  <c r="AA1316" i="28"/>
  <c r="Z1316" i="28"/>
  <c r="V1316" i="28"/>
  <c r="AA1315" i="28"/>
  <c r="Z1315" i="28"/>
  <c r="V1315" i="28"/>
  <c r="W1315" i="28" s="1"/>
  <c r="X1315" i="28" s="1"/>
  <c r="Y1315" i="28" s="1"/>
  <c r="AC1315" i="28" s="1"/>
  <c r="AA1314" i="28"/>
  <c r="Z1314" i="28"/>
  <c r="V1314" i="28"/>
  <c r="AA1313" i="28"/>
  <c r="Z1313" i="28"/>
  <c r="V1313" i="28"/>
  <c r="AA1312" i="28"/>
  <c r="Z1312" i="28"/>
  <c r="V1312" i="28"/>
  <c r="W1312" i="28" s="1"/>
  <c r="AA1311" i="28"/>
  <c r="Z1311" i="28"/>
  <c r="V1311" i="28"/>
  <c r="W1311" i="28" s="1"/>
  <c r="AA1310" i="28"/>
  <c r="Z1310" i="28"/>
  <c r="V1310" i="28"/>
  <c r="W1310" i="28" s="1"/>
  <c r="AA1309" i="28"/>
  <c r="Z1309" i="28"/>
  <c r="V1309" i="28"/>
  <c r="W1309" i="28" s="1"/>
  <c r="AA1308" i="28"/>
  <c r="Z1308" i="28"/>
  <c r="V1308" i="28"/>
  <c r="W1308" i="28" s="1"/>
  <c r="AA1307" i="28"/>
  <c r="Z1307" i="28"/>
  <c r="V1307" i="28"/>
  <c r="AA1306" i="28"/>
  <c r="Z1306" i="28"/>
  <c r="V1306" i="28"/>
  <c r="AA1305" i="28"/>
  <c r="Z1305" i="28"/>
  <c r="V1305" i="28"/>
  <c r="W1305" i="28" s="1"/>
  <c r="AA1304" i="28"/>
  <c r="Z1304" i="28"/>
  <c r="V1304" i="28"/>
  <c r="AA1303" i="28"/>
  <c r="Z1303" i="28"/>
  <c r="V1303" i="28"/>
  <c r="AA1302" i="28"/>
  <c r="Z1302" i="28"/>
  <c r="V1302" i="28"/>
  <c r="AA1301" i="28"/>
  <c r="Z1301" i="28"/>
  <c r="V1301" i="28"/>
  <c r="AA1300" i="28"/>
  <c r="Z1300" i="28"/>
  <c r="V1300" i="28"/>
  <c r="W1300" i="28" s="1"/>
  <c r="X1300" i="28" s="1"/>
  <c r="Y1300" i="28" s="1"/>
  <c r="AC1300" i="28" s="1"/>
  <c r="AA1299" i="28"/>
  <c r="Z1299" i="28"/>
  <c r="V1299" i="28"/>
  <c r="W1299" i="28" s="1"/>
  <c r="X1299" i="28" s="1"/>
  <c r="Y1299" i="28" s="1"/>
  <c r="AC1299" i="28" s="1"/>
  <c r="AA1298" i="28"/>
  <c r="AE1298" i="28" s="1"/>
  <c r="Z1298" i="28"/>
  <c r="V1298" i="28"/>
  <c r="AA1297" i="28"/>
  <c r="Z1297" i="28"/>
  <c r="V1297" i="28"/>
  <c r="AA1296" i="28"/>
  <c r="Z1296" i="28"/>
  <c r="V1296" i="28"/>
  <c r="AA1295" i="28"/>
  <c r="Z1295" i="28"/>
  <c r="V1295" i="28"/>
  <c r="AA1294" i="28"/>
  <c r="Z1294" i="28"/>
  <c r="V1294" i="28"/>
  <c r="W1294" i="28" s="1"/>
  <c r="AA1293" i="28"/>
  <c r="Z1293" i="28"/>
  <c r="V1293" i="28"/>
  <c r="W1293" i="28" s="1"/>
  <c r="X1293" i="28" s="1"/>
  <c r="Y1293" i="28" s="1"/>
  <c r="AC1293" i="28" s="1"/>
  <c r="AA1292" i="28"/>
  <c r="Z1292" i="28"/>
  <c r="V1292" i="28"/>
  <c r="AA1291" i="28"/>
  <c r="Z1291" i="28"/>
  <c r="V1291" i="28"/>
  <c r="AA1290" i="28"/>
  <c r="Z1290" i="28"/>
  <c r="V1290" i="28"/>
  <c r="W1290" i="28" s="1"/>
  <c r="X1290" i="28" s="1"/>
  <c r="Y1290" i="28" s="1"/>
  <c r="AC1290" i="28" s="1"/>
  <c r="AA1289" i="28"/>
  <c r="Z1289" i="28"/>
  <c r="V1289" i="28"/>
  <c r="W1289" i="28" s="1"/>
  <c r="AA1288" i="28"/>
  <c r="Z1288" i="28"/>
  <c r="V1288" i="28"/>
  <c r="W1288" i="28" s="1"/>
  <c r="AA1287" i="28"/>
  <c r="Z1287" i="28"/>
  <c r="V1287" i="28"/>
  <c r="W1287" i="28" s="1"/>
  <c r="AA1286" i="28"/>
  <c r="Z1286" i="28"/>
  <c r="V1286" i="28"/>
  <c r="W1286" i="28" s="1"/>
  <c r="AA1285" i="28"/>
  <c r="Z1285" i="28"/>
  <c r="V1285" i="28"/>
  <c r="W1285" i="28" s="1"/>
  <c r="X1285" i="28" s="1"/>
  <c r="Y1285" i="28" s="1"/>
  <c r="AC1285" i="28" s="1"/>
  <c r="AA1284" i="28"/>
  <c r="Z1284" i="28"/>
  <c r="V1284" i="28"/>
  <c r="W1284" i="28" s="1"/>
  <c r="AA1283" i="28"/>
  <c r="Z1283" i="28"/>
  <c r="V1283" i="28"/>
  <c r="W1283" i="28" s="1"/>
  <c r="AA1282" i="28"/>
  <c r="Z1282" i="28"/>
  <c r="V1282" i="28"/>
  <c r="W1282" i="28" s="1"/>
  <c r="AA1281" i="28"/>
  <c r="Z1281" i="28"/>
  <c r="V1281" i="28"/>
  <c r="W1281" i="28" s="1"/>
  <c r="X1281" i="28" s="1"/>
  <c r="Y1281" i="28" s="1"/>
  <c r="AC1281" i="28" s="1"/>
  <c r="AA1280" i="28"/>
  <c r="Z1280" i="28"/>
  <c r="V1280" i="28"/>
  <c r="AA1279" i="28"/>
  <c r="Z1279" i="28"/>
  <c r="V1279" i="28"/>
  <c r="AA1278" i="28"/>
  <c r="Z1278" i="28"/>
  <c r="V1278" i="28"/>
  <c r="AA1277" i="28"/>
  <c r="Z1277" i="28"/>
  <c r="V1277" i="28"/>
  <c r="W1277" i="28" s="1"/>
  <c r="AA1276" i="28"/>
  <c r="Z1276" i="28"/>
  <c r="V1276" i="28"/>
  <c r="W1276" i="28" s="1"/>
  <c r="X1276" i="28" s="1"/>
  <c r="Y1276" i="28" s="1"/>
  <c r="AC1276" i="28" s="1"/>
  <c r="AA1275" i="28"/>
  <c r="Z1275" i="28"/>
  <c r="V1275" i="28"/>
  <c r="W1275" i="28" s="1"/>
  <c r="AA1274" i="28"/>
  <c r="Z1274" i="28"/>
  <c r="V1274" i="28"/>
  <c r="W1274" i="28" s="1"/>
  <c r="AA1273" i="28"/>
  <c r="Z1273" i="28"/>
  <c r="V1273" i="28"/>
  <c r="AA1272" i="28"/>
  <c r="Z1272" i="28"/>
  <c r="V1272" i="28"/>
  <c r="W1272" i="28" s="1"/>
  <c r="AA1271" i="28"/>
  <c r="Z1271" i="28"/>
  <c r="V1271" i="28"/>
  <c r="W1271" i="28" s="1"/>
  <c r="AA1270" i="28"/>
  <c r="Z1270" i="28"/>
  <c r="V1270" i="28"/>
  <c r="W1270" i="28" s="1"/>
  <c r="AA1269" i="28"/>
  <c r="Z1269" i="28"/>
  <c r="V1269" i="28"/>
  <c r="W1269" i="28" s="1"/>
  <c r="X1269" i="28" s="1"/>
  <c r="Y1269" i="28" s="1"/>
  <c r="AC1269" i="28" s="1"/>
  <c r="AA1268" i="28"/>
  <c r="Z1268" i="28"/>
  <c r="V1268" i="28"/>
  <c r="W1268" i="28" s="1"/>
  <c r="AA1267" i="28"/>
  <c r="Z1267" i="28"/>
  <c r="V1267" i="28"/>
  <c r="AA1266" i="28"/>
  <c r="Z1266" i="28"/>
  <c r="V1266" i="28"/>
  <c r="W1266" i="28" s="1"/>
  <c r="X1266" i="28" s="1"/>
  <c r="Y1266" i="28" s="1"/>
  <c r="AC1266" i="28" s="1"/>
  <c r="AA1265" i="28"/>
  <c r="Z1265" i="28"/>
  <c r="V1265" i="28"/>
  <c r="W1265" i="28" s="1"/>
  <c r="X1265" i="28" s="1"/>
  <c r="Y1265" i="28" s="1"/>
  <c r="AC1265" i="28" s="1"/>
  <c r="AA1264" i="28"/>
  <c r="Z1264" i="28"/>
  <c r="V1264" i="28"/>
  <c r="W1264" i="28" s="1"/>
  <c r="X1264" i="28" s="1"/>
  <c r="Y1264" i="28" s="1"/>
  <c r="AC1264" i="28" s="1"/>
  <c r="AA1263" i="28"/>
  <c r="Z1263" i="28"/>
  <c r="V1263" i="28"/>
  <c r="W1263" i="28" s="1"/>
  <c r="AA1262" i="28"/>
  <c r="Z1262" i="28"/>
  <c r="V1262" i="28"/>
  <c r="AA1261" i="28"/>
  <c r="Z1261" i="28"/>
  <c r="V1261" i="28"/>
  <c r="W1261" i="28" s="1"/>
  <c r="AA1260" i="28"/>
  <c r="Z1260" i="28"/>
  <c r="V1260" i="28"/>
  <c r="AA1259" i="28"/>
  <c r="Z1259" i="28"/>
  <c r="V1259" i="28"/>
  <c r="W1259" i="28" s="1"/>
  <c r="AA1258" i="28"/>
  <c r="Z1258" i="28"/>
  <c r="V1258" i="28"/>
  <c r="AA1257" i="28"/>
  <c r="Z1257" i="28"/>
  <c r="V1257" i="28"/>
  <c r="AA1256" i="28"/>
  <c r="AE1256" i="28" s="1"/>
  <c r="Z1256" i="28"/>
  <c r="V1256" i="28"/>
  <c r="AA1255" i="28"/>
  <c r="Z1255" i="28"/>
  <c r="V1255" i="28"/>
  <c r="W1255" i="28" s="1"/>
  <c r="X1255" i="28" s="1"/>
  <c r="Y1255" i="28" s="1"/>
  <c r="AC1255" i="28" s="1"/>
  <c r="AA1254" i="28"/>
  <c r="Z1254" i="28"/>
  <c r="V1254" i="28"/>
  <c r="AA1253" i="28"/>
  <c r="Z1253" i="28"/>
  <c r="V1253" i="28"/>
  <c r="W1253" i="28" s="1"/>
  <c r="AA1252" i="28"/>
  <c r="Z1252" i="28"/>
  <c r="V1252" i="28"/>
  <c r="AA1251" i="28"/>
  <c r="Z1251" i="28"/>
  <c r="V1251" i="28"/>
  <c r="AA1250" i="28"/>
  <c r="Z1250" i="28"/>
  <c r="V1250" i="28"/>
  <c r="W1250" i="28" s="1"/>
  <c r="X1250" i="28" s="1"/>
  <c r="Y1250" i="28" s="1"/>
  <c r="AC1250" i="28" s="1"/>
  <c r="AA1249" i="28"/>
  <c r="Z1249" i="28"/>
  <c r="V1249" i="28"/>
  <c r="W1249" i="28" s="1"/>
  <c r="AA1248" i="28"/>
  <c r="Z1248" i="28"/>
  <c r="V1248" i="28"/>
  <c r="W1248" i="28" s="1"/>
  <c r="AA1247" i="28"/>
  <c r="Z1247" i="28"/>
  <c r="V1247" i="28"/>
  <c r="AA1246" i="28"/>
  <c r="Z1246" i="28"/>
  <c r="V1246" i="28"/>
  <c r="W1246" i="28" s="1"/>
  <c r="X1246" i="28" s="1"/>
  <c r="Y1246" i="28" s="1"/>
  <c r="AC1246" i="28" s="1"/>
  <c r="AA1245" i="28"/>
  <c r="Z1245" i="28"/>
  <c r="V1245" i="28"/>
  <c r="AA1244" i="28"/>
  <c r="Z1244" i="28"/>
  <c r="V1244" i="28"/>
  <c r="AA1243" i="28"/>
  <c r="Z1243" i="28"/>
  <c r="V1243" i="28"/>
  <c r="W1243" i="28" s="1"/>
  <c r="X1243" i="28" s="1"/>
  <c r="Y1243" i="28" s="1"/>
  <c r="AC1243" i="28" s="1"/>
  <c r="AA1242" i="28"/>
  <c r="Z1242" i="28"/>
  <c r="V1242" i="28"/>
  <c r="AA1241" i="28"/>
  <c r="Z1241" i="28"/>
  <c r="V1241" i="28"/>
  <c r="W1241" i="28" s="1"/>
  <c r="AA1240" i="28"/>
  <c r="Z1240" i="28"/>
  <c r="V1240" i="28"/>
  <c r="W1240" i="28" s="1"/>
  <c r="AA1239" i="28"/>
  <c r="Z1239" i="28"/>
  <c r="V1239" i="28"/>
  <c r="W1239" i="28" s="1"/>
  <c r="X1239" i="28" s="1"/>
  <c r="Y1239" i="28" s="1"/>
  <c r="AC1239" i="28" s="1"/>
  <c r="AA1238" i="28"/>
  <c r="Z1238" i="28"/>
  <c r="V1238" i="28"/>
  <c r="AA1237" i="28"/>
  <c r="Z1237" i="28"/>
  <c r="V1237" i="28"/>
  <c r="AA1236" i="28"/>
  <c r="Z1236" i="28"/>
  <c r="V1236" i="28"/>
  <c r="AA1235" i="28"/>
  <c r="Z1235" i="28"/>
  <c r="V1235" i="28"/>
  <c r="W1235" i="28" s="1"/>
  <c r="AA1234" i="28"/>
  <c r="Z1234" i="28"/>
  <c r="V1234" i="28"/>
  <c r="AA1233" i="28"/>
  <c r="Z1233" i="28"/>
  <c r="V1233" i="28"/>
  <c r="W1233" i="28" s="1"/>
  <c r="AA1232" i="28"/>
  <c r="Z1232" i="28"/>
  <c r="V1232" i="28"/>
  <c r="W1232" i="28" s="1"/>
  <c r="AA1231" i="28"/>
  <c r="Z1231" i="28"/>
  <c r="V1231" i="28"/>
  <c r="W1231" i="28" s="1"/>
  <c r="X1231" i="28" s="1"/>
  <c r="Y1231" i="28" s="1"/>
  <c r="AC1231" i="28" s="1"/>
  <c r="AA1230" i="28"/>
  <c r="Z1230" i="28"/>
  <c r="V1230" i="28"/>
  <c r="AA1229" i="28"/>
  <c r="Z1229" i="28"/>
  <c r="V1229" i="28"/>
  <c r="AA1228" i="28"/>
  <c r="AE1228" i="28" s="1"/>
  <c r="Z1228" i="28"/>
  <c r="V1228" i="28"/>
  <c r="W1228" i="28" s="1"/>
  <c r="X1228" i="28" s="1"/>
  <c r="Y1228" i="28" s="1"/>
  <c r="AC1228" i="28" s="1"/>
  <c r="AA1227" i="28"/>
  <c r="AE1227" i="28" s="1"/>
  <c r="Z1227" i="28"/>
  <c r="V1227" i="28"/>
  <c r="W1227" i="28" s="1"/>
  <c r="AA1226" i="28"/>
  <c r="Z1226" i="28"/>
  <c r="V1226" i="28"/>
  <c r="W1226" i="28" s="1"/>
  <c r="AA1225" i="28"/>
  <c r="Z1225" i="28"/>
  <c r="V1225" i="28"/>
  <c r="W1225" i="28" s="1"/>
  <c r="AA1224" i="28"/>
  <c r="Z1224" i="28"/>
  <c r="V1224" i="28"/>
  <c r="W1224" i="28" s="1"/>
  <c r="X1224" i="28" s="1"/>
  <c r="Y1224" i="28" s="1"/>
  <c r="AC1224" i="28" s="1"/>
  <c r="AA1223" i="28"/>
  <c r="Z1223" i="28"/>
  <c r="V1223" i="28"/>
  <c r="W1223" i="28" s="1"/>
  <c r="AA1222" i="28"/>
  <c r="Z1222" i="28"/>
  <c r="V1222" i="28"/>
  <c r="W1222" i="28" s="1"/>
  <c r="AA1221" i="28"/>
  <c r="Z1221" i="28"/>
  <c r="V1221" i="28"/>
  <c r="W1221" i="28" s="1"/>
  <c r="AA1220" i="28"/>
  <c r="Z1220" i="28"/>
  <c r="V1220" i="28"/>
  <c r="AA1219" i="28"/>
  <c r="Z1219" i="28"/>
  <c r="V1219" i="28"/>
  <c r="W1219" i="28" s="1"/>
  <c r="X1219" i="28" s="1"/>
  <c r="Y1219" i="28" s="1"/>
  <c r="AC1219" i="28" s="1"/>
  <c r="AA1218" i="28"/>
  <c r="Z1218" i="28"/>
  <c r="V1218" i="28"/>
  <c r="AA1217" i="28"/>
  <c r="Z1217" i="28"/>
  <c r="V1217" i="28"/>
  <c r="W1217" i="28" s="1"/>
  <c r="X1217" i="28" s="1"/>
  <c r="Y1217" i="28" s="1"/>
  <c r="AC1217" i="28" s="1"/>
  <c r="AA1216" i="28"/>
  <c r="Z1216" i="28"/>
  <c r="V1216" i="28"/>
  <c r="W1216" i="28" s="1"/>
  <c r="AA1215" i="28"/>
  <c r="Z1215" i="28"/>
  <c r="V1215" i="28"/>
  <c r="W1215" i="28" s="1"/>
  <c r="AA1214" i="28"/>
  <c r="Z1214" i="28"/>
  <c r="V1214" i="28"/>
  <c r="AA1213" i="28"/>
  <c r="Z1213" i="28"/>
  <c r="V1213" i="28"/>
  <c r="W1213" i="28" s="1"/>
  <c r="AA1212" i="28"/>
  <c r="Z1212" i="28"/>
  <c r="V1212" i="28"/>
  <c r="AA1211" i="28"/>
  <c r="Z1211" i="28"/>
  <c r="V1211" i="28"/>
  <c r="W1211" i="28" s="1"/>
  <c r="AA1210" i="28"/>
  <c r="Z1210" i="28"/>
  <c r="V1210" i="28"/>
  <c r="W1210" i="28" s="1"/>
  <c r="AA1209" i="28"/>
  <c r="Z1209" i="28"/>
  <c r="V1209" i="28"/>
  <c r="W1209" i="28" s="1"/>
  <c r="X1209" i="28" s="1"/>
  <c r="Y1209" i="28" s="1"/>
  <c r="AC1209" i="28" s="1"/>
  <c r="AA1208" i="28"/>
  <c r="Z1208" i="28"/>
  <c r="V1208" i="28"/>
  <c r="AA1207" i="28"/>
  <c r="Z1207" i="28"/>
  <c r="V1207" i="28"/>
  <c r="W1207" i="28" s="1"/>
  <c r="AA1206" i="28"/>
  <c r="Z1206" i="28"/>
  <c r="V1206" i="28"/>
  <c r="AA1205" i="28"/>
  <c r="Z1205" i="28"/>
  <c r="V1205" i="28"/>
  <c r="AA1204" i="28"/>
  <c r="Z1204" i="28"/>
  <c r="V1204" i="28"/>
  <c r="W1204" i="28" s="1"/>
  <c r="AA1203" i="28"/>
  <c r="Z1203" i="28"/>
  <c r="V1203" i="28"/>
  <c r="W1203" i="28" s="1"/>
  <c r="AA1202" i="28"/>
  <c r="Z1202" i="28"/>
  <c r="V1202" i="28"/>
  <c r="W1202" i="28" s="1"/>
  <c r="AA1201" i="28"/>
  <c r="Z1201" i="28"/>
  <c r="V1201" i="28"/>
  <c r="W1201" i="28" s="1"/>
  <c r="X1201" i="28" s="1"/>
  <c r="Y1201" i="28" s="1"/>
  <c r="AC1201" i="28" s="1"/>
  <c r="AA1200" i="28"/>
  <c r="Z1200" i="28"/>
  <c r="V1200" i="28"/>
  <c r="AA1199" i="28"/>
  <c r="Z1199" i="28"/>
  <c r="V1199" i="28"/>
  <c r="AA1198" i="28"/>
  <c r="Z1198" i="28"/>
  <c r="V1198" i="28"/>
  <c r="AA1197" i="28"/>
  <c r="Z1197" i="28"/>
  <c r="V1197" i="28"/>
  <c r="W1197" i="28" s="1"/>
  <c r="X1197" i="28" s="1"/>
  <c r="Y1197" i="28" s="1"/>
  <c r="AC1197" i="28" s="1"/>
  <c r="AA1196" i="28"/>
  <c r="Z1196" i="28"/>
  <c r="V1196" i="28"/>
  <c r="AA1195" i="28"/>
  <c r="Z1195" i="28"/>
  <c r="V1195" i="28"/>
  <c r="AA1194" i="28"/>
  <c r="Z1194" i="28"/>
  <c r="V1194" i="28"/>
  <c r="AA1193" i="28"/>
  <c r="Z1193" i="28"/>
  <c r="V1193" i="28"/>
  <c r="W1193" i="28" s="1"/>
  <c r="X1193" i="28" s="1"/>
  <c r="Y1193" i="28" s="1"/>
  <c r="AC1193" i="28" s="1"/>
  <c r="AA1192" i="28"/>
  <c r="Z1192" i="28"/>
  <c r="V1192" i="28"/>
  <c r="AA1191" i="28"/>
  <c r="Z1191" i="28"/>
  <c r="V1191" i="28"/>
  <c r="W1191" i="28" s="1"/>
  <c r="AA1190" i="28"/>
  <c r="Z1190" i="28"/>
  <c r="V1190" i="28"/>
  <c r="W1190" i="28" s="1"/>
  <c r="AA1189" i="28"/>
  <c r="Z1189" i="28"/>
  <c r="V1189" i="28"/>
  <c r="AA1188" i="28"/>
  <c r="Z1188" i="28"/>
  <c r="V1188" i="28"/>
  <c r="W1188" i="28" s="1"/>
  <c r="AA1187" i="28"/>
  <c r="Z1187" i="28"/>
  <c r="V1187" i="28"/>
  <c r="W1187" i="28" s="1"/>
  <c r="AA1186" i="28"/>
  <c r="Z1186" i="28"/>
  <c r="V1186" i="28"/>
  <c r="AA1185" i="28"/>
  <c r="Z1185" i="28"/>
  <c r="V1185" i="28"/>
  <c r="W1185" i="28" s="1"/>
  <c r="X1185" i="28" s="1"/>
  <c r="Y1185" i="28" s="1"/>
  <c r="AC1185" i="28" s="1"/>
  <c r="AA1184" i="28"/>
  <c r="Z1184" i="28"/>
  <c r="V1184" i="28"/>
  <c r="W1184" i="28" s="1"/>
  <c r="AA1183" i="28"/>
  <c r="Z1183" i="28"/>
  <c r="V1183" i="28"/>
  <c r="AA1182" i="28"/>
  <c r="Z1182" i="28"/>
  <c r="V1182" i="28"/>
  <c r="AA1181" i="28"/>
  <c r="Z1181" i="28"/>
  <c r="V1181" i="28"/>
  <c r="W1181" i="28" s="1"/>
  <c r="AA1180" i="28"/>
  <c r="Z1180" i="28"/>
  <c r="V1180" i="28"/>
  <c r="W1180" i="28" s="1"/>
  <c r="AA1179" i="28"/>
  <c r="Z1179" i="28"/>
  <c r="V1179" i="28"/>
  <c r="W1179" i="28" s="1"/>
  <c r="X1179" i="28" s="1"/>
  <c r="Y1179" i="28" s="1"/>
  <c r="AC1179" i="28" s="1"/>
  <c r="AA1178" i="28"/>
  <c r="AE1178" i="28" s="1"/>
  <c r="Z1178" i="28"/>
  <c r="V1178" i="28"/>
  <c r="AA1177" i="28"/>
  <c r="Z1177" i="28"/>
  <c r="V1177" i="28"/>
  <c r="AA1176" i="28"/>
  <c r="AE1176" i="28" s="1"/>
  <c r="Z1176" i="28"/>
  <c r="V1176" i="28"/>
  <c r="AA1175" i="28"/>
  <c r="Z1175" i="28"/>
  <c r="V1175" i="28"/>
  <c r="W1175" i="28" s="1"/>
  <c r="X1175" i="28" s="1"/>
  <c r="Y1175" i="28" s="1"/>
  <c r="AC1175" i="28" s="1"/>
  <c r="AA1174" i="28"/>
  <c r="Z1174" i="28"/>
  <c r="V1174" i="28"/>
  <c r="W1174" i="28" s="1"/>
  <c r="X1174" i="28" s="1"/>
  <c r="Y1174" i="28" s="1"/>
  <c r="AC1174" i="28" s="1"/>
  <c r="AA1173" i="28"/>
  <c r="Z1173" i="28"/>
  <c r="V1173" i="28"/>
  <c r="W1173" i="28" s="1"/>
  <c r="AA1172" i="28"/>
  <c r="Z1172" i="28"/>
  <c r="V1172" i="28"/>
  <c r="W1172" i="28" s="1"/>
  <c r="X1172" i="28" s="1"/>
  <c r="Y1172" i="28" s="1"/>
  <c r="AC1172" i="28" s="1"/>
  <c r="AA1171" i="28"/>
  <c r="Z1171" i="28"/>
  <c r="V1171" i="28"/>
  <c r="AA1170" i="28"/>
  <c r="Z1170" i="28"/>
  <c r="V1170" i="28"/>
  <c r="W1170" i="28" s="1"/>
  <c r="X1170" i="28" s="1"/>
  <c r="Y1170" i="28" s="1"/>
  <c r="AC1170" i="28" s="1"/>
  <c r="AA1169" i="28"/>
  <c r="Z1169" i="28"/>
  <c r="V1169" i="28"/>
  <c r="W1169" i="28" s="1"/>
  <c r="AA1168" i="28"/>
  <c r="Z1168" i="28"/>
  <c r="V1168" i="28"/>
  <c r="W1168" i="28" s="1"/>
  <c r="AA1167" i="28"/>
  <c r="Z1167" i="28"/>
  <c r="V1167" i="28"/>
  <c r="AA1166" i="28"/>
  <c r="Z1166" i="28"/>
  <c r="V1166" i="28"/>
  <c r="AA1165" i="28"/>
  <c r="Z1165" i="28"/>
  <c r="V1165" i="28"/>
  <c r="W1165" i="28" s="1"/>
  <c r="AA1164" i="28"/>
  <c r="Z1164" i="28"/>
  <c r="V1164" i="28"/>
  <c r="W1164" i="28" s="1"/>
  <c r="AA1163" i="28"/>
  <c r="Z1163" i="28"/>
  <c r="V1163" i="28"/>
  <c r="W1163" i="28" s="1"/>
  <c r="AA1162" i="28"/>
  <c r="Z1162" i="28"/>
  <c r="V1162" i="28"/>
  <c r="W1162" i="28" s="1"/>
  <c r="AA1161" i="28"/>
  <c r="Z1161" i="28"/>
  <c r="V1161" i="28"/>
  <c r="AA1160" i="28"/>
  <c r="Z1160" i="28"/>
  <c r="V1160" i="28"/>
  <c r="AA1159" i="28"/>
  <c r="Z1159" i="28"/>
  <c r="V1159" i="28"/>
  <c r="W1159" i="28" s="1"/>
  <c r="X1159" i="28" s="1"/>
  <c r="Y1159" i="28" s="1"/>
  <c r="AC1159" i="28" s="1"/>
  <c r="AA1158" i="28"/>
  <c r="Z1158" i="28"/>
  <c r="V1158" i="28"/>
  <c r="AA1157" i="28"/>
  <c r="Z1157" i="28"/>
  <c r="V1157" i="28"/>
  <c r="W1157" i="28" s="1"/>
  <c r="AA1156" i="28"/>
  <c r="Z1156" i="28"/>
  <c r="V1156" i="28"/>
  <c r="W1156" i="28" s="1"/>
  <c r="AA1155" i="28"/>
  <c r="Z1155" i="28"/>
  <c r="V1155" i="28"/>
  <c r="W1155" i="28" s="1"/>
  <c r="AA1154" i="28"/>
  <c r="Z1154" i="28"/>
  <c r="V1154" i="28"/>
  <c r="W1154" i="28" s="1"/>
  <c r="AA1153" i="28"/>
  <c r="Z1153" i="28"/>
  <c r="V1153" i="28"/>
  <c r="W1153" i="28" s="1"/>
  <c r="AA1152" i="28"/>
  <c r="Z1152" i="28"/>
  <c r="V1152" i="28"/>
  <c r="W1152" i="28" s="1"/>
  <c r="AA1151" i="28"/>
  <c r="Z1151" i="28"/>
  <c r="V1151" i="28"/>
  <c r="AA1150" i="28"/>
  <c r="Z1150" i="28"/>
  <c r="V1150" i="28"/>
  <c r="AA1149" i="28"/>
  <c r="Z1149" i="28"/>
  <c r="V1149" i="28"/>
  <c r="AA1148" i="28"/>
  <c r="Z1148" i="28"/>
  <c r="V1148" i="28"/>
  <c r="AA1147" i="28"/>
  <c r="Z1147" i="28"/>
  <c r="V1147" i="28"/>
  <c r="W1147" i="28" s="1"/>
  <c r="AA1146" i="28"/>
  <c r="Z1146" i="28"/>
  <c r="V1146" i="28"/>
  <c r="AA1145" i="28"/>
  <c r="Z1145" i="28"/>
  <c r="V1145" i="28"/>
  <c r="W1145" i="28" s="1"/>
  <c r="AA1144" i="28"/>
  <c r="Z1144" i="28"/>
  <c r="V1144" i="28"/>
  <c r="AA1143" i="28"/>
  <c r="Z1143" i="28"/>
  <c r="V1143" i="28"/>
  <c r="W1143" i="28" s="1"/>
  <c r="X1143" i="28" s="1"/>
  <c r="Y1143" i="28" s="1"/>
  <c r="AC1143" i="28" s="1"/>
  <c r="AA1142" i="28"/>
  <c r="Z1142" i="28"/>
  <c r="V1142" i="28"/>
  <c r="W1142" i="28" s="1"/>
  <c r="AA1141" i="28"/>
  <c r="Z1141" i="28"/>
  <c r="V1141" i="28"/>
  <c r="W1141" i="28" s="1"/>
  <c r="AA1140" i="28"/>
  <c r="Z1140" i="28"/>
  <c r="V1140" i="28"/>
  <c r="W1140" i="28" s="1"/>
  <c r="AA1139" i="28"/>
  <c r="Z1139" i="28"/>
  <c r="V1139" i="28"/>
  <c r="W1139" i="28" s="1"/>
  <c r="X1139" i="28" s="1"/>
  <c r="Y1139" i="28" s="1"/>
  <c r="AC1139" i="28" s="1"/>
  <c r="AA1138" i="28"/>
  <c r="Z1138" i="28"/>
  <c r="V1138" i="28"/>
  <c r="AA1137" i="28"/>
  <c r="Z1137" i="28"/>
  <c r="V1137" i="28"/>
  <c r="W1137" i="28" s="1"/>
  <c r="AA1136" i="28"/>
  <c r="Z1136" i="28"/>
  <c r="V1136" i="28"/>
  <c r="W1136" i="28" s="1"/>
  <c r="X1136" i="28" s="1"/>
  <c r="Y1136" i="28" s="1"/>
  <c r="AC1136" i="28" s="1"/>
  <c r="AA1135" i="28"/>
  <c r="Z1135" i="28"/>
  <c r="V1135" i="28"/>
  <c r="W1135" i="28" s="1"/>
  <c r="AA1134" i="28"/>
  <c r="Z1134" i="28"/>
  <c r="V1134" i="28"/>
  <c r="AA1133" i="28"/>
  <c r="Z1133" i="28"/>
  <c r="V1133" i="28"/>
  <c r="W1133" i="28" s="1"/>
  <c r="AA1132" i="28"/>
  <c r="Z1132" i="28"/>
  <c r="V1132" i="28"/>
  <c r="AA1131" i="28"/>
  <c r="Z1131" i="28"/>
  <c r="V1131" i="28"/>
  <c r="AA1130" i="28"/>
  <c r="Z1130" i="28"/>
  <c r="V1130" i="28"/>
  <c r="W1130" i="28" s="1"/>
  <c r="AA1129" i="28"/>
  <c r="Z1129" i="28"/>
  <c r="V1129" i="28"/>
  <c r="W1129" i="28" s="1"/>
  <c r="AA1128" i="28"/>
  <c r="Z1128" i="28"/>
  <c r="V1128" i="28"/>
  <c r="W1128" i="28" s="1"/>
  <c r="AA1127" i="28"/>
  <c r="Z1127" i="28"/>
  <c r="V1127" i="28"/>
  <c r="AA1126" i="28"/>
  <c r="Z1126" i="28"/>
  <c r="V1126" i="28"/>
  <c r="AA1125" i="28"/>
  <c r="Z1125" i="28"/>
  <c r="V1125" i="28"/>
  <c r="AA1124" i="28"/>
  <c r="Z1124" i="28"/>
  <c r="V1124" i="28"/>
  <c r="W1124" i="28" s="1"/>
  <c r="X1124" i="28" s="1"/>
  <c r="Y1124" i="28" s="1"/>
  <c r="AC1124" i="28" s="1"/>
  <c r="AA1123" i="28"/>
  <c r="Z1123" i="28"/>
  <c r="V1123" i="28"/>
  <c r="W1123" i="28" s="1"/>
  <c r="AA1122" i="28"/>
  <c r="Z1122" i="28"/>
  <c r="V1122" i="28"/>
  <c r="W1122" i="28" s="1"/>
  <c r="AA1121" i="28"/>
  <c r="Z1121" i="28"/>
  <c r="V1121" i="28"/>
  <c r="W1121" i="28" s="1"/>
  <c r="AA1120" i="28"/>
  <c r="Z1120" i="28"/>
  <c r="V1120" i="28"/>
  <c r="W1120" i="28" s="1"/>
  <c r="AA1119" i="28"/>
  <c r="Z1119" i="28"/>
  <c r="V1119" i="28"/>
  <c r="AA1118" i="28"/>
  <c r="Z1118" i="28"/>
  <c r="V1118" i="28"/>
  <c r="AA1117" i="28"/>
  <c r="Z1117" i="28"/>
  <c r="V1117" i="28"/>
  <c r="W1117" i="28" s="1"/>
  <c r="AA1116" i="28"/>
  <c r="Z1116" i="28"/>
  <c r="V1116" i="28"/>
  <c r="W1116" i="28" s="1"/>
  <c r="AA1115" i="28"/>
  <c r="Z1115" i="28"/>
  <c r="V1115" i="28"/>
  <c r="W1115" i="28" s="1"/>
  <c r="X1115" i="28" s="1"/>
  <c r="Y1115" i="28" s="1"/>
  <c r="AC1115" i="28" s="1"/>
  <c r="AA1114" i="28"/>
  <c r="Z1114" i="28"/>
  <c r="V1114" i="28"/>
  <c r="W1114" i="28" s="1"/>
  <c r="AA1113" i="28"/>
  <c r="Z1113" i="28"/>
  <c r="V1113" i="28"/>
  <c r="W1113" i="28" s="1"/>
  <c r="AA1112" i="28"/>
  <c r="Z1112" i="28"/>
  <c r="V1112" i="28"/>
  <c r="AA1111" i="28"/>
  <c r="Z1111" i="28"/>
  <c r="V1111" i="28"/>
  <c r="W1111" i="28" s="1"/>
  <c r="X1111" i="28" s="1"/>
  <c r="Y1111" i="28" s="1"/>
  <c r="AC1111" i="28" s="1"/>
  <c r="AA1110" i="28"/>
  <c r="Z1110" i="28"/>
  <c r="V1110" i="28"/>
  <c r="W1110" i="28" s="1"/>
  <c r="AA1109" i="28"/>
  <c r="Z1109" i="28"/>
  <c r="V1109" i="28"/>
  <c r="W1109" i="28" s="1"/>
  <c r="AA1108" i="28"/>
  <c r="Z1108" i="28"/>
  <c r="V1108" i="28"/>
  <c r="W1108" i="28" s="1"/>
  <c r="AA1107" i="28"/>
  <c r="Z1107" i="28"/>
  <c r="V1107" i="28"/>
  <c r="W1107" i="28" s="1"/>
  <c r="X1107" i="28" s="1"/>
  <c r="Y1107" i="28" s="1"/>
  <c r="AC1107" i="28" s="1"/>
  <c r="AA1106" i="28"/>
  <c r="Z1106" i="28"/>
  <c r="V1106" i="28"/>
  <c r="W1106" i="28" s="1"/>
  <c r="AA1105" i="28"/>
  <c r="Z1105" i="28"/>
  <c r="V1105" i="28"/>
  <c r="W1105" i="28" s="1"/>
  <c r="AA1104" i="28"/>
  <c r="Z1104" i="28"/>
  <c r="V1104" i="28"/>
  <c r="W1104" i="28" s="1"/>
  <c r="AA1103" i="28"/>
  <c r="Z1103" i="28"/>
  <c r="V1103" i="28"/>
  <c r="AA1102" i="28"/>
  <c r="Z1102" i="28"/>
  <c r="V1102" i="28"/>
  <c r="AA1101" i="28"/>
  <c r="Z1101" i="28"/>
  <c r="V1101" i="28"/>
  <c r="W1101" i="28" s="1"/>
  <c r="AA1100" i="28"/>
  <c r="Z1100" i="28"/>
  <c r="V1100" i="28"/>
  <c r="W1100" i="28" s="1"/>
  <c r="AA1099" i="28"/>
  <c r="Z1099" i="28"/>
  <c r="V1099" i="28"/>
  <c r="AA1098" i="28"/>
  <c r="Z1098" i="28"/>
  <c r="V1098" i="28"/>
  <c r="W1098" i="28" s="1"/>
  <c r="AA1097" i="28"/>
  <c r="Z1097" i="28"/>
  <c r="V1097" i="28"/>
  <c r="AA1096" i="28"/>
  <c r="Z1096" i="28"/>
  <c r="V1096" i="28"/>
  <c r="AA1095" i="28"/>
  <c r="Z1095" i="28"/>
  <c r="V1095" i="28"/>
  <c r="W1095" i="28" s="1"/>
  <c r="X1095" i="28" s="1"/>
  <c r="Y1095" i="28" s="1"/>
  <c r="AC1095" i="28" s="1"/>
  <c r="AA1094" i="28"/>
  <c r="Z1094" i="28"/>
  <c r="V1094" i="28"/>
  <c r="W1094" i="28" s="1"/>
  <c r="X1094" i="28" s="1"/>
  <c r="Y1094" i="28" s="1"/>
  <c r="AC1094" i="28" s="1"/>
  <c r="AA1093" i="28"/>
  <c r="Z1093" i="28"/>
  <c r="V1093" i="28"/>
  <c r="W1093" i="28" s="1"/>
  <c r="AA1092" i="28"/>
  <c r="Z1092" i="28"/>
  <c r="V1092" i="28"/>
  <c r="W1092" i="28" s="1"/>
  <c r="AA1091" i="28"/>
  <c r="Z1091" i="28"/>
  <c r="V1091" i="28"/>
  <c r="W1091" i="28" s="1"/>
  <c r="AA1090" i="28"/>
  <c r="Z1090" i="28"/>
  <c r="V1090" i="28"/>
  <c r="W1090" i="28" s="1"/>
  <c r="AA1089" i="28"/>
  <c r="Z1089" i="28"/>
  <c r="V1089" i="28"/>
  <c r="AA1088" i="28"/>
  <c r="Z1088" i="28"/>
  <c r="V1088" i="28"/>
  <c r="AA1087" i="28"/>
  <c r="Z1087" i="28"/>
  <c r="V1087" i="28"/>
  <c r="AA1086" i="28"/>
  <c r="Z1086" i="28"/>
  <c r="V1086" i="28"/>
  <c r="AA1085" i="28"/>
  <c r="Z1085" i="28"/>
  <c r="V1085" i="28"/>
  <c r="W1085" i="28" s="1"/>
  <c r="X1085" i="28" s="1"/>
  <c r="Y1085" i="28" s="1"/>
  <c r="AC1085" i="28" s="1"/>
  <c r="AA1084" i="28"/>
  <c r="Z1084" i="28"/>
  <c r="V1084" i="28"/>
  <c r="AA1083" i="28"/>
  <c r="Z1083" i="28"/>
  <c r="V1083" i="28"/>
  <c r="W1083" i="28" s="1"/>
  <c r="X1083" i="28" s="1"/>
  <c r="Y1083" i="28" s="1"/>
  <c r="AC1083" i="28" s="1"/>
  <c r="AA1082" i="28"/>
  <c r="Z1082" i="28"/>
  <c r="V1082" i="28"/>
  <c r="W1082" i="28" s="1"/>
  <c r="AA1081" i="28"/>
  <c r="Z1081" i="28"/>
  <c r="V1081" i="28"/>
  <c r="W1081" i="28" s="1"/>
  <c r="X1081" i="28" s="1"/>
  <c r="Y1081" i="28" s="1"/>
  <c r="AC1081" i="28" s="1"/>
  <c r="AA1080" i="28"/>
  <c r="Z1080" i="28"/>
  <c r="V1080" i="28"/>
  <c r="W1080" i="28" s="1"/>
  <c r="AA1079" i="28"/>
  <c r="Z1079" i="28"/>
  <c r="V1079" i="28"/>
  <c r="W1079" i="28" s="1"/>
  <c r="AA1078" i="28"/>
  <c r="Z1078" i="28"/>
  <c r="V1078" i="28"/>
  <c r="W1078" i="28" s="1"/>
  <c r="AA1077" i="28"/>
  <c r="Z1077" i="28"/>
  <c r="V1077" i="28"/>
  <c r="W1077" i="28" s="1"/>
  <c r="AA1076" i="28"/>
  <c r="Z1076" i="28"/>
  <c r="V1076" i="28"/>
  <c r="W1076" i="28" s="1"/>
  <c r="X1076" i="28" s="1"/>
  <c r="Y1076" i="28" s="1"/>
  <c r="AC1076" i="28" s="1"/>
  <c r="AA1075" i="28"/>
  <c r="Z1075" i="28"/>
  <c r="V1075" i="28"/>
  <c r="AA1074" i="28"/>
  <c r="Z1074" i="28"/>
  <c r="V1074" i="28"/>
  <c r="W1074" i="28" s="1"/>
  <c r="AA1073" i="28"/>
  <c r="Z1073" i="28"/>
  <c r="V1073" i="28"/>
  <c r="W1073" i="28" s="1"/>
  <c r="X1073" i="28" s="1"/>
  <c r="Y1073" i="28" s="1"/>
  <c r="AC1073" i="28" s="1"/>
  <c r="AA1072" i="28"/>
  <c r="Z1072" i="28"/>
  <c r="V1072" i="28"/>
  <c r="W1072" i="28" s="1"/>
  <c r="AA1071" i="28"/>
  <c r="Z1071" i="28"/>
  <c r="V1071" i="28"/>
  <c r="AA1070" i="28"/>
  <c r="Z1070" i="28"/>
  <c r="V1070" i="28"/>
  <c r="W1070" i="28" s="1"/>
  <c r="AA1069" i="28"/>
  <c r="Z1069" i="28"/>
  <c r="V1069" i="28"/>
  <c r="W1069" i="28" s="1"/>
  <c r="X1069" i="28" s="1"/>
  <c r="Y1069" i="28" s="1"/>
  <c r="AC1069" i="28" s="1"/>
  <c r="AA1068" i="28"/>
  <c r="Z1068" i="28"/>
  <c r="V1068" i="28"/>
  <c r="W1068" i="28" s="1"/>
  <c r="AA1067" i="28"/>
  <c r="Z1067" i="28"/>
  <c r="V1067" i="28"/>
  <c r="AA1066" i="28"/>
  <c r="Z1066" i="28"/>
  <c r="V1066" i="28"/>
  <c r="W1066" i="28" s="1"/>
  <c r="AA1065" i="28"/>
  <c r="Z1065" i="28"/>
  <c r="V1065" i="28"/>
  <c r="AA1064" i="28"/>
  <c r="Z1064" i="28"/>
  <c r="V1064" i="28"/>
  <c r="W1064" i="28" s="1"/>
  <c r="X1064" i="28" s="1"/>
  <c r="Y1064" i="28" s="1"/>
  <c r="AC1064" i="28" s="1"/>
  <c r="AA1063" i="28"/>
  <c r="Z1063" i="28"/>
  <c r="V1063" i="28"/>
  <c r="W1063" i="28" s="1"/>
  <c r="AA1062" i="28"/>
  <c r="Z1062" i="28"/>
  <c r="V1062" i="28"/>
  <c r="AA1061" i="28"/>
  <c r="Z1061" i="28"/>
  <c r="V1061" i="28"/>
  <c r="W1061" i="28" s="1"/>
  <c r="X1061" i="28" s="1"/>
  <c r="Y1061" i="28" s="1"/>
  <c r="AC1061" i="28" s="1"/>
  <c r="AA1060" i="28"/>
  <c r="Z1060" i="28"/>
  <c r="V1060" i="28"/>
  <c r="W1060" i="28" s="1"/>
  <c r="X1060" i="28" s="1"/>
  <c r="Y1060" i="28" s="1"/>
  <c r="AC1060" i="28" s="1"/>
  <c r="AA1059" i="28"/>
  <c r="Z1059" i="28"/>
  <c r="V1059" i="28"/>
  <c r="AA1058" i="28"/>
  <c r="Z1058" i="28"/>
  <c r="V1058" i="28"/>
  <c r="AA1057" i="28"/>
  <c r="Z1057" i="28"/>
  <c r="V1057" i="28"/>
  <c r="W1057" i="28" s="1"/>
  <c r="X1057" i="28" s="1"/>
  <c r="Y1057" i="28" s="1"/>
  <c r="AC1057" i="28" s="1"/>
  <c r="AA1056" i="28"/>
  <c r="Z1056" i="28"/>
  <c r="V1056" i="28"/>
  <c r="W1056" i="28" s="1"/>
  <c r="AA1055" i="28"/>
  <c r="Z1055" i="28"/>
  <c r="V1055" i="28"/>
  <c r="AA1054" i="28"/>
  <c r="Z1054" i="28"/>
  <c r="V1054" i="28"/>
  <c r="W1054" i="28" s="1"/>
  <c r="AA1053" i="28"/>
  <c r="Z1053" i="28"/>
  <c r="V1053" i="28"/>
  <c r="W1053" i="28" s="1"/>
  <c r="AA1052" i="28"/>
  <c r="Z1052" i="28"/>
  <c r="V1052" i="28"/>
  <c r="W1052" i="28" s="1"/>
  <c r="X1052" i="28" s="1"/>
  <c r="Y1052" i="28" s="1"/>
  <c r="AC1052" i="28" s="1"/>
  <c r="AA1051" i="28"/>
  <c r="AE1051" i="28" s="1"/>
  <c r="Z1051" i="28"/>
  <c r="V1051" i="28"/>
  <c r="AA1050" i="28"/>
  <c r="Z1050" i="28"/>
  <c r="V1050" i="28"/>
  <c r="W1050" i="28" s="1"/>
  <c r="X1050" i="28" s="1"/>
  <c r="Y1050" i="28" s="1"/>
  <c r="AC1050" i="28" s="1"/>
  <c r="AA1049" i="28"/>
  <c r="Z1049" i="28"/>
  <c r="V1049" i="28"/>
  <c r="W1049" i="28" s="1"/>
  <c r="X1049" i="28" s="1"/>
  <c r="Y1049" i="28" s="1"/>
  <c r="AC1049" i="28" s="1"/>
  <c r="AA1048" i="28"/>
  <c r="Z1048" i="28"/>
  <c r="V1048" i="28"/>
  <c r="W1048" i="28" s="1"/>
  <c r="X1048" i="28" s="1"/>
  <c r="Y1048" i="28" s="1"/>
  <c r="AC1048" i="28" s="1"/>
  <c r="AA1047" i="28"/>
  <c r="Z1047" i="28"/>
  <c r="V1047" i="28"/>
  <c r="W1047" i="28" s="1"/>
  <c r="X1047" i="28" s="1"/>
  <c r="Y1047" i="28" s="1"/>
  <c r="AC1047" i="28" s="1"/>
  <c r="AA1046" i="28"/>
  <c r="Z1046" i="28"/>
  <c r="V1046" i="28"/>
  <c r="W1046" i="28" s="1"/>
  <c r="AA1045" i="28"/>
  <c r="Z1045" i="28"/>
  <c r="V1045" i="28"/>
  <c r="W1045" i="28" s="1"/>
  <c r="X1045" i="28" s="1"/>
  <c r="Y1045" i="28" s="1"/>
  <c r="AC1045" i="28" s="1"/>
  <c r="AA1044" i="28"/>
  <c r="Z1044" i="28"/>
  <c r="V1044" i="28"/>
  <c r="W1044" i="28" s="1"/>
  <c r="X1044" i="28" s="1"/>
  <c r="Y1044" i="28" s="1"/>
  <c r="AC1044" i="28" s="1"/>
  <c r="AA1043" i="28"/>
  <c r="Z1043" i="28"/>
  <c r="V1043" i="28"/>
  <c r="AA1042" i="28"/>
  <c r="Z1042" i="28"/>
  <c r="V1042" i="28"/>
  <c r="W1042" i="28" s="1"/>
  <c r="X1042" i="28" s="1"/>
  <c r="Y1042" i="28" s="1"/>
  <c r="AC1042" i="28" s="1"/>
  <c r="AA1041" i="28"/>
  <c r="Z1041" i="28"/>
  <c r="V1041" i="28"/>
  <c r="W1041" i="28" s="1"/>
  <c r="X1041" i="28" s="1"/>
  <c r="Y1041" i="28" s="1"/>
  <c r="AC1041" i="28" s="1"/>
  <c r="B1042" i="28"/>
  <c r="B1043" i="28" s="1"/>
  <c r="B1044" i="28" s="1"/>
  <c r="B1045" i="28" s="1"/>
  <c r="B1046" i="28" s="1"/>
  <c r="B1047" i="28" s="1"/>
  <c r="B1048" i="28" s="1"/>
  <c r="B1049" i="28" s="1"/>
  <c r="B1050" i="28" s="1"/>
  <c r="B1051" i="28" s="1"/>
  <c r="B1052" i="28" s="1"/>
  <c r="B1053" i="28" s="1"/>
  <c r="B1054" i="28" s="1"/>
  <c r="B1055" i="28" s="1"/>
  <c r="B1056" i="28" s="1"/>
  <c r="B1057" i="28" s="1"/>
  <c r="B1058" i="28" s="1"/>
  <c r="B1059" i="28" s="1"/>
  <c r="B1060" i="28" s="1"/>
  <c r="B1061" i="28" s="1"/>
  <c r="B1062" i="28" s="1"/>
  <c r="B1063" i="28" s="1"/>
  <c r="B1064" i="28" s="1"/>
  <c r="B1065" i="28" s="1"/>
  <c r="B1066" i="28" s="1"/>
  <c r="B1067" i="28" s="1"/>
  <c r="B1068" i="28" s="1"/>
  <c r="B1069" i="28" s="1"/>
  <c r="B1070" i="28" s="1"/>
  <c r="B1071" i="28" s="1"/>
  <c r="B1072" i="28" s="1"/>
  <c r="B1073" i="28" s="1"/>
  <c r="B1074" i="28" s="1"/>
  <c r="B1075" i="28" s="1"/>
  <c r="B1076" i="28" s="1"/>
  <c r="B1077" i="28" s="1"/>
  <c r="B1078" i="28" s="1"/>
  <c r="B1079" i="28" s="1"/>
  <c r="B1080" i="28" s="1"/>
  <c r="B1081" i="28" s="1"/>
  <c r="B1082" i="28" s="1"/>
  <c r="B1083" i="28" s="1"/>
  <c r="B1084" i="28" s="1"/>
  <c r="B1085" i="28" s="1"/>
  <c r="B1086" i="28" s="1"/>
  <c r="B1087" i="28" s="1"/>
  <c r="B1088" i="28" s="1"/>
  <c r="B1089" i="28" s="1"/>
  <c r="B1090" i="28" s="1"/>
  <c r="B1091" i="28" s="1"/>
  <c r="B1092" i="28" s="1"/>
  <c r="B1093" i="28" s="1"/>
  <c r="B1094" i="28" s="1"/>
  <c r="B1095" i="28" s="1"/>
  <c r="B1096" i="28" s="1"/>
  <c r="B1097" i="28" s="1"/>
  <c r="B1098" i="28" s="1"/>
  <c r="B1099" i="28" s="1"/>
  <c r="B1100" i="28" s="1"/>
  <c r="B1102" i="28" s="1"/>
  <c r="B1103" i="28" s="1"/>
  <c r="B1104" i="28" s="1"/>
  <c r="B1105" i="28" s="1"/>
  <c r="B1106" i="28" s="1"/>
  <c r="B1107" i="28" s="1"/>
  <c r="B1108" i="28" s="1"/>
  <c r="B1109" i="28" s="1"/>
  <c r="B1110" i="28" s="1"/>
  <c r="B1111" i="28" s="1"/>
  <c r="B1112" i="28" s="1"/>
  <c r="B1113" i="28" s="1"/>
  <c r="B1114" i="28" s="1"/>
  <c r="B1115" i="28" s="1"/>
  <c r="B1116" i="28" s="1"/>
  <c r="B1117" i="28" s="1"/>
  <c r="B1118" i="28" s="1"/>
  <c r="B1119" i="28" s="1"/>
  <c r="B1120" i="28" s="1"/>
  <c r="B1121" i="28" s="1"/>
  <c r="B1122" i="28" s="1"/>
  <c r="B1123" i="28" s="1"/>
  <c r="B1124" i="28" s="1"/>
  <c r="B1125" i="28" s="1"/>
  <c r="B1126" i="28" s="1"/>
  <c r="B1127" i="28" s="1"/>
  <c r="B1128" i="28" s="1"/>
  <c r="B1129" i="28" s="1"/>
  <c r="B1130" i="28" s="1"/>
  <c r="B1131" i="28" s="1"/>
  <c r="B1132" i="28" s="1"/>
  <c r="B1133" i="28" s="1"/>
  <c r="B1134" i="28" s="1"/>
  <c r="B1135" i="28" s="1"/>
  <c r="B1136" i="28" s="1"/>
  <c r="B1137" i="28" s="1"/>
  <c r="B1138" i="28" s="1"/>
  <c r="B1139" i="28" s="1"/>
  <c r="B1140" i="28" s="1"/>
  <c r="B1141" i="28" s="1"/>
  <c r="B1142" i="28" s="1"/>
  <c r="B1143" i="28" s="1"/>
  <c r="B1144" i="28" s="1"/>
  <c r="B1145" i="28" s="1"/>
  <c r="B1146" i="28" s="1"/>
  <c r="B1147" i="28" s="1"/>
  <c r="B1148" i="28" s="1"/>
  <c r="B1149" i="28" s="1"/>
  <c r="B1150" i="28" s="1"/>
  <c r="B1151" i="28" s="1"/>
  <c r="B1152" i="28" s="1"/>
  <c r="B1153" i="28" s="1"/>
  <c r="B1154" i="28" s="1"/>
  <c r="B1155" i="28" s="1"/>
  <c r="B1156" i="28" s="1"/>
  <c r="B1157" i="28" s="1"/>
  <c r="B1158" i="28" s="1"/>
  <c r="AA1040" i="28"/>
  <c r="Z1040" i="28"/>
  <c r="V1040" i="28"/>
  <c r="W1040" i="28" s="1"/>
  <c r="AA1039" i="28"/>
  <c r="Z1039" i="28"/>
  <c r="V1039" i="28"/>
  <c r="AA1038" i="28"/>
  <c r="AE1038" i="28" s="1"/>
  <c r="Z1038" i="28"/>
  <c r="V1038" i="28"/>
  <c r="AA1037" i="28"/>
  <c r="Z1037" i="28"/>
  <c r="V1037" i="28"/>
  <c r="AA1036" i="28"/>
  <c r="Z1036" i="28"/>
  <c r="V1036" i="28"/>
  <c r="W1036" i="28" s="1"/>
  <c r="X1036" i="28" s="1"/>
  <c r="Y1036" i="28" s="1"/>
  <c r="AC1036" i="28" s="1"/>
  <c r="AA1035" i="28"/>
  <c r="Z1035" i="28"/>
  <c r="V1035" i="28"/>
  <c r="AA1034" i="28"/>
  <c r="Z1034" i="28"/>
  <c r="V1034" i="28"/>
  <c r="W1034" i="28" s="1"/>
  <c r="X1034" i="28" s="1"/>
  <c r="Y1034" i="28" s="1"/>
  <c r="AC1034" i="28" s="1"/>
  <c r="AA1033" i="28"/>
  <c r="Z1033" i="28"/>
  <c r="V1033" i="28"/>
  <c r="AA1032" i="28"/>
  <c r="Z1032" i="28"/>
  <c r="V1032" i="28"/>
  <c r="AA1031" i="28"/>
  <c r="Z1031" i="28"/>
  <c r="V1031" i="28"/>
  <c r="W1031" i="28" s="1"/>
  <c r="AA1030" i="28"/>
  <c r="Z1030" i="28"/>
  <c r="V1030" i="28"/>
  <c r="W1030" i="28" s="1"/>
  <c r="AA1029" i="28"/>
  <c r="Z1029" i="28"/>
  <c r="V1029" i="28"/>
  <c r="AA1028" i="28"/>
  <c r="Z1028" i="28"/>
  <c r="V1028" i="28"/>
  <c r="W1028" i="28" s="1"/>
  <c r="AA1027" i="28"/>
  <c r="Z1027" i="28"/>
  <c r="V1027" i="28"/>
  <c r="AA1026" i="28"/>
  <c r="Z1026" i="28"/>
  <c r="V1026" i="28"/>
  <c r="AA1025" i="28"/>
  <c r="Z1025" i="28"/>
  <c r="V1025" i="28"/>
  <c r="AA1024" i="28"/>
  <c r="Z1024" i="28"/>
  <c r="V1024" i="28"/>
  <c r="AA1023" i="28"/>
  <c r="Z1023" i="28"/>
  <c r="V1023" i="28"/>
  <c r="W1023" i="28" s="1"/>
  <c r="AA1022" i="28"/>
  <c r="Z1022" i="28"/>
  <c r="V1022" i="28"/>
  <c r="AA1021" i="28"/>
  <c r="Z1021" i="28"/>
  <c r="V1021" i="28"/>
  <c r="AA1020" i="28"/>
  <c r="Z1020" i="28"/>
  <c r="V1020" i="28"/>
  <c r="AA1019" i="28"/>
  <c r="Z1019" i="28"/>
  <c r="V1019" i="28"/>
  <c r="AA1018" i="28"/>
  <c r="Z1018" i="28"/>
  <c r="V1018" i="28"/>
  <c r="Z1017" i="28"/>
  <c r="V1017" i="28"/>
  <c r="W1017" i="28" s="1"/>
  <c r="AA1016" i="28"/>
  <c r="Z1016" i="28"/>
  <c r="V1016" i="28"/>
  <c r="W1016" i="28" s="1"/>
  <c r="AA1015" i="28"/>
  <c r="Z1015" i="28"/>
  <c r="V1015" i="28"/>
  <c r="W1015" i="28" s="1"/>
  <c r="AA1014" i="28"/>
  <c r="Z1014" i="28"/>
  <c r="V1014" i="28"/>
  <c r="W1014" i="28" s="1"/>
  <c r="AA1013" i="28"/>
  <c r="Z1013" i="28"/>
  <c r="V1013" i="28"/>
  <c r="AA1012" i="28"/>
  <c r="Z1012" i="28"/>
  <c r="V1012" i="28"/>
  <c r="W1012" i="28" s="1"/>
  <c r="AA1011" i="28"/>
  <c r="Z1011" i="28"/>
  <c r="V1011" i="28"/>
  <c r="W1011" i="28" s="1"/>
  <c r="AA1010" i="28"/>
  <c r="Z1010" i="28"/>
  <c r="V1010" i="28"/>
  <c r="AA1009" i="28"/>
  <c r="Z1009" i="28"/>
  <c r="V1009" i="28"/>
  <c r="W1009" i="28" s="1"/>
  <c r="AA1008" i="28"/>
  <c r="Z1008" i="28"/>
  <c r="V1008" i="28"/>
  <c r="W1008" i="28" s="1"/>
  <c r="AA1007" i="28"/>
  <c r="Z1007" i="28"/>
  <c r="V1007" i="28"/>
  <c r="AA1006" i="28"/>
  <c r="Z1006" i="28"/>
  <c r="V1006" i="28"/>
  <c r="AA1005" i="28"/>
  <c r="Z1005" i="28"/>
  <c r="V1005" i="28"/>
  <c r="W1005" i="28" s="1"/>
  <c r="AA1004" i="28"/>
  <c r="Z1004" i="28"/>
  <c r="V1004" i="28"/>
  <c r="AA1003" i="28"/>
  <c r="Z1003" i="28"/>
  <c r="V1003" i="28"/>
  <c r="AA1002" i="28"/>
  <c r="Z1002" i="28"/>
  <c r="V1002" i="28"/>
  <c r="AA1001" i="28"/>
  <c r="Z1001" i="28"/>
  <c r="V1001" i="28"/>
  <c r="AA1000" i="28"/>
  <c r="Z1000" i="28"/>
  <c r="V1000" i="28"/>
  <c r="W1000" i="28" s="1"/>
  <c r="AA999" i="28"/>
  <c r="Z999" i="28"/>
  <c r="V999" i="28"/>
  <c r="AA998" i="28"/>
  <c r="Z998" i="28"/>
  <c r="V998" i="28"/>
  <c r="AA997" i="28"/>
  <c r="Z997" i="28"/>
  <c r="V997" i="28"/>
  <c r="W997" i="28" s="1"/>
  <c r="AA996" i="28"/>
  <c r="Z996" i="28"/>
  <c r="V996" i="28"/>
  <c r="AA995" i="28"/>
  <c r="Z995" i="28"/>
  <c r="V995" i="28"/>
  <c r="AA994" i="28"/>
  <c r="Z994" i="28"/>
  <c r="V994" i="28"/>
  <c r="AA993" i="28"/>
  <c r="Z993" i="28"/>
  <c r="V993" i="28"/>
  <c r="W993" i="28" s="1"/>
  <c r="AA992" i="28"/>
  <c r="Z992" i="28"/>
  <c r="V992" i="28"/>
  <c r="AA991" i="28"/>
  <c r="Z991" i="28"/>
  <c r="V991" i="28"/>
  <c r="AA990" i="28"/>
  <c r="Z990" i="28"/>
  <c r="V990" i="28"/>
  <c r="W990" i="28" s="1"/>
  <c r="AA989" i="28"/>
  <c r="Z989" i="28"/>
  <c r="V989" i="28"/>
  <c r="W989" i="28" s="1"/>
  <c r="AA988" i="28"/>
  <c r="Z988" i="28"/>
  <c r="V988" i="28"/>
  <c r="AA987" i="28"/>
  <c r="Z987" i="28"/>
  <c r="V987" i="28"/>
  <c r="AA986" i="28"/>
  <c r="Z986" i="28"/>
  <c r="V986" i="28"/>
  <c r="W986" i="28" s="1"/>
  <c r="X986" i="28" s="1"/>
  <c r="Y986" i="28" s="1"/>
  <c r="AC986" i="28" s="1"/>
  <c r="AA985" i="28"/>
  <c r="Z985" i="28"/>
  <c r="V985" i="28"/>
  <c r="W985" i="28" s="1"/>
  <c r="AA984" i="28"/>
  <c r="Z984" i="28"/>
  <c r="V984" i="28"/>
  <c r="AA983" i="28"/>
  <c r="Z983" i="28"/>
  <c r="V983" i="28"/>
  <c r="W983" i="28" s="1"/>
  <c r="X983" i="28" s="1"/>
  <c r="Y983" i="28" s="1"/>
  <c r="AC983" i="28" s="1"/>
  <c r="Z982" i="28"/>
  <c r="V982" i="28"/>
  <c r="AA981" i="28"/>
  <c r="Z981" i="28"/>
  <c r="V981" i="28"/>
  <c r="AA980" i="28"/>
  <c r="Z980" i="28"/>
  <c r="V980" i="28"/>
  <c r="AA979" i="28"/>
  <c r="Z979" i="28"/>
  <c r="V979" i="28"/>
  <c r="W979" i="28" s="1"/>
  <c r="AA978" i="28"/>
  <c r="Z978" i="28"/>
  <c r="V978" i="28"/>
  <c r="AA977" i="28"/>
  <c r="Z977" i="28"/>
  <c r="V977" i="28"/>
  <c r="W977" i="28" s="1"/>
  <c r="AA976" i="28"/>
  <c r="Z976" i="28"/>
  <c r="V976" i="28"/>
  <c r="AA975" i="28"/>
  <c r="Z975" i="28"/>
  <c r="V975" i="28"/>
  <c r="AA974" i="28"/>
  <c r="Z974" i="28"/>
  <c r="V974" i="28"/>
  <c r="AA973" i="28"/>
  <c r="Z973" i="28"/>
  <c r="V973" i="28"/>
  <c r="W973" i="28" s="1"/>
  <c r="AA972" i="28"/>
  <c r="Z972" i="28"/>
  <c r="V972" i="28"/>
  <c r="AA971" i="28"/>
  <c r="Z971" i="28"/>
  <c r="V971" i="28"/>
  <c r="W971" i="28" s="1"/>
  <c r="AA970" i="28"/>
  <c r="Z970" i="28"/>
  <c r="V970" i="28"/>
  <c r="W970" i="28" s="1"/>
  <c r="AA969" i="28"/>
  <c r="Z969" i="28"/>
  <c r="V969" i="28"/>
  <c r="AA968" i="28"/>
  <c r="Z968" i="28"/>
  <c r="V968" i="28"/>
  <c r="W968" i="28" s="1"/>
  <c r="AA967" i="28"/>
  <c r="Z967" i="28"/>
  <c r="V967" i="28"/>
  <c r="W967" i="28" s="1"/>
  <c r="AA966" i="28"/>
  <c r="Z966" i="28"/>
  <c r="V966" i="28"/>
  <c r="W966" i="28" s="1"/>
  <c r="X966" i="28" s="1"/>
  <c r="Y966" i="28" s="1"/>
  <c r="AC966" i="28" s="1"/>
  <c r="AA965" i="28"/>
  <c r="Z965" i="28"/>
  <c r="V965" i="28"/>
  <c r="AA964" i="28"/>
  <c r="Z964" i="28"/>
  <c r="V964" i="28"/>
  <c r="W964" i="28" s="1"/>
  <c r="AA963" i="28"/>
  <c r="Z963" i="28"/>
  <c r="V963" i="28"/>
  <c r="W963" i="28" s="1"/>
  <c r="X963" i="28" s="1"/>
  <c r="Y963" i="28" s="1"/>
  <c r="AC963" i="28" s="1"/>
  <c r="AA962" i="28"/>
  <c r="Z962" i="28"/>
  <c r="V962" i="28"/>
  <c r="W962" i="28" s="1"/>
  <c r="AA961" i="28"/>
  <c r="Z961" i="28"/>
  <c r="V961" i="28"/>
  <c r="W961" i="28" s="1"/>
  <c r="AA960" i="28"/>
  <c r="Z960" i="28"/>
  <c r="V960" i="28"/>
  <c r="W960" i="28" s="1"/>
  <c r="X960" i="28" s="1"/>
  <c r="Y960" i="28" s="1"/>
  <c r="AC960" i="28" s="1"/>
  <c r="AA959" i="28"/>
  <c r="Z959" i="28"/>
  <c r="V959" i="28"/>
  <c r="W959" i="28" s="1"/>
  <c r="X959" i="28" s="1"/>
  <c r="Y959" i="28" s="1"/>
  <c r="AC959" i="28" s="1"/>
  <c r="AA958" i="28"/>
  <c r="Z958" i="28"/>
  <c r="V958" i="28"/>
  <c r="W958" i="28" s="1"/>
  <c r="X958" i="28" s="1"/>
  <c r="Y958" i="28" s="1"/>
  <c r="AC958" i="28" s="1"/>
  <c r="AA957" i="28"/>
  <c r="Z957" i="28"/>
  <c r="V957" i="28"/>
  <c r="AA956" i="28"/>
  <c r="Z956" i="28"/>
  <c r="V956" i="28"/>
  <c r="AA955" i="28"/>
  <c r="Z955" i="28"/>
  <c r="V955" i="28"/>
  <c r="W955" i="28" s="1"/>
  <c r="AA954" i="28"/>
  <c r="Z954" i="28"/>
  <c r="V954" i="28"/>
  <c r="W954" i="28" s="1"/>
  <c r="X954" i="28" s="1"/>
  <c r="Y954" i="28" s="1"/>
  <c r="AC954" i="28" s="1"/>
  <c r="AA953" i="28"/>
  <c r="Z953" i="28"/>
  <c r="V953" i="28"/>
  <c r="AA952" i="28"/>
  <c r="Z952" i="28"/>
  <c r="V952" i="28"/>
  <c r="W952" i="28" s="1"/>
  <c r="X952" i="28" s="1"/>
  <c r="Y952" i="28" s="1"/>
  <c r="AC952" i="28" s="1"/>
  <c r="AA951" i="28"/>
  <c r="Z951" i="28"/>
  <c r="V951" i="28"/>
  <c r="W951" i="28" s="1"/>
  <c r="AA950" i="28"/>
  <c r="Z950" i="28"/>
  <c r="V950" i="28"/>
  <c r="AA949" i="28"/>
  <c r="Z949" i="28"/>
  <c r="V949" i="28"/>
  <c r="B950" i="28"/>
  <c r="B951" i="28" s="1"/>
  <c r="B952" i="28" s="1"/>
  <c r="B953" i="28" s="1"/>
  <c r="B954" i="28" s="1"/>
  <c r="B955" i="28" s="1"/>
  <c r="B956" i="28" s="1"/>
  <c r="B957" i="28" s="1"/>
  <c r="B958" i="28" s="1"/>
  <c r="B959" i="28" s="1"/>
  <c r="B960" i="28" s="1"/>
  <c r="B961" i="28" s="1"/>
  <c r="B962" i="28" s="1"/>
  <c r="B963" i="28" s="1"/>
  <c r="B964" i="28" s="1"/>
  <c r="B965" i="28" s="1"/>
  <c r="B966" i="28" s="1"/>
  <c r="B967" i="28" s="1"/>
  <c r="B968" i="28" s="1"/>
  <c r="B969" i="28" s="1"/>
  <c r="B970" i="28" s="1"/>
  <c r="B971" i="28" s="1"/>
  <c r="B972" i="28" s="1"/>
  <c r="B973" i="28" s="1"/>
  <c r="B974" i="28" s="1"/>
  <c r="B975" i="28" s="1"/>
  <c r="B976" i="28" s="1"/>
  <c r="B977" i="28" s="1"/>
  <c r="B978" i="28" s="1"/>
  <c r="B979" i="28" s="1"/>
  <c r="B980" i="28" s="1"/>
  <c r="B981" i="28" s="1"/>
  <c r="B982" i="28" s="1"/>
  <c r="B983" i="28" s="1"/>
  <c r="B984" i="28" s="1"/>
  <c r="B985" i="28" s="1"/>
  <c r="B987" i="28" s="1"/>
  <c r="B988" i="28" s="1"/>
  <c r="B989" i="28" s="1"/>
  <c r="B990" i="28" s="1"/>
  <c r="B991" i="28" s="1"/>
  <c r="B992" i="28" s="1"/>
  <c r="B993" i="28" s="1"/>
  <c r="B994" i="28" s="1"/>
  <c r="B995" i="28" s="1"/>
  <c r="B996" i="28" s="1"/>
  <c r="B997" i="28" s="1"/>
  <c r="B998" i="28" s="1"/>
  <c r="B999" i="28" s="1"/>
  <c r="B1000" i="28" s="1"/>
  <c r="B1001" i="28" s="1"/>
  <c r="B1002" i="28" s="1"/>
  <c r="B1003" i="28" s="1"/>
  <c r="B1004" i="28" s="1"/>
  <c r="B1005" i="28" s="1"/>
  <c r="B1006" i="28" s="1"/>
  <c r="B1007" i="28" s="1"/>
  <c r="B1008" i="28" s="1"/>
  <c r="B1009" i="28" s="1"/>
  <c r="B1010" i="28" s="1"/>
  <c r="B1011" i="28" s="1"/>
  <c r="B1012" i="28" s="1"/>
  <c r="B1013" i="28" s="1"/>
  <c r="B1014" i="28" s="1"/>
  <c r="B1015" i="28" s="1"/>
  <c r="B1016" i="28" s="1"/>
  <c r="B1017" i="28" s="1"/>
  <c r="B1018" i="28" s="1"/>
  <c r="B1019" i="28" s="1"/>
  <c r="B1020" i="28" s="1"/>
  <c r="B1021" i="28" s="1"/>
  <c r="B1022" i="28" s="1"/>
  <c r="B1023" i="28" s="1"/>
  <c r="B1024" i="28" s="1"/>
  <c r="B1025" i="28" s="1"/>
  <c r="B1026" i="28" s="1"/>
  <c r="B1027" i="28" s="1"/>
  <c r="B1028" i="28" s="1"/>
  <c r="B1029" i="28" s="1"/>
  <c r="B1030" i="28" s="1"/>
  <c r="B1031" i="28" s="1"/>
  <c r="B1032" i="28" s="1"/>
  <c r="B1033" i="28" s="1"/>
  <c r="B1034" i="28" s="1"/>
  <c r="B1035" i="28" s="1"/>
  <c r="B1036" i="28" s="1"/>
  <c r="B1037" i="28" s="1"/>
  <c r="B1038" i="28" s="1"/>
  <c r="B1039" i="28" s="1"/>
  <c r="B1040" i="28" s="1"/>
  <c r="AA948" i="28"/>
  <c r="Z948" i="28"/>
  <c r="V948" i="28"/>
  <c r="W948" i="28" s="1"/>
  <c r="X948" i="28" s="1"/>
  <c r="Y948" i="28" s="1"/>
  <c r="AC948" i="28" s="1"/>
  <c r="AA947" i="28"/>
  <c r="Z947" i="28"/>
  <c r="V947" i="28"/>
  <c r="W947" i="28" s="1"/>
  <c r="X947" i="28" s="1"/>
  <c r="Y947" i="28" s="1"/>
  <c r="AC947" i="28" s="1"/>
  <c r="AA946" i="28"/>
  <c r="Z946" i="28"/>
  <c r="V946" i="28"/>
  <c r="AA945" i="28"/>
  <c r="Z945" i="28"/>
  <c r="V945" i="28"/>
  <c r="W945" i="28" s="1"/>
  <c r="AA944" i="28"/>
  <c r="Z944" i="28"/>
  <c r="V944" i="28"/>
  <c r="W944" i="28" s="1"/>
  <c r="X944" i="28" s="1"/>
  <c r="Y944" i="28" s="1"/>
  <c r="AC944" i="28" s="1"/>
  <c r="AA943" i="28"/>
  <c r="Z943" i="28"/>
  <c r="V943" i="28"/>
  <c r="AA942" i="28"/>
  <c r="Z942" i="28"/>
  <c r="V942" i="28"/>
  <c r="W942" i="28" s="1"/>
  <c r="X942" i="28" s="1"/>
  <c r="Y942" i="28" s="1"/>
  <c r="AC942" i="28" s="1"/>
  <c r="AA941" i="28"/>
  <c r="Z941" i="28"/>
  <c r="V941" i="28"/>
  <c r="W941" i="28" s="1"/>
  <c r="X941" i="28" s="1"/>
  <c r="Y941" i="28" s="1"/>
  <c r="AC941" i="28" s="1"/>
  <c r="AA940" i="28"/>
  <c r="Z940" i="28"/>
  <c r="V940" i="28"/>
  <c r="AA939" i="28"/>
  <c r="Z939" i="28"/>
  <c r="V939" i="28"/>
  <c r="AA938" i="28"/>
  <c r="Z938" i="28"/>
  <c r="V938" i="28"/>
  <c r="W938" i="28" s="1"/>
  <c r="X938" i="28" s="1"/>
  <c r="Y938" i="28" s="1"/>
  <c r="AC938" i="28" s="1"/>
  <c r="AA937" i="28"/>
  <c r="Z937" i="28"/>
  <c r="V937" i="28"/>
  <c r="AA936" i="28"/>
  <c r="Z936" i="28"/>
  <c r="V936" i="28"/>
  <c r="W936" i="28" s="1"/>
  <c r="AA935" i="28"/>
  <c r="Z935" i="28"/>
  <c r="V935" i="28"/>
  <c r="AA934" i="28"/>
  <c r="Z934" i="28"/>
  <c r="V934" i="28"/>
  <c r="AA933" i="28"/>
  <c r="Z933" i="28"/>
  <c r="V933" i="28"/>
  <c r="W933" i="28" s="1"/>
  <c r="X933" i="28" s="1"/>
  <c r="Y933" i="28" s="1"/>
  <c r="AC933" i="28" s="1"/>
  <c r="AA932" i="28"/>
  <c r="Z932" i="28"/>
  <c r="V932" i="28"/>
  <c r="W932" i="28" s="1"/>
  <c r="AA931" i="28"/>
  <c r="Z931" i="28"/>
  <c r="V931" i="28"/>
  <c r="W931" i="28" s="1"/>
  <c r="X931" i="28" s="1"/>
  <c r="Y931" i="28" s="1"/>
  <c r="AC931" i="28" s="1"/>
  <c r="AA930" i="28"/>
  <c r="Z930" i="28"/>
  <c r="V930" i="28"/>
  <c r="W930" i="28" s="1"/>
  <c r="X930" i="28" s="1"/>
  <c r="Y930" i="28" s="1"/>
  <c r="AC930" i="28" s="1"/>
  <c r="AA929" i="28"/>
  <c r="Z929" i="28"/>
  <c r="V929" i="28"/>
  <c r="AA928" i="28"/>
  <c r="Z928" i="28"/>
  <c r="V928" i="28"/>
  <c r="W928" i="28" s="1"/>
  <c r="X928" i="28" s="1"/>
  <c r="Y928" i="28" s="1"/>
  <c r="AC928" i="28" s="1"/>
  <c r="AA927" i="28"/>
  <c r="Z927" i="28"/>
  <c r="V927" i="28"/>
  <c r="AA926" i="28"/>
  <c r="Z926" i="28"/>
  <c r="V926" i="28"/>
  <c r="W926" i="28" s="1"/>
  <c r="X926" i="28" s="1"/>
  <c r="Y926" i="28" s="1"/>
  <c r="AC926" i="28" s="1"/>
  <c r="AA925" i="28"/>
  <c r="Z925" i="28"/>
  <c r="V925" i="28"/>
  <c r="W925" i="28" s="1"/>
  <c r="X925" i="28" s="1"/>
  <c r="Y925" i="28" s="1"/>
  <c r="AC925" i="28" s="1"/>
  <c r="AA924" i="28"/>
  <c r="Z924" i="28"/>
  <c r="V924" i="28"/>
  <c r="W924" i="28" s="1"/>
  <c r="AA923" i="28"/>
  <c r="Z923" i="28"/>
  <c r="V923" i="28"/>
  <c r="AA922" i="28"/>
  <c r="Z922" i="28"/>
  <c r="V922" i="28"/>
  <c r="AA921" i="28"/>
  <c r="Z921" i="28"/>
  <c r="V921" i="28"/>
  <c r="W921" i="28" s="1"/>
  <c r="X921" i="28" s="1"/>
  <c r="Y921" i="28" s="1"/>
  <c r="AC921" i="28" s="1"/>
  <c r="AA920" i="28"/>
  <c r="Z920" i="28"/>
  <c r="V920" i="28"/>
  <c r="W920" i="28" s="1"/>
  <c r="AA919" i="28"/>
  <c r="Z919" i="28"/>
  <c r="V919" i="28"/>
  <c r="W919" i="28" s="1"/>
  <c r="X919" i="28" s="1"/>
  <c r="Y919" i="28" s="1"/>
  <c r="AC919" i="28" s="1"/>
  <c r="AA918" i="28"/>
  <c r="Z918" i="28"/>
  <c r="V918" i="28"/>
  <c r="W918" i="28" s="1"/>
  <c r="X918" i="28" s="1"/>
  <c r="Y918" i="28" s="1"/>
  <c r="AC918" i="28" s="1"/>
  <c r="AA917" i="28"/>
  <c r="Z917" i="28"/>
  <c r="V917" i="28"/>
  <c r="AA916" i="28"/>
  <c r="Z916" i="28"/>
  <c r="V916" i="28"/>
  <c r="W916" i="28" s="1"/>
  <c r="X916" i="28" s="1"/>
  <c r="Y916" i="28" s="1"/>
  <c r="AC916" i="28" s="1"/>
  <c r="AA915" i="28"/>
  <c r="Z915" i="28"/>
  <c r="V915" i="28"/>
  <c r="W915" i="28" s="1"/>
  <c r="X915" i="28" s="1"/>
  <c r="Y915" i="28" s="1"/>
  <c r="AC915" i="28" s="1"/>
  <c r="AA914" i="28"/>
  <c r="Z914" i="28"/>
  <c r="V914" i="28"/>
  <c r="W914" i="28" s="1"/>
  <c r="X914" i="28" s="1"/>
  <c r="Y914" i="28" s="1"/>
  <c r="AC914" i="28" s="1"/>
  <c r="AA913" i="28"/>
  <c r="Z913" i="28"/>
  <c r="V913" i="28"/>
  <c r="W913" i="28" s="1"/>
  <c r="X913" i="28" s="1"/>
  <c r="Y913" i="28" s="1"/>
  <c r="AC913" i="28" s="1"/>
  <c r="AA912" i="28"/>
  <c r="Z912" i="28"/>
  <c r="V912" i="28"/>
  <c r="W912" i="28" s="1"/>
  <c r="B912" i="28"/>
  <c r="B913" i="28" s="1"/>
  <c r="B914" i="28" s="1"/>
  <c r="B915" i="28" s="1"/>
  <c r="B916" i="28" s="1"/>
  <c r="B917" i="28" s="1"/>
  <c r="B918" i="28" s="1"/>
  <c r="B919" i="28" s="1"/>
  <c r="B920" i="28" s="1"/>
  <c r="B921" i="28" s="1"/>
  <c r="B922" i="28" s="1"/>
  <c r="B923" i="28" s="1"/>
  <c r="B924" i="28" s="1"/>
  <c r="B925" i="28" s="1"/>
  <c r="B926" i="28" s="1"/>
  <c r="B927" i="28" s="1"/>
  <c r="B928" i="28" s="1"/>
  <c r="B929" i="28" s="1"/>
  <c r="B930" i="28" s="1"/>
  <c r="B931" i="28" s="1"/>
  <c r="B932" i="28" s="1"/>
  <c r="B933" i="28" s="1"/>
  <c r="B934" i="28" s="1"/>
  <c r="B935" i="28" s="1"/>
  <c r="B936" i="28" s="1"/>
  <c r="B937" i="28" s="1"/>
  <c r="B938" i="28" s="1"/>
  <c r="B939" i="28" s="1"/>
  <c r="B940" i="28" s="1"/>
  <c r="B941" i="28" s="1"/>
  <c r="B942" i="28" s="1"/>
  <c r="B943" i="28" s="1"/>
  <c r="B944" i="28" s="1"/>
  <c r="B945" i="28" s="1"/>
  <c r="B946" i="28" s="1"/>
  <c r="B947" i="28" s="1"/>
  <c r="B948" i="28" s="1"/>
  <c r="AA911" i="28"/>
  <c r="Z911" i="28"/>
  <c r="V911" i="28"/>
  <c r="W911" i="28" s="1"/>
  <c r="AA910" i="28"/>
  <c r="Z910" i="28"/>
  <c r="V910" i="28"/>
  <c r="W910" i="28" s="1"/>
  <c r="X910" i="28" s="1"/>
  <c r="Y910" i="28" s="1"/>
  <c r="AC910" i="28" s="1"/>
  <c r="AA909" i="28"/>
  <c r="Z909" i="28"/>
  <c r="V909" i="28"/>
  <c r="W909" i="28" s="1"/>
  <c r="AA908" i="28"/>
  <c r="Z908" i="28"/>
  <c r="V908" i="28"/>
  <c r="W908" i="28" s="1"/>
  <c r="X908" i="28" s="1"/>
  <c r="Y908" i="28" s="1"/>
  <c r="AC908" i="28" s="1"/>
  <c r="AA907" i="28"/>
  <c r="Z907" i="28"/>
  <c r="V907" i="28"/>
  <c r="W907" i="28" s="1"/>
  <c r="X907" i="28" s="1"/>
  <c r="Y907" i="28" s="1"/>
  <c r="AC907" i="28" s="1"/>
  <c r="AA906" i="28"/>
  <c r="Z906" i="28"/>
  <c r="V906" i="28"/>
  <c r="AA905" i="28"/>
  <c r="Z905" i="28"/>
  <c r="V905" i="28"/>
  <c r="W905" i="28" s="1"/>
  <c r="X905" i="28" s="1"/>
  <c r="Y905" i="28" s="1"/>
  <c r="AC905" i="28" s="1"/>
  <c r="AA904" i="28"/>
  <c r="Z904" i="28"/>
  <c r="V904" i="28"/>
  <c r="AA903" i="28"/>
  <c r="Z903" i="28"/>
  <c r="V903" i="28"/>
  <c r="W903" i="28" s="1"/>
  <c r="X903" i="28" s="1"/>
  <c r="Y903" i="28" s="1"/>
  <c r="AC903" i="28" s="1"/>
  <c r="AA902" i="28"/>
  <c r="Z902" i="28"/>
  <c r="V902" i="28"/>
  <c r="AA901" i="28"/>
  <c r="Z901" i="28"/>
  <c r="V901" i="28"/>
  <c r="W901" i="28" s="1"/>
  <c r="X901" i="28" s="1"/>
  <c r="Y901" i="28" s="1"/>
  <c r="AC901" i="28" s="1"/>
  <c r="AA900" i="28"/>
  <c r="Z900" i="28"/>
  <c r="V900" i="28"/>
  <c r="W900" i="28" s="1"/>
  <c r="AA899" i="28"/>
  <c r="Z899" i="28"/>
  <c r="V899" i="28"/>
  <c r="AA898" i="28"/>
  <c r="Z898" i="28"/>
  <c r="V898" i="28"/>
  <c r="W898" i="28" s="1"/>
  <c r="X898" i="28" s="1"/>
  <c r="Y898" i="28" s="1"/>
  <c r="AC898" i="28" s="1"/>
  <c r="AA897" i="28"/>
  <c r="Z897" i="28"/>
  <c r="V897" i="28"/>
  <c r="AA896" i="28"/>
  <c r="Z896" i="28"/>
  <c r="V896" i="28"/>
  <c r="W896" i="28" s="1"/>
  <c r="AA895" i="28"/>
  <c r="Z895" i="28"/>
  <c r="V895" i="28"/>
  <c r="W895" i="28" s="1"/>
  <c r="X895" i="28" s="1"/>
  <c r="Y895" i="28" s="1"/>
  <c r="AC895" i="28" s="1"/>
  <c r="AA894" i="28"/>
  <c r="Z894" i="28"/>
  <c r="V894" i="28"/>
  <c r="AA893" i="28"/>
  <c r="Z893" i="28"/>
  <c r="V893" i="28"/>
  <c r="AA892" i="28"/>
  <c r="Z892" i="28"/>
  <c r="V892" i="28"/>
  <c r="W892" i="28" s="1"/>
  <c r="X892" i="28" s="1"/>
  <c r="Y892" i="28" s="1"/>
  <c r="AC892" i="28" s="1"/>
  <c r="AA891" i="28"/>
  <c r="Z891" i="28"/>
  <c r="V891" i="28"/>
  <c r="AA890" i="28"/>
  <c r="Z890" i="28"/>
  <c r="V890" i="28"/>
  <c r="W890" i="28" s="1"/>
  <c r="X890" i="28" s="1"/>
  <c r="Y890" i="28" s="1"/>
  <c r="AC890" i="28" s="1"/>
  <c r="AA889" i="28"/>
  <c r="Z889" i="28"/>
  <c r="V889" i="28"/>
  <c r="AA888" i="28"/>
  <c r="Z888" i="28"/>
  <c r="V888" i="28"/>
  <c r="AA887" i="28"/>
  <c r="Z887" i="28"/>
  <c r="V887" i="28"/>
  <c r="W887" i="28" s="1"/>
  <c r="AA886" i="28"/>
  <c r="Z886" i="28"/>
  <c r="V886" i="28"/>
  <c r="W886" i="28" s="1"/>
  <c r="X886" i="28" s="1"/>
  <c r="Y886" i="28" s="1"/>
  <c r="AC886" i="28" s="1"/>
  <c r="AA885" i="28"/>
  <c r="Z885" i="28"/>
  <c r="V885" i="28"/>
  <c r="AA884" i="28"/>
  <c r="Z884" i="28"/>
  <c r="V884" i="28"/>
  <c r="W884" i="28" s="1"/>
  <c r="X884" i="28" s="1"/>
  <c r="Y884" i="28" s="1"/>
  <c r="AC884" i="28" s="1"/>
  <c r="AA883" i="28"/>
  <c r="Z883" i="28"/>
  <c r="V883" i="28"/>
  <c r="W883" i="28" s="1"/>
  <c r="X883" i="28" s="1"/>
  <c r="Y883" i="28" s="1"/>
  <c r="AC883" i="28" s="1"/>
  <c r="AA882" i="28"/>
  <c r="Z882" i="28"/>
  <c r="V882" i="28"/>
  <c r="AA881" i="28"/>
  <c r="Z881" i="28"/>
  <c r="V881" i="28"/>
  <c r="AA880" i="28"/>
  <c r="Z880" i="28"/>
  <c r="V880" i="28"/>
  <c r="AA879" i="28"/>
  <c r="Z879" i="28"/>
  <c r="V879" i="28"/>
  <c r="AA878" i="28"/>
  <c r="Z878" i="28"/>
  <c r="V878" i="28"/>
  <c r="W878" i="28" s="1"/>
  <c r="X878" i="28" s="1"/>
  <c r="Y878" i="28" s="1"/>
  <c r="AC878" i="28" s="1"/>
  <c r="AA877" i="28"/>
  <c r="Z877" i="28"/>
  <c r="V877" i="28"/>
  <c r="AA876" i="28"/>
  <c r="Z876" i="28"/>
  <c r="V876" i="28"/>
  <c r="W876" i="28" s="1"/>
  <c r="AA875" i="28"/>
  <c r="Z875" i="28"/>
  <c r="V875" i="28"/>
  <c r="W875" i="28" s="1"/>
  <c r="AA874" i="28"/>
  <c r="Z874" i="28"/>
  <c r="V874" i="28"/>
  <c r="AA873" i="28"/>
  <c r="Z873" i="28"/>
  <c r="V873" i="28"/>
  <c r="W873" i="28" s="1"/>
  <c r="B873" i="28"/>
  <c r="B874" i="28" s="1"/>
  <c r="B875" i="28" s="1"/>
  <c r="B876" i="28" s="1"/>
  <c r="B877" i="28" s="1"/>
  <c r="B878" i="28" s="1"/>
  <c r="B879" i="28" s="1"/>
  <c r="B880" i="28" s="1"/>
  <c r="B881" i="28" s="1"/>
  <c r="B882" i="28" s="1"/>
  <c r="B883" i="28" s="1"/>
  <c r="B884" i="28" s="1"/>
  <c r="B885" i="28" s="1"/>
  <c r="B886" i="28" s="1"/>
  <c r="B887" i="28" s="1"/>
  <c r="B888" i="28" s="1"/>
  <c r="B889" i="28" s="1"/>
  <c r="B890" i="28" s="1"/>
  <c r="B891" i="28" s="1"/>
  <c r="B892" i="28" s="1"/>
  <c r="B893" i="28" s="1"/>
  <c r="B894" i="28" s="1"/>
  <c r="B895" i="28" s="1"/>
  <c r="B896" i="28" s="1"/>
  <c r="B897" i="28" s="1"/>
  <c r="B898" i="28" s="1"/>
  <c r="B899" i="28" s="1"/>
  <c r="B900" i="28" s="1"/>
  <c r="B901" i="28" s="1"/>
  <c r="B902" i="28" s="1"/>
  <c r="B903" i="28" s="1"/>
  <c r="B904" i="28" s="1"/>
  <c r="B905" i="28" s="1"/>
  <c r="B906" i="28" s="1"/>
  <c r="B907" i="28" s="1"/>
  <c r="B908" i="28" s="1"/>
  <c r="B909" i="28" s="1"/>
  <c r="B910" i="28" s="1"/>
  <c r="AA872" i="28"/>
  <c r="Z872" i="28"/>
  <c r="V872" i="28"/>
  <c r="AA871" i="28"/>
  <c r="Z871" i="28"/>
  <c r="V871" i="28"/>
  <c r="AA870" i="28"/>
  <c r="Z870" i="28"/>
  <c r="V870" i="28"/>
  <c r="W870" i="28" s="1"/>
  <c r="AA869" i="28"/>
  <c r="Z869" i="28"/>
  <c r="V869" i="28"/>
  <c r="AA868" i="28"/>
  <c r="Z868" i="28"/>
  <c r="V868" i="28"/>
  <c r="AA867" i="28"/>
  <c r="Z867" i="28"/>
  <c r="V867" i="28"/>
  <c r="W867" i="28" s="1"/>
  <c r="AA866" i="28"/>
  <c r="Z866" i="28"/>
  <c r="V866" i="28"/>
  <c r="W866" i="28" s="1"/>
  <c r="AA865" i="28"/>
  <c r="Z865" i="28"/>
  <c r="V865" i="28"/>
  <c r="AA864" i="28"/>
  <c r="Z864" i="28"/>
  <c r="V864" i="28"/>
  <c r="W864" i="28" s="1"/>
  <c r="AA863" i="28"/>
  <c r="Z863" i="28"/>
  <c r="V863" i="28"/>
  <c r="AA862" i="28"/>
  <c r="Z862" i="28"/>
  <c r="V862" i="28"/>
  <c r="AA861" i="28"/>
  <c r="Z861" i="28"/>
  <c r="V861" i="28"/>
  <c r="W861" i="28" s="1"/>
  <c r="AA860" i="28"/>
  <c r="Z860" i="28"/>
  <c r="V860" i="28"/>
  <c r="W860" i="28" s="1"/>
  <c r="AA859" i="28"/>
  <c r="Z859" i="28"/>
  <c r="V859" i="28"/>
  <c r="AA858" i="28"/>
  <c r="Z858" i="28"/>
  <c r="V858" i="28"/>
  <c r="W858" i="28" s="1"/>
  <c r="AA857" i="28"/>
  <c r="Z857" i="28"/>
  <c r="V857" i="28"/>
  <c r="AA856" i="28"/>
  <c r="Z856" i="28"/>
  <c r="V856" i="28"/>
  <c r="AA855" i="28"/>
  <c r="Z855" i="28"/>
  <c r="V855" i="28"/>
  <c r="W855" i="28" s="1"/>
  <c r="AA854" i="28"/>
  <c r="Z854" i="28"/>
  <c r="V854" i="28"/>
  <c r="AA853" i="28"/>
  <c r="Z853" i="28"/>
  <c r="V853" i="28"/>
  <c r="W853" i="28" s="1"/>
  <c r="AA852" i="28"/>
  <c r="Z852" i="28"/>
  <c r="V852" i="28"/>
  <c r="AA851" i="28"/>
  <c r="Z851" i="28"/>
  <c r="V851" i="28"/>
  <c r="W851" i="28" s="1"/>
  <c r="Z850" i="28"/>
  <c r="V850" i="28"/>
  <c r="W850" i="28" s="1"/>
  <c r="AA849" i="28"/>
  <c r="Z849" i="28"/>
  <c r="V849" i="28"/>
  <c r="AA848" i="28"/>
  <c r="Z848" i="28"/>
  <c r="V848" i="28"/>
  <c r="W848" i="28" s="1"/>
  <c r="AA847" i="28"/>
  <c r="Z847" i="28"/>
  <c r="V847" i="28"/>
  <c r="AA846" i="28"/>
  <c r="Z846" i="28"/>
  <c r="V846" i="28"/>
  <c r="W846" i="28" s="1"/>
  <c r="AA845" i="28"/>
  <c r="Z845" i="28"/>
  <c r="V845" i="28"/>
  <c r="W845" i="28" s="1"/>
  <c r="AA844" i="28"/>
  <c r="Z844" i="28"/>
  <c r="V844" i="28"/>
  <c r="AA843" i="28"/>
  <c r="Z843" i="28"/>
  <c r="V843" i="28"/>
  <c r="W843" i="28" s="1"/>
  <c r="AA842" i="28"/>
  <c r="Z842" i="28"/>
  <c r="V842" i="28"/>
  <c r="W842" i="28" s="1"/>
  <c r="X842" i="28" s="1"/>
  <c r="Y842" i="28" s="1"/>
  <c r="AC842" i="28" s="1"/>
  <c r="AA841" i="28"/>
  <c r="Z841" i="28"/>
  <c r="V841" i="28"/>
  <c r="W841" i="28" s="1"/>
  <c r="AA840" i="28"/>
  <c r="Z840" i="28"/>
  <c r="V840" i="28"/>
  <c r="W840" i="28" s="1"/>
  <c r="AA839" i="28"/>
  <c r="Z839" i="28"/>
  <c r="V839" i="28"/>
  <c r="W839" i="28" s="1"/>
  <c r="X839" i="28" s="1"/>
  <c r="Y839" i="28" s="1"/>
  <c r="AC839" i="28" s="1"/>
  <c r="AA838" i="28"/>
  <c r="Z838" i="28"/>
  <c r="V838" i="28"/>
  <c r="W838" i="28" s="1"/>
  <c r="X838" i="28" s="1"/>
  <c r="Y838" i="28" s="1"/>
  <c r="AC838" i="28" s="1"/>
  <c r="AA837" i="28"/>
  <c r="Z837" i="28"/>
  <c r="V837" i="28"/>
  <c r="W837" i="28" s="1"/>
  <c r="AA836" i="28"/>
  <c r="Z836" i="28"/>
  <c r="V836" i="28"/>
  <c r="W836" i="28" s="1"/>
  <c r="X836" i="28" s="1"/>
  <c r="Y836" i="28" s="1"/>
  <c r="AC836" i="28" s="1"/>
  <c r="B836" i="28"/>
  <c r="B837" i="28" s="1"/>
  <c r="B838" i="28" s="1"/>
  <c r="B839" i="28" s="1"/>
  <c r="B840" i="28" s="1"/>
  <c r="B841" i="28" s="1"/>
  <c r="B842" i="28" s="1"/>
  <c r="B843" i="28" s="1"/>
  <c r="B844" i="28" s="1"/>
  <c r="B845" i="28" s="1"/>
  <c r="B846" i="28" s="1"/>
  <c r="B847" i="28" s="1"/>
  <c r="B848" i="28" s="1"/>
  <c r="B849" i="28" s="1"/>
  <c r="B850" i="28" s="1"/>
  <c r="B851" i="28" s="1"/>
  <c r="B852" i="28" s="1"/>
  <c r="B853" i="28" s="1"/>
  <c r="B854" i="28" s="1"/>
  <c r="B855" i="28" s="1"/>
  <c r="B856" i="28" s="1"/>
  <c r="B857" i="28" s="1"/>
  <c r="B858" i="28" s="1"/>
  <c r="B859" i="28" s="1"/>
  <c r="B860" i="28" s="1"/>
  <c r="B861" i="28" s="1"/>
  <c r="B862" i="28" s="1"/>
  <c r="B863" i="28" s="1"/>
  <c r="B864" i="28" s="1"/>
  <c r="B865" i="28" s="1"/>
  <c r="B866" i="28" s="1"/>
  <c r="B867" i="28" s="1"/>
  <c r="B868" i="28" s="1"/>
  <c r="B869" i="28" s="1"/>
  <c r="B870" i="28" s="1"/>
  <c r="B871" i="28" s="1"/>
  <c r="AA835" i="28"/>
  <c r="Z835" i="28"/>
  <c r="V835" i="28"/>
  <c r="W835" i="28" s="1"/>
  <c r="X835" i="28" s="1"/>
  <c r="Y835" i="28" s="1"/>
  <c r="AC835" i="28" s="1"/>
  <c r="AA834" i="28"/>
  <c r="Z834" i="28"/>
  <c r="V834" i="28"/>
  <c r="AA833" i="28"/>
  <c r="Z833" i="28"/>
  <c r="V833" i="28"/>
  <c r="W833" i="28" s="1"/>
  <c r="AA832" i="28"/>
  <c r="Z832" i="28"/>
  <c r="V832" i="28"/>
  <c r="W832" i="28" s="1"/>
  <c r="X832" i="28" s="1"/>
  <c r="Y832" i="28" s="1"/>
  <c r="AC832" i="28" s="1"/>
  <c r="AA831" i="28"/>
  <c r="Z831" i="28"/>
  <c r="V831" i="28"/>
  <c r="AA830" i="28"/>
  <c r="Z830" i="28"/>
  <c r="V830" i="28"/>
  <c r="W830" i="28" s="1"/>
  <c r="AA829" i="28"/>
  <c r="Z829" i="28"/>
  <c r="V829" i="28"/>
  <c r="W829" i="28" s="1"/>
  <c r="AA828" i="28"/>
  <c r="Z828" i="28"/>
  <c r="V828" i="28"/>
  <c r="W828" i="28" s="1"/>
  <c r="AA827" i="28"/>
  <c r="Z827" i="28"/>
  <c r="V827" i="28"/>
  <c r="W827" i="28" s="1"/>
  <c r="AA826" i="28"/>
  <c r="Z826" i="28"/>
  <c r="V826" i="28"/>
  <c r="W826" i="28" s="1"/>
  <c r="X826" i="28" s="1"/>
  <c r="Y826" i="28" s="1"/>
  <c r="AC826" i="28" s="1"/>
  <c r="AA825" i="28"/>
  <c r="Z825" i="28"/>
  <c r="V825" i="28"/>
  <c r="W825" i="28" s="1"/>
  <c r="AA824" i="28"/>
  <c r="Z824" i="28"/>
  <c r="V824" i="28"/>
  <c r="W824" i="28" s="1"/>
  <c r="AA823" i="28"/>
  <c r="Z823" i="28"/>
  <c r="V823" i="28"/>
  <c r="W823" i="28" s="1"/>
  <c r="AA822" i="28"/>
  <c r="Z822" i="28"/>
  <c r="V822" i="28"/>
  <c r="AA821" i="28"/>
  <c r="Z821" i="28"/>
  <c r="V821" i="28"/>
  <c r="W821" i="28" s="1"/>
  <c r="AA820" i="28"/>
  <c r="Z820" i="28"/>
  <c r="V820" i="28"/>
  <c r="W820" i="28" s="1"/>
  <c r="X820" i="28" s="1"/>
  <c r="Y820" i="28" s="1"/>
  <c r="AC820" i="28" s="1"/>
  <c r="AA819" i="28"/>
  <c r="Z819" i="28"/>
  <c r="V819" i="28"/>
  <c r="W819" i="28" s="1"/>
  <c r="AA818" i="28"/>
  <c r="Z818" i="28"/>
  <c r="V818" i="28"/>
  <c r="W818" i="28" s="1"/>
  <c r="AA817" i="28"/>
  <c r="Z817" i="28"/>
  <c r="V817" i="28"/>
  <c r="AA816" i="28"/>
  <c r="Z816" i="28"/>
  <c r="V816" i="28"/>
  <c r="W816" i="28" s="1"/>
  <c r="AA815" i="28"/>
  <c r="Z815" i="28"/>
  <c r="V815" i="28"/>
  <c r="AA814" i="28"/>
  <c r="Z814" i="28"/>
  <c r="V814" i="28"/>
  <c r="W814" i="28" s="1"/>
  <c r="X814" i="28" s="1"/>
  <c r="Y814" i="28" s="1"/>
  <c r="AC814" i="28" s="1"/>
  <c r="AA813" i="28"/>
  <c r="Z813" i="28"/>
  <c r="V813" i="28"/>
  <c r="W813" i="28" s="1"/>
  <c r="AA812" i="28"/>
  <c r="Z812" i="28"/>
  <c r="V812" i="28"/>
  <c r="AA811" i="28"/>
  <c r="Z811" i="28"/>
  <c r="V811" i="28"/>
  <c r="W811" i="28" s="1"/>
  <c r="X811" i="28" s="1"/>
  <c r="Y811" i="28" s="1"/>
  <c r="AC811" i="28" s="1"/>
  <c r="AA810" i="28"/>
  <c r="Z810" i="28"/>
  <c r="V810" i="28"/>
  <c r="W810" i="28" s="1"/>
  <c r="AA809" i="28"/>
  <c r="Z809" i="28"/>
  <c r="V809" i="28"/>
  <c r="W809" i="28" s="1"/>
  <c r="X809" i="28" s="1"/>
  <c r="Y809" i="28" s="1"/>
  <c r="AC809" i="28" s="1"/>
  <c r="AA808" i="28"/>
  <c r="Z808" i="28"/>
  <c r="V808" i="28"/>
  <c r="AA807" i="28"/>
  <c r="Z807" i="28"/>
  <c r="V807" i="28"/>
  <c r="W807" i="28" s="1"/>
  <c r="AA806" i="28"/>
  <c r="Z806" i="28"/>
  <c r="V806" i="28"/>
  <c r="W806" i="28" s="1"/>
  <c r="X806" i="28" s="1"/>
  <c r="Y806" i="28" s="1"/>
  <c r="AC806" i="28" s="1"/>
  <c r="AA805" i="28"/>
  <c r="AE805" i="28" s="1"/>
  <c r="Z805" i="28"/>
  <c r="V805" i="28"/>
  <c r="W805" i="28" s="1"/>
  <c r="AA804" i="28"/>
  <c r="AE804" i="28" s="1"/>
  <c r="Z804" i="28"/>
  <c r="V804" i="28"/>
  <c r="W804" i="28" s="1"/>
  <c r="AA803" i="28"/>
  <c r="Z803" i="28"/>
  <c r="V803" i="28"/>
  <c r="AA802" i="28"/>
  <c r="Z802" i="28"/>
  <c r="V802" i="28"/>
  <c r="W802" i="28" s="1"/>
  <c r="AA801" i="28"/>
  <c r="Z801" i="28"/>
  <c r="V801" i="28"/>
  <c r="W801" i="28" s="1"/>
  <c r="X801" i="28" s="1"/>
  <c r="Y801" i="28" s="1"/>
  <c r="AC801" i="28" s="1"/>
  <c r="AA800" i="28"/>
  <c r="Z800" i="28"/>
  <c r="V800" i="28"/>
  <c r="AA799" i="28"/>
  <c r="Z799" i="28"/>
  <c r="V799" i="28"/>
  <c r="AA798" i="28"/>
  <c r="Z798" i="28"/>
  <c r="V798" i="28"/>
  <c r="AA797" i="28"/>
  <c r="Z797" i="28"/>
  <c r="V797" i="28"/>
  <c r="W797" i="28" s="1"/>
  <c r="X797" i="28" s="1"/>
  <c r="Y797" i="28" s="1"/>
  <c r="AC797" i="28" s="1"/>
  <c r="AA796" i="28"/>
  <c r="Z796" i="28"/>
  <c r="V796" i="28"/>
  <c r="AA795" i="28"/>
  <c r="Z795" i="28"/>
  <c r="V795" i="28"/>
  <c r="AA794" i="28"/>
  <c r="Z794" i="28"/>
  <c r="V794" i="28"/>
  <c r="W794" i="28" s="1"/>
  <c r="AA793" i="28"/>
  <c r="Z793" i="28"/>
  <c r="V793" i="28"/>
  <c r="AA792" i="28"/>
  <c r="Z792" i="28"/>
  <c r="V792" i="28"/>
  <c r="W792" i="28" s="1"/>
  <c r="X792" i="28" s="1"/>
  <c r="Y792" i="28" s="1"/>
  <c r="AC792" i="28" s="1"/>
  <c r="AA791" i="28"/>
  <c r="Z791" i="28"/>
  <c r="V791" i="28"/>
  <c r="W791" i="28" s="1"/>
  <c r="AA790" i="28"/>
  <c r="Z790" i="28"/>
  <c r="V790" i="28"/>
  <c r="W790" i="28" s="1"/>
  <c r="AA789" i="28"/>
  <c r="Z789" i="28"/>
  <c r="V789" i="28"/>
  <c r="AA788" i="28"/>
  <c r="Z788" i="28"/>
  <c r="V788" i="28"/>
  <c r="W788" i="28" s="1"/>
  <c r="AA787" i="28"/>
  <c r="Z787" i="28"/>
  <c r="V787" i="28"/>
  <c r="W787" i="28" s="1"/>
  <c r="X787" i="28" s="1"/>
  <c r="Y787" i="28" s="1"/>
  <c r="AC787" i="28" s="1"/>
  <c r="AA786" i="28"/>
  <c r="Z786" i="28"/>
  <c r="V786" i="28"/>
  <c r="W786" i="28" s="1"/>
  <c r="X786" i="28" s="1"/>
  <c r="Y786" i="28" s="1"/>
  <c r="AC786" i="28" s="1"/>
  <c r="AA785" i="28"/>
  <c r="Z785" i="28"/>
  <c r="V785" i="28"/>
  <c r="AA784" i="28"/>
  <c r="Z784" i="28"/>
  <c r="V784" i="28"/>
  <c r="W784" i="28" s="1"/>
  <c r="AA783" i="28"/>
  <c r="Z783" i="28"/>
  <c r="V783" i="28"/>
  <c r="AA782" i="28"/>
  <c r="Z782" i="28"/>
  <c r="V782" i="28"/>
  <c r="W782" i="28" s="1"/>
  <c r="AA781" i="28"/>
  <c r="Z781" i="28"/>
  <c r="V781" i="28"/>
  <c r="AA780" i="28"/>
  <c r="Z780" i="28"/>
  <c r="V780" i="28"/>
  <c r="W780" i="28" s="1"/>
  <c r="X780" i="28" s="1"/>
  <c r="Y780" i="28" s="1"/>
  <c r="AC780" i="28" s="1"/>
  <c r="AA779" i="28"/>
  <c r="Z779" i="28"/>
  <c r="V779" i="28"/>
  <c r="W779" i="28" s="1"/>
  <c r="AA778" i="28"/>
  <c r="Z778" i="28"/>
  <c r="V778" i="28"/>
  <c r="AA777" i="28"/>
  <c r="Z777" i="28"/>
  <c r="V777" i="28"/>
  <c r="W777" i="28" s="1"/>
  <c r="X777" i="28" s="1"/>
  <c r="Y777" i="28" s="1"/>
  <c r="AC777" i="28" s="1"/>
  <c r="AA776" i="28"/>
  <c r="Z776" i="28"/>
  <c r="V776" i="28"/>
  <c r="AA775" i="28"/>
  <c r="Z775" i="28"/>
  <c r="V775" i="28"/>
  <c r="AA774" i="28"/>
  <c r="Z774" i="28"/>
  <c r="V774" i="28"/>
  <c r="AA773" i="28"/>
  <c r="Z773" i="28"/>
  <c r="V773" i="28"/>
  <c r="AA772" i="28"/>
  <c r="AE772" i="28" s="1"/>
  <c r="Z772" i="28"/>
  <c r="V772" i="28"/>
  <c r="AA771" i="28"/>
  <c r="AE771" i="28" s="1"/>
  <c r="Z771" i="28"/>
  <c r="V771" i="28"/>
  <c r="W771" i="28" s="1"/>
  <c r="AA770" i="28"/>
  <c r="Z770" i="28"/>
  <c r="V770" i="28"/>
  <c r="W770" i="28" s="1"/>
  <c r="X770" i="28" s="1"/>
  <c r="Y770" i="28" s="1"/>
  <c r="AC770" i="28" s="1"/>
  <c r="AA769" i="28"/>
  <c r="Z769" i="28"/>
  <c r="V769" i="28"/>
  <c r="W769" i="28" s="1"/>
  <c r="AA768" i="28"/>
  <c r="AE768" i="28" s="1"/>
  <c r="Z768" i="28"/>
  <c r="V768" i="28"/>
  <c r="W768" i="28" s="1"/>
  <c r="X768" i="28" s="1"/>
  <c r="Y768" i="28" s="1"/>
  <c r="AC768" i="28" s="1"/>
  <c r="AA767" i="28"/>
  <c r="AE767" i="28" s="1"/>
  <c r="Z767" i="28"/>
  <c r="V767" i="28"/>
  <c r="W767" i="28" s="1"/>
  <c r="X767" i="28" s="1"/>
  <c r="Y767" i="28" s="1"/>
  <c r="AC767" i="28" s="1"/>
  <c r="AA766" i="28"/>
  <c r="AE766" i="28" s="1"/>
  <c r="Z766" i="28"/>
  <c r="V766" i="28"/>
  <c r="AA765" i="28"/>
  <c r="AE765" i="28" s="1"/>
  <c r="Z765" i="28"/>
  <c r="V765" i="28"/>
  <c r="W765" i="28" s="1"/>
  <c r="X765" i="28" s="1"/>
  <c r="Y765" i="28" s="1"/>
  <c r="AC765" i="28" s="1"/>
  <c r="AA764" i="28"/>
  <c r="Z764" i="28"/>
  <c r="V764" i="28"/>
  <c r="AA763" i="28"/>
  <c r="Z763" i="28"/>
  <c r="V763" i="28"/>
  <c r="W763" i="28" s="1"/>
  <c r="AA762" i="28"/>
  <c r="Z762" i="28"/>
  <c r="V762" i="28"/>
  <c r="W762" i="28" s="1"/>
  <c r="X762" i="28" s="1"/>
  <c r="Y762" i="28" s="1"/>
  <c r="AC762" i="28" s="1"/>
  <c r="AA761" i="28"/>
  <c r="Z761" i="28"/>
  <c r="V761" i="28"/>
  <c r="W761" i="28" s="1"/>
  <c r="AA760" i="28"/>
  <c r="Z760" i="28"/>
  <c r="V760" i="28"/>
  <c r="W760" i="28" s="1"/>
  <c r="AA759" i="28"/>
  <c r="AE759" i="28" s="1"/>
  <c r="Z759" i="28"/>
  <c r="V759" i="28"/>
  <c r="W759" i="28" s="1"/>
  <c r="AA758" i="28"/>
  <c r="Z758" i="28"/>
  <c r="V758" i="28"/>
  <c r="W758" i="28" s="1"/>
  <c r="X758" i="28" s="1"/>
  <c r="Y758" i="28" s="1"/>
  <c r="AC758" i="28" s="1"/>
  <c r="AA757" i="28"/>
  <c r="Z757" i="28"/>
  <c r="V757" i="28"/>
  <c r="W757" i="28" s="1"/>
  <c r="AA756" i="28"/>
  <c r="Z756" i="28"/>
  <c r="V756" i="28"/>
  <c r="W756" i="28" s="1"/>
  <c r="X756" i="28" s="1"/>
  <c r="Y756" i="28" s="1"/>
  <c r="AC756" i="28" s="1"/>
  <c r="AA755" i="28"/>
  <c r="Z755" i="28"/>
  <c r="V755" i="28"/>
  <c r="AA754" i="28"/>
  <c r="Z754" i="28"/>
  <c r="V754" i="28"/>
  <c r="W754" i="28" s="1"/>
  <c r="AA753" i="28"/>
  <c r="AE753" i="28" s="1"/>
  <c r="Z753" i="28"/>
  <c r="V753" i="28"/>
  <c r="AA752" i="28"/>
  <c r="Z752" i="28"/>
  <c r="V752" i="28"/>
  <c r="W752" i="28" s="1"/>
  <c r="X752" i="28" s="1"/>
  <c r="Y752" i="28" s="1"/>
  <c r="AC752" i="28" s="1"/>
  <c r="AA751" i="28"/>
  <c r="Z751" i="28"/>
  <c r="V751" i="28"/>
  <c r="AA750" i="28"/>
  <c r="Z750" i="28"/>
  <c r="V750" i="28"/>
  <c r="AA749" i="28"/>
  <c r="Z749" i="28"/>
  <c r="V749" i="28"/>
  <c r="W749" i="28" s="1"/>
  <c r="AA748" i="28"/>
  <c r="Z748" i="28"/>
  <c r="V748" i="28"/>
  <c r="AA747" i="28"/>
  <c r="Z747" i="28"/>
  <c r="V747" i="28"/>
  <c r="W747" i="28" s="1"/>
  <c r="AA746" i="28"/>
  <c r="Z746" i="28"/>
  <c r="V746" i="28"/>
  <c r="W746" i="28" s="1"/>
  <c r="AA745" i="28"/>
  <c r="Z745" i="28"/>
  <c r="V745" i="28"/>
  <c r="AA744" i="28"/>
  <c r="Z744" i="28"/>
  <c r="V744" i="28"/>
  <c r="W744" i="28" s="1"/>
  <c r="AA743" i="28"/>
  <c r="Z743" i="28"/>
  <c r="V743" i="28"/>
  <c r="AA742" i="28"/>
  <c r="Z742" i="28"/>
  <c r="V742" i="28"/>
  <c r="W742" i="28" s="1"/>
  <c r="AA741" i="28"/>
  <c r="Z741" i="28"/>
  <c r="V741" i="28"/>
  <c r="AA740" i="28"/>
  <c r="Z740" i="28"/>
  <c r="V740" i="28"/>
  <c r="W740" i="28" s="1"/>
  <c r="AA739" i="28"/>
  <c r="Z739" i="28"/>
  <c r="V739" i="28"/>
  <c r="W739" i="28" s="1"/>
  <c r="AA738" i="28"/>
  <c r="Z738" i="28"/>
  <c r="V738" i="28"/>
  <c r="W738" i="28" s="1"/>
  <c r="AA737" i="28"/>
  <c r="Z737" i="28"/>
  <c r="V737" i="28"/>
  <c r="W737" i="28" s="1"/>
  <c r="X737" i="28" s="1"/>
  <c r="Y737" i="28" s="1"/>
  <c r="AC737" i="28" s="1"/>
  <c r="AA736" i="28"/>
  <c r="Z736" i="28"/>
  <c r="V736" i="28"/>
  <c r="W736" i="28" s="1"/>
  <c r="AA735" i="28"/>
  <c r="Z735" i="28"/>
  <c r="V735" i="28"/>
  <c r="W735" i="28" s="1"/>
  <c r="AA734" i="28"/>
  <c r="Z734" i="28"/>
  <c r="V734" i="28"/>
  <c r="W734" i="28" s="1"/>
  <c r="X734" i="28" s="1"/>
  <c r="Y734" i="28" s="1"/>
  <c r="AC734" i="28" s="1"/>
  <c r="AA733" i="28"/>
  <c r="Z733" i="28"/>
  <c r="V733" i="28"/>
  <c r="AA732" i="28"/>
  <c r="Z732" i="28"/>
  <c r="V732" i="28"/>
  <c r="W732" i="28" s="1"/>
  <c r="AA731" i="28"/>
  <c r="Z731" i="28"/>
  <c r="V731" i="28"/>
  <c r="AA730" i="28"/>
  <c r="Z730" i="28"/>
  <c r="V730" i="28"/>
  <c r="AA729" i="28"/>
  <c r="AE729" i="28" s="1"/>
  <c r="Z729" i="28"/>
  <c r="V729" i="28"/>
  <c r="W729" i="28" s="1"/>
  <c r="AA728" i="28"/>
  <c r="AE728" i="28" s="1"/>
  <c r="Z728" i="28"/>
  <c r="V728" i="28"/>
  <c r="W728" i="28" s="1"/>
  <c r="AA727" i="28"/>
  <c r="AE727" i="28" s="1"/>
  <c r="Z727" i="28"/>
  <c r="V727" i="28"/>
  <c r="AA726" i="28"/>
  <c r="Z726" i="28"/>
  <c r="V726" i="28"/>
  <c r="AA725" i="28"/>
  <c r="Z725" i="28"/>
  <c r="V725" i="28"/>
  <c r="AA724" i="28"/>
  <c r="AE724" i="28" s="1"/>
  <c r="Z724" i="28"/>
  <c r="V724" i="28"/>
  <c r="AA723" i="28"/>
  <c r="AE723" i="28" s="1"/>
  <c r="Z723" i="28"/>
  <c r="V723" i="28"/>
  <c r="W723" i="28" s="1"/>
  <c r="AA722" i="28"/>
  <c r="AE722" i="28" s="1"/>
  <c r="Z722" i="28"/>
  <c r="V722" i="28"/>
  <c r="AA721" i="28"/>
  <c r="AE721" i="28" s="1"/>
  <c r="Z721" i="28"/>
  <c r="V721" i="28"/>
  <c r="W721" i="28" s="1"/>
  <c r="AA720" i="28"/>
  <c r="AE720" i="28" s="1"/>
  <c r="Z720" i="28"/>
  <c r="V720" i="28"/>
  <c r="W720" i="28" s="1"/>
  <c r="B720" i="28"/>
  <c r="B721" i="28" s="1"/>
  <c r="B722" i="28" s="1"/>
  <c r="B723" i="28" s="1"/>
  <c r="B724" i="28" s="1"/>
  <c r="B725" i="28" s="1"/>
  <c r="B726" i="28" s="1"/>
  <c r="B727" i="28" s="1"/>
  <c r="B728" i="28" s="1"/>
  <c r="B729" i="28" s="1"/>
  <c r="B730" i="28" s="1"/>
  <c r="B731" i="28" s="1"/>
  <c r="B732" i="28" s="1"/>
  <c r="B733" i="28" s="1"/>
  <c r="B734" i="28" s="1"/>
  <c r="B735" i="28" s="1"/>
  <c r="B736" i="28" s="1"/>
  <c r="B737" i="28" s="1"/>
  <c r="B738" i="28" s="1"/>
  <c r="B739" i="28" s="1"/>
  <c r="B740" i="28" s="1"/>
  <c r="B741" i="28" s="1"/>
  <c r="B742" i="28" s="1"/>
  <c r="B743" i="28" s="1"/>
  <c r="B744" i="28" s="1"/>
  <c r="B745" i="28" s="1"/>
  <c r="B746" i="28" s="1"/>
  <c r="B747" i="28" s="1"/>
  <c r="AA719" i="28"/>
  <c r="Z719" i="28"/>
  <c r="V719" i="28"/>
  <c r="AA718" i="28"/>
  <c r="Z718" i="28"/>
  <c r="V718" i="28"/>
  <c r="AA717" i="28"/>
  <c r="Z717" i="28"/>
  <c r="V717" i="28"/>
  <c r="W717" i="28" s="1"/>
  <c r="AA716" i="28"/>
  <c r="Z716" i="28"/>
  <c r="V716" i="28"/>
  <c r="W716" i="28" s="1"/>
  <c r="AA715" i="28"/>
  <c r="Z715" i="28"/>
  <c r="V715" i="28"/>
  <c r="W715" i="28" s="1"/>
  <c r="AA714" i="28"/>
  <c r="Z714" i="28"/>
  <c r="V714" i="28"/>
  <c r="W714" i="28" s="1"/>
  <c r="AA713" i="28"/>
  <c r="Z713" i="28"/>
  <c r="V713" i="28"/>
  <c r="AA712" i="28"/>
  <c r="Z712" i="28"/>
  <c r="V712" i="28"/>
  <c r="AA711" i="28"/>
  <c r="AE711" i="28" s="1"/>
  <c r="Z711" i="28"/>
  <c r="V711" i="28"/>
  <c r="W711" i="28" s="1"/>
  <c r="AA710" i="28"/>
  <c r="Z710" i="28"/>
  <c r="V710" i="28"/>
  <c r="W710" i="28" s="1"/>
  <c r="AA709" i="28"/>
  <c r="Z709" i="28"/>
  <c r="V709" i="28"/>
  <c r="W709" i="28" s="1"/>
  <c r="X709" i="28" s="1"/>
  <c r="Y709" i="28" s="1"/>
  <c r="AC709" i="28" s="1"/>
  <c r="AA708" i="28"/>
  <c r="Z708" i="28"/>
  <c r="V708" i="28"/>
  <c r="AA707" i="28"/>
  <c r="Z707" i="28"/>
  <c r="V707" i="28"/>
  <c r="W707" i="28" s="1"/>
  <c r="X707" i="28" s="1"/>
  <c r="Y707" i="28" s="1"/>
  <c r="AC707" i="28" s="1"/>
  <c r="AA706" i="28"/>
  <c r="Z706" i="28"/>
  <c r="V706" i="28"/>
  <c r="W706" i="28" s="1"/>
  <c r="X706" i="28" s="1"/>
  <c r="Y706" i="28" s="1"/>
  <c r="AC706" i="28" s="1"/>
  <c r="AA705" i="28"/>
  <c r="Z705" i="28"/>
  <c r="V705" i="28"/>
  <c r="W705" i="28" s="1"/>
  <c r="X705" i="28" s="1"/>
  <c r="Y705" i="28" s="1"/>
  <c r="AC705" i="28" s="1"/>
  <c r="AA704" i="28"/>
  <c r="Z704" i="28"/>
  <c r="V704" i="28"/>
  <c r="W704" i="28" s="1"/>
  <c r="X704" i="28" s="1"/>
  <c r="Y704" i="28" s="1"/>
  <c r="AC704" i="28" s="1"/>
  <c r="AA703" i="28"/>
  <c r="Z703" i="28"/>
  <c r="V703" i="28"/>
  <c r="W703" i="28" s="1"/>
  <c r="X703" i="28" s="1"/>
  <c r="Y703" i="28" s="1"/>
  <c r="AC703" i="28" s="1"/>
  <c r="AA702" i="28"/>
  <c r="Z702" i="28"/>
  <c r="V702" i="28"/>
  <c r="W702" i="28" s="1"/>
  <c r="AA701" i="28"/>
  <c r="Z701" i="28"/>
  <c r="V701" i="28"/>
  <c r="W701" i="28" s="1"/>
  <c r="X701" i="28" s="1"/>
  <c r="Y701" i="28" s="1"/>
  <c r="AC701" i="28" s="1"/>
  <c r="AA700" i="28"/>
  <c r="Z700" i="28"/>
  <c r="V700" i="28"/>
  <c r="W700" i="28" s="1"/>
  <c r="X700" i="28" s="1"/>
  <c r="Y700" i="28" s="1"/>
  <c r="AC700" i="28" s="1"/>
  <c r="AA699" i="28"/>
  <c r="Z699" i="28"/>
  <c r="V699" i="28"/>
  <c r="W699" i="28" s="1"/>
  <c r="X699" i="28" s="1"/>
  <c r="Y699" i="28" s="1"/>
  <c r="AC699" i="28" s="1"/>
  <c r="B699" i="28"/>
  <c r="B700" i="28" s="1"/>
  <c r="B701" i="28" s="1"/>
  <c r="B702" i="28" s="1"/>
  <c r="B703" i="28" s="1"/>
  <c r="B704" i="28" s="1"/>
  <c r="B705" i="28" s="1"/>
  <c r="B706" i="28" s="1"/>
  <c r="B707" i="28" s="1"/>
  <c r="B708" i="28" s="1"/>
  <c r="B709" i="28" s="1"/>
  <c r="B710" i="28" s="1"/>
  <c r="B711" i="28" s="1"/>
  <c r="B712" i="28" s="1"/>
  <c r="B713" i="28" s="1"/>
  <c r="B714" i="28" s="1"/>
  <c r="B715" i="28" s="1"/>
  <c r="B716" i="28" s="1"/>
  <c r="B717" i="28" s="1"/>
  <c r="B718" i="28" s="1"/>
  <c r="AA698" i="28"/>
  <c r="Z698" i="28"/>
  <c r="V698" i="28"/>
  <c r="W698" i="28" s="1"/>
  <c r="X698" i="28" s="1"/>
  <c r="Y698" i="28" s="1"/>
  <c r="AC698" i="28" s="1"/>
  <c r="AA697" i="28"/>
  <c r="Z697" i="28"/>
  <c r="V697" i="28"/>
  <c r="W697" i="28" s="1"/>
  <c r="AA696" i="28"/>
  <c r="Z696" i="28"/>
  <c r="V696" i="28"/>
  <c r="AA695" i="28"/>
  <c r="Z695" i="28"/>
  <c r="V695" i="28"/>
  <c r="W695" i="28" s="1"/>
  <c r="X695" i="28" s="1"/>
  <c r="Y695" i="28" s="1"/>
  <c r="AC695" i="28" s="1"/>
  <c r="AA694" i="28"/>
  <c r="Z694" i="28"/>
  <c r="V694" i="28"/>
  <c r="W694" i="28" s="1"/>
  <c r="X694" i="28" s="1"/>
  <c r="Y694" i="28" s="1"/>
  <c r="AC694" i="28" s="1"/>
  <c r="AA693" i="28"/>
  <c r="Z693" i="28"/>
  <c r="V693" i="28"/>
  <c r="AA692" i="28"/>
  <c r="Z692" i="28"/>
  <c r="V692" i="28"/>
  <c r="W692" i="28" s="1"/>
  <c r="AA691" i="28"/>
  <c r="Z691" i="28"/>
  <c r="V691" i="28"/>
  <c r="AA690" i="28"/>
  <c r="Z690" i="28"/>
  <c r="V690" i="28"/>
  <c r="W690" i="28" s="1"/>
  <c r="X690" i="28" s="1"/>
  <c r="Y690" i="28" s="1"/>
  <c r="AC690" i="28" s="1"/>
  <c r="AA689" i="28"/>
  <c r="Z689" i="28"/>
  <c r="V689" i="28"/>
  <c r="W689" i="28" s="1"/>
  <c r="AA688" i="28"/>
  <c r="Z688" i="28"/>
  <c r="V688" i="28"/>
  <c r="W688" i="28" s="1"/>
  <c r="AA687" i="28"/>
  <c r="Z687" i="28"/>
  <c r="V687" i="28"/>
  <c r="AA686" i="28"/>
  <c r="Z686" i="28"/>
  <c r="V686" i="28"/>
  <c r="W686" i="28" s="1"/>
  <c r="AA685" i="28"/>
  <c r="Z685" i="28"/>
  <c r="V685" i="28"/>
  <c r="W685" i="28" s="1"/>
  <c r="X685" i="28" s="1"/>
  <c r="Y685" i="28" s="1"/>
  <c r="AC685" i="28" s="1"/>
  <c r="AA684" i="28"/>
  <c r="Z684" i="28"/>
  <c r="V684" i="28"/>
  <c r="W684" i="28" s="1"/>
  <c r="X684" i="28" s="1"/>
  <c r="Y684" i="28" s="1"/>
  <c r="AC684" i="28" s="1"/>
  <c r="AA683" i="28"/>
  <c r="Z683" i="28"/>
  <c r="V683" i="28"/>
  <c r="W683" i="28" s="1"/>
  <c r="X683" i="28" s="1"/>
  <c r="Y683" i="28" s="1"/>
  <c r="AC683" i="28" s="1"/>
  <c r="AA682" i="28"/>
  <c r="Z682" i="28"/>
  <c r="V682" i="28"/>
  <c r="AA681" i="28"/>
  <c r="Z681" i="28"/>
  <c r="V681" i="28"/>
  <c r="W681" i="28" s="1"/>
  <c r="X681" i="28" s="1"/>
  <c r="Y681" i="28" s="1"/>
  <c r="AC681" i="28" s="1"/>
  <c r="AA680" i="28"/>
  <c r="Z680" i="28"/>
  <c r="V680" i="28"/>
  <c r="AA679" i="28"/>
  <c r="Z679" i="28"/>
  <c r="V679" i="28"/>
  <c r="AA678" i="28"/>
  <c r="Z678" i="28"/>
  <c r="V678" i="28"/>
  <c r="AA677" i="28"/>
  <c r="Z677" i="28"/>
  <c r="V677" i="28"/>
  <c r="W677" i="28" s="1"/>
  <c r="AA676" i="28"/>
  <c r="Z676" i="28"/>
  <c r="V676" i="28"/>
  <c r="AA675" i="28"/>
  <c r="Z675" i="28"/>
  <c r="V675" i="28"/>
  <c r="W675" i="28" s="1"/>
  <c r="X675" i="28" s="1"/>
  <c r="Y675" i="28" s="1"/>
  <c r="AC675" i="28" s="1"/>
  <c r="AA674" i="28"/>
  <c r="Z674" i="28"/>
  <c r="V674" i="28"/>
  <c r="AA673" i="28"/>
  <c r="Z673" i="28"/>
  <c r="V673" i="28"/>
  <c r="AA672" i="28"/>
  <c r="Z672" i="28"/>
  <c r="V672" i="28"/>
  <c r="W672" i="28" s="1"/>
  <c r="X672" i="28" s="1"/>
  <c r="Y672" i="28" s="1"/>
  <c r="AC672" i="28" s="1"/>
  <c r="AA671" i="28"/>
  <c r="Z671" i="28"/>
  <c r="V671" i="28"/>
  <c r="B671" i="28"/>
  <c r="B672" i="28" s="1"/>
  <c r="B673" i="28" s="1"/>
  <c r="B674" i="28" s="1"/>
  <c r="B675" i="28" s="1"/>
  <c r="B676" i="28" s="1"/>
  <c r="B677" i="28" s="1"/>
  <c r="B678" i="28" s="1"/>
  <c r="B679" i="28" s="1"/>
  <c r="B680" i="28" s="1"/>
  <c r="B681" i="28" s="1"/>
  <c r="B682" i="28" s="1"/>
  <c r="B683" i="28" s="1"/>
  <c r="B684" i="28" s="1"/>
  <c r="B685" i="28" s="1"/>
  <c r="B686" i="28" s="1"/>
  <c r="B687" i="28" s="1"/>
  <c r="B688" i="28" s="1"/>
  <c r="B689" i="28" s="1"/>
  <c r="B690" i="28" s="1"/>
  <c r="B691" i="28" s="1"/>
  <c r="B692" i="28" s="1"/>
  <c r="B693" i="28" s="1"/>
  <c r="B694" i="28" s="1"/>
  <c r="B695" i="28" s="1"/>
  <c r="B696" i="28" s="1"/>
  <c r="B697" i="28" s="1"/>
  <c r="AA670" i="28"/>
  <c r="Z670" i="28"/>
  <c r="V670" i="28"/>
  <c r="W670" i="28" s="1"/>
  <c r="X670" i="28" s="1"/>
  <c r="Y670" i="28" s="1"/>
  <c r="AC670" i="28" s="1"/>
  <c r="AA669" i="28"/>
  <c r="Z669" i="28"/>
  <c r="V669" i="28"/>
  <c r="AA668" i="28"/>
  <c r="Z668" i="28"/>
  <c r="V668" i="28"/>
  <c r="W668" i="28" s="1"/>
  <c r="AA667" i="28"/>
  <c r="Z667" i="28"/>
  <c r="V667" i="28"/>
  <c r="W667" i="28" s="1"/>
  <c r="X667" i="28" s="1"/>
  <c r="Y667" i="28" s="1"/>
  <c r="AC667" i="28" s="1"/>
  <c r="AA666" i="28"/>
  <c r="Z666" i="28"/>
  <c r="V666" i="28"/>
  <c r="W666" i="28" s="1"/>
  <c r="AA665" i="28"/>
  <c r="Z665" i="28"/>
  <c r="V665" i="28"/>
  <c r="AA664" i="28"/>
  <c r="Z664" i="28"/>
  <c r="V664" i="28"/>
  <c r="W664" i="28" s="1"/>
  <c r="AA663" i="28"/>
  <c r="Z663" i="28"/>
  <c r="V663" i="28"/>
  <c r="W663" i="28" s="1"/>
  <c r="X663" i="28" s="1"/>
  <c r="Y663" i="28" s="1"/>
  <c r="AC663" i="28" s="1"/>
  <c r="AA662" i="28"/>
  <c r="Z662" i="28"/>
  <c r="V662" i="28"/>
  <c r="AA661" i="28"/>
  <c r="Z661" i="28"/>
  <c r="V661" i="28"/>
  <c r="W661" i="28" s="1"/>
  <c r="AA660" i="28"/>
  <c r="Z660" i="28"/>
  <c r="V660" i="28"/>
  <c r="W660" i="28" s="1"/>
  <c r="X660" i="28" s="1"/>
  <c r="Y660" i="28" s="1"/>
  <c r="AC660" i="28" s="1"/>
  <c r="AA659" i="28"/>
  <c r="Z659" i="28"/>
  <c r="V659" i="28"/>
  <c r="AA658" i="28"/>
  <c r="Z658" i="28"/>
  <c r="V658" i="28"/>
  <c r="W658" i="28" s="1"/>
  <c r="AA657" i="28"/>
  <c r="Z657" i="28"/>
  <c r="V657" i="28"/>
  <c r="AA656" i="28"/>
  <c r="Z656" i="28"/>
  <c r="V656" i="28"/>
  <c r="AA655" i="28"/>
  <c r="Z655" i="28"/>
  <c r="V655" i="28"/>
  <c r="AA654" i="28"/>
  <c r="Z654" i="28"/>
  <c r="V654" i="28"/>
  <c r="AA653" i="28"/>
  <c r="AE653" i="28" s="1"/>
  <c r="Z653" i="28"/>
  <c r="V653" i="28"/>
  <c r="W653" i="28" s="1"/>
  <c r="X653" i="28" s="1"/>
  <c r="Y653" i="28" s="1"/>
  <c r="AC653" i="28" s="1"/>
  <c r="AA652" i="28"/>
  <c r="Z652" i="28"/>
  <c r="V652" i="28"/>
  <c r="W652" i="28" s="1"/>
  <c r="X652" i="28" s="1"/>
  <c r="Y652" i="28" s="1"/>
  <c r="AC652" i="28" s="1"/>
  <c r="AA651" i="28"/>
  <c r="Z651" i="28"/>
  <c r="V651" i="28"/>
  <c r="AA650" i="28"/>
  <c r="Z650" i="28"/>
  <c r="V650" i="28"/>
  <c r="B650" i="28"/>
  <c r="B651" i="28" s="1"/>
  <c r="B652" i="28" s="1"/>
  <c r="B653" i="28" s="1"/>
  <c r="B654" i="28" s="1"/>
  <c r="B655" i="28" s="1"/>
  <c r="B656" i="28" s="1"/>
  <c r="B657" i="28" s="1"/>
  <c r="B658" i="28" s="1"/>
  <c r="B659" i="28" s="1"/>
  <c r="B660" i="28" s="1"/>
  <c r="B661" i="28" s="1"/>
  <c r="B662" i="28" s="1"/>
  <c r="B663" i="28" s="1"/>
  <c r="B664" i="28" s="1"/>
  <c r="B665" i="28" s="1"/>
  <c r="B666" i="28" s="1"/>
  <c r="B667" i="28" s="1"/>
  <c r="B668" i="28" s="1"/>
  <c r="B669" i="28" s="1"/>
  <c r="AA649" i="28"/>
  <c r="Z649" i="28"/>
  <c r="V649" i="28"/>
  <c r="W649" i="28" s="1"/>
  <c r="X649" i="28" s="1"/>
  <c r="Y649" i="28" s="1"/>
  <c r="AC649" i="28" s="1"/>
  <c r="AA648" i="28"/>
  <c r="Z648" i="28"/>
  <c r="V648" i="28"/>
  <c r="W648" i="28" s="1"/>
  <c r="AA647" i="28"/>
  <c r="Z647" i="28"/>
  <c r="V647" i="28"/>
  <c r="W647" i="28" s="1"/>
  <c r="X647" i="28" s="1"/>
  <c r="Y647" i="28" s="1"/>
  <c r="AC647" i="28" s="1"/>
  <c r="AA646" i="28"/>
  <c r="Z646" i="28"/>
  <c r="V646" i="28"/>
  <c r="AA645" i="28"/>
  <c r="Z645" i="28"/>
  <c r="V645" i="28"/>
  <c r="AA644" i="28"/>
  <c r="Z644" i="28"/>
  <c r="V644" i="28"/>
  <c r="AA643" i="28"/>
  <c r="Z643" i="28"/>
  <c r="V643" i="28"/>
  <c r="W643" i="28" s="1"/>
  <c r="AA642" i="28"/>
  <c r="Z642" i="28"/>
  <c r="V642" i="28"/>
  <c r="W642" i="28" s="1"/>
  <c r="AA641" i="28"/>
  <c r="Z641" i="28"/>
  <c r="V641" i="28"/>
  <c r="W641" i="28" s="1"/>
  <c r="AA640" i="28"/>
  <c r="Z640" i="28"/>
  <c r="V640" i="28"/>
  <c r="W640" i="28" s="1"/>
  <c r="AA639" i="28"/>
  <c r="Z639" i="28"/>
  <c r="V639" i="28"/>
  <c r="W639" i="28" s="1"/>
  <c r="X639" i="28" s="1"/>
  <c r="Y639" i="28" s="1"/>
  <c r="AC639" i="28" s="1"/>
  <c r="AA638" i="28"/>
  <c r="Z638" i="28"/>
  <c r="V638" i="28"/>
  <c r="W638" i="28" s="1"/>
  <c r="AA637" i="28"/>
  <c r="Z637" i="28"/>
  <c r="V637" i="28"/>
  <c r="AA636" i="28"/>
  <c r="Z636" i="28"/>
  <c r="V636" i="28"/>
  <c r="W636" i="28" s="1"/>
  <c r="AA635" i="28"/>
  <c r="Z635" i="28"/>
  <c r="V635" i="28"/>
  <c r="W635" i="28" s="1"/>
  <c r="X635" i="28" s="1"/>
  <c r="Y635" i="28" s="1"/>
  <c r="AC635" i="28" s="1"/>
  <c r="AA634" i="28"/>
  <c r="Z634" i="28"/>
  <c r="V634" i="28"/>
  <c r="W634" i="28" s="1"/>
  <c r="AA633" i="28"/>
  <c r="Z633" i="28"/>
  <c r="V633" i="28"/>
  <c r="W633" i="28" s="1"/>
  <c r="X633" i="28" s="1"/>
  <c r="Y633" i="28" s="1"/>
  <c r="AC633" i="28" s="1"/>
  <c r="AA632" i="28"/>
  <c r="Z632" i="28"/>
  <c r="V632" i="28"/>
  <c r="AA631" i="28"/>
  <c r="Z631" i="28"/>
  <c r="V631" i="28"/>
  <c r="W631" i="28" s="1"/>
  <c r="AA630" i="28"/>
  <c r="Z630" i="28"/>
  <c r="V630" i="28"/>
  <c r="AA629" i="28"/>
  <c r="Z629" i="28"/>
  <c r="V629" i="28"/>
  <c r="W629" i="28" s="1"/>
  <c r="AA628" i="28"/>
  <c r="Z628" i="28"/>
  <c r="V628" i="28"/>
  <c r="W628" i="28" s="1"/>
  <c r="AA627" i="28"/>
  <c r="Z627" i="28"/>
  <c r="V627" i="28"/>
  <c r="W627" i="28" s="1"/>
  <c r="AA626" i="28"/>
  <c r="Z626" i="28"/>
  <c r="V626" i="28"/>
  <c r="W626" i="28" s="1"/>
  <c r="AA625" i="28"/>
  <c r="Z625" i="28"/>
  <c r="V625" i="28"/>
  <c r="AA624" i="28"/>
  <c r="Z624" i="28"/>
  <c r="V624" i="28"/>
  <c r="W624" i="28" s="1"/>
  <c r="AA623" i="28"/>
  <c r="Z623" i="28"/>
  <c r="V623" i="28"/>
  <c r="AA622" i="28"/>
  <c r="Z622" i="28"/>
  <c r="V622" i="28"/>
  <c r="W622" i="28" s="1"/>
  <c r="AA621" i="28"/>
  <c r="Z621" i="28"/>
  <c r="V621" i="28"/>
  <c r="W621" i="28" s="1"/>
  <c r="AA620" i="28"/>
  <c r="Z620" i="28"/>
  <c r="V620" i="28"/>
  <c r="W620" i="28" s="1"/>
  <c r="B620" i="28"/>
  <c r="B621" i="28" s="1"/>
  <c r="B622" i="28" s="1"/>
  <c r="B623" i="28" s="1"/>
  <c r="B624" i="28" s="1"/>
  <c r="B625" i="28" s="1"/>
  <c r="B626" i="28" s="1"/>
  <c r="B627" i="28" s="1"/>
  <c r="B628" i="28" s="1"/>
  <c r="B629" i="28" s="1"/>
  <c r="B630" i="28" s="1"/>
  <c r="B631" i="28" s="1"/>
  <c r="B632" i="28" s="1"/>
  <c r="B633" i="28" s="1"/>
  <c r="B634" i="28" s="1"/>
  <c r="B635" i="28" s="1"/>
  <c r="B636" i="28" s="1"/>
  <c r="B637" i="28" s="1"/>
  <c r="B638" i="28" s="1"/>
  <c r="B639" i="28" s="1"/>
  <c r="B640" i="28" s="1"/>
  <c r="B641" i="28" s="1"/>
  <c r="B642" i="28" s="1"/>
  <c r="B643" i="28" s="1"/>
  <c r="B644" i="28" s="1"/>
  <c r="B645" i="28" s="1"/>
  <c r="B646" i="28" s="1"/>
  <c r="B647" i="28" s="1"/>
  <c r="B648" i="28" s="1"/>
  <c r="AA619" i="28"/>
  <c r="Z619" i="28"/>
  <c r="V619" i="28"/>
  <c r="W619" i="28" s="1"/>
  <c r="AA618" i="28"/>
  <c r="Z618" i="28"/>
  <c r="V618" i="28"/>
  <c r="AA617" i="28"/>
  <c r="Z617" i="28"/>
  <c r="V617" i="28"/>
  <c r="AA616" i="28"/>
  <c r="Z616" i="28"/>
  <c r="V616" i="28"/>
  <c r="AA615" i="28"/>
  <c r="Z615" i="28"/>
  <c r="V615" i="28"/>
  <c r="W615" i="28" s="1"/>
  <c r="AA614" i="28"/>
  <c r="Z614" i="28"/>
  <c r="V614" i="28"/>
  <c r="AA613" i="28"/>
  <c r="Z613" i="28"/>
  <c r="V613" i="28"/>
  <c r="AA612" i="28"/>
  <c r="Z612" i="28"/>
  <c r="V612" i="28"/>
  <c r="AA611" i="28"/>
  <c r="Z611" i="28"/>
  <c r="V611" i="28"/>
  <c r="W611" i="28" s="1"/>
  <c r="AA610" i="28"/>
  <c r="Z610" i="28"/>
  <c r="V610" i="28"/>
  <c r="AA609" i="28"/>
  <c r="Z609" i="28"/>
  <c r="V609" i="28"/>
  <c r="W609" i="28" s="1"/>
  <c r="AA608" i="28"/>
  <c r="Z608" i="28"/>
  <c r="V608" i="28"/>
  <c r="AA607" i="28"/>
  <c r="Z607" i="28"/>
  <c r="V607" i="28"/>
  <c r="W607" i="28" s="1"/>
  <c r="AA606" i="28"/>
  <c r="Z606" i="28"/>
  <c r="V606" i="28"/>
  <c r="W606" i="28" s="1"/>
  <c r="AA605" i="28"/>
  <c r="Z605" i="28"/>
  <c r="V605" i="28"/>
  <c r="W605" i="28" s="1"/>
  <c r="AA604" i="28"/>
  <c r="Z604" i="28"/>
  <c r="V604" i="28"/>
  <c r="W604" i="28" s="1"/>
  <c r="AA603" i="28"/>
  <c r="Z603" i="28"/>
  <c r="V603" i="28"/>
  <c r="AA602" i="28"/>
  <c r="Z602" i="28"/>
  <c r="V602" i="28"/>
  <c r="AA601" i="28"/>
  <c r="Z601" i="28"/>
  <c r="V601" i="28"/>
  <c r="W601" i="28" s="1"/>
  <c r="AA600" i="28"/>
  <c r="Z600" i="28"/>
  <c r="V600" i="28"/>
  <c r="AA599" i="28"/>
  <c r="Z599" i="28"/>
  <c r="V599" i="28"/>
  <c r="W599" i="28" s="1"/>
  <c r="AA598" i="28"/>
  <c r="Z598" i="28"/>
  <c r="V598" i="28"/>
  <c r="AA597" i="28"/>
  <c r="Z597" i="28"/>
  <c r="V597" i="28"/>
  <c r="W597" i="28" s="1"/>
  <c r="B597" i="28"/>
  <c r="B598" i="28" s="1"/>
  <c r="B599" i="28" s="1"/>
  <c r="B600" i="28" s="1"/>
  <c r="B601" i="28" s="1"/>
  <c r="B602" i="28" s="1"/>
  <c r="B603" i="28" s="1"/>
  <c r="B604" i="28" s="1"/>
  <c r="B605" i="28" s="1"/>
  <c r="B606" i="28" s="1"/>
  <c r="B607" i="28" s="1"/>
  <c r="B608" i="28" s="1"/>
  <c r="B609" i="28" s="1"/>
  <c r="B610" i="28" s="1"/>
  <c r="B611" i="28" s="1"/>
  <c r="B612" i="28" s="1"/>
  <c r="B613" i="28" s="1"/>
  <c r="B614" i="28" s="1"/>
  <c r="B615" i="28" s="1"/>
  <c r="B616" i="28" s="1"/>
  <c r="B617" i="28" s="1"/>
  <c r="B618" i="28" s="1"/>
  <c r="AA596" i="28"/>
  <c r="Z596" i="28"/>
  <c r="V596" i="28"/>
  <c r="W596" i="28" s="1"/>
  <c r="AA595" i="28"/>
  <c r="Z595" i="28"/>
  <c r="V595" i="28"/>
  <c r="W595" i="28" s="1"/>
  <c r="AA594" i="28"/>
  <c r="Z594" i="28"/>
  <c r="V594" i="28"/>
  <c r="AA593" i="28"/>
  <c r="Z593" i="28"/>
  <c r="V593" i="28"/>
  <c r="W593" i="28" s="1"/>
  <c r="AA592" i="28"/>
  <c r="Z592" i="28"/>
  <c r="V592" i="28"/>
  <c r="AA591" i="28"/>
  <c r="Z591" i="28"/>
  <c r="V591" i="28"/>
  <c r="W591" i="28" s="1"/>
  <c r="AA590" i="28"/>
  <c r="Z590" i="28"/>
  <c r="V590" i="28"/>
  <c r="W590" i="28" s="1"/>
  <c r="AA589" i="28"/>
  <c r="Z589" i="28"/>
  <c r="V589" i="28"/>
  <c r="AA588" i="28"/>
  <c r="Z588" i="28"/>
  <c r="V588" i="28"/>
  <c r="W588" i="28" s="1"/>
  <c r="AA587" i="28"/>
  <c r="Z587" i="28"/>
  <c r="V587" i="28"/>
  <c r="AA586" i="28"/>
  <c r="Z586" i="28"/>
  <c r="V586" i="28"/>
  <c r="AA585" i="28"/>
  <c r="Z585" i="28"/>
  <c r="V585" i="28"/>
  <c r="W585" i="28" s="1"/>
  <c r="AA584" i="28"/>
  <c r="Z584" i="28"/>
  <c r="V584" i="28"/>
  <c r="AA583" i="28"/>
  <c r="Z583" i="28"/>
  <c r="V583" i="28"/>
  <c r="AA582" i="28"/>
  <c r="Z582" i="28"/>
  <c r="V582" i="28"/>
  <c r="W582" i="28" s="1"/>
  <c r="AA581" i="28"/>
  <c r="Z581" i="28"/>
  <c r="V581" i="28"/>
  <c r="AA580" i="28"/>
  <c r="Z580" i="28"/>
  <c r="V580" i="28"/>
  <c r="W580" i="28" s="1"/>
  <c r="AA579" i="28"/>
  <c r="Z579" i="28"/>
  <c r="V579" i="28"/>
  <c r="W579" i="28" s="1"/>
  <c r="AA578" i="28"/>
  <c r="Z578" i="28"/>
  <c r="V578" i="28"/>
  <c r="AA577" i="28"/>
  <c r="Z577" i="28"/>
  <c r="V577" i="28"/>
  <c r="B577" i="28"/>
  <c r="B578" i="28" s="1"/>
  <c r="B579" i="28" s="1"/>
  <c r="B580" i="28" s="1"/>
  <c r="B581" i="28" s="1"/>
  <c r="B582" i="28" s="1"/>
  <c r="B583" i="28" s="1"/>
  <c r="B584" i="28" s="1"/>
  <c r="B585" i="28" s="1"/>
  <c r="B586" i="28" s="1"/>
  <c r="B587" i="28" s="1"/>
  <c r="B588" i="28" s="1"/>
  <c r="B589" i="28" s="1"/>
  <c r="B590" i="28" s="1"/>
  <c r="B591" i="28" s="1"/>
  <c r="B592" i="28" s="1"/>
  <c r="B593" i="28" s="1"/>
  <c r="B594" i="28" s="1"/>
  <c r="B595" i="28" s="1"/>
  <c r="AA576" i="28"/>
  <c r="Z576" i="28"/>
  <c r="V576" i="28"/>
  <c r="AA575" i="28"/>
  <c r="Z575" i="28"/>
  <c r="V575" i="28"/>
  <c r="AA574" i="28"/>
  <c r="Z574" i="28"/>
  <c r="V574" i="28"/>
  <c r="W574" i="28" s="1"/>
  <c r="X574" i="28" s="1"/>
  <c r="Y574" i="28" s="1"/>
  <c r="AC574" i="28" s="1"/>
  <c r="AA573" i="28"/>
  <c r="Z573" i="28"/>
  <c r="V573" i="28"/>
  <c r="W573" i="28" s="1"/>
  <c r="X573" i="28" s="1"/>
  <c r="Y573" i="28" s="1"/>
  <c r="AC573" i="28" s="1"/>
  <c r="AA572" i="28"/>
  <c r="Z572" i="28"/>
  <c r="V572" i="28"/>
  <c r="W572" i="28" s="1"/>
  <c r="X572" i="28" s="1"/>
  <c r="Y572" i="28" s="1"/>
  <c r="AC572" i="28" s="1"/>
  <c r="AA571" i="28"/>
  <c r="Z571" i="28"/>
  <c r="V571" i="28"/>
  <c r="W571" i="28" s="1"/>
  <c r="X571" i="28" s="1"/>
  <c r="Y571" i="28" s="1"/>
  <c r="AC571" i="28" s="1"/>
  <c r="AA570" i="28"/>
  <c r="Z570" i="28"/>
  <c r="V570" i="28"/>
  <c r="W570" i="28" s="1"/>
  <c r="X570" i="28" s="1"/>
  <c r="Y570" i="28" s="1"/>
  <c r="AC570" i="28" s="1"/>
  <c r="AA569" i="28"/>
  <c r="Z569" i="28"/>
  <c r="V569" i="28"/>
  <c r="W569" i="28" s="1"/>
  <c r="AA568" i="28"/>
  <c r="Z568" i="28"/>
  <c r="V568" i="28"/>
  <c r="AA567" i="28"/>
  <c r="Z567" i="28"/>
  <c r="V567" i="28"/>
  <c r="W567" i="28" s="1"/>
  <c r="X567" i="28" s="1"/>
  <c r="Y567" i="28" s="1"/>
  <c r="AC567" i="28" s="1"/>
  <c r="AA566" i="28"/>
  <c r="Z566" i="28"/>
  <c r="V566" i="28"/>
  <c r="W566" i="28" s="1"/>
  <c r="X566" i="28" s="1"/>
  <c r="Y566" i="28" s="1"/>
  <c r="AC566" i="28" s="1"/>
  <c r="AA565" i="28"/>
  <c r="Z565" i="28"/>
  <c r="V565" i="28"/>
  <c r="W565" i="28" s="1"/>
  <c r="X565" i="28" s="1"/>
  <c r="Y565" i="28" s="1"/>
  <c r="AC565" i="28" s="1"/>
  <c r="AA564" i="28"/>
  <c r="Z564" i="28"/>
  <c r="V564" i="28"/>
  <c r="AA563" i="28"/>
  <c r="Z563" i="28"/>
  <c r="V563" i="28"/>
  <c r="W563" i="28" s="1"/>
  <c r="X563" i="28" s="1"/>
  <c r="Y563" i="28" s="1"/>
  <c r="AC563" i="28" s="1"/>
  <c r="Q562" i="28"/>
  <c r="V562" i="28" s="1"/>
  <c r="P562" i="28"/>
  <c r="AA562" i="28" s="1"/>
  <c r="Q561" i="28"/>
  <c r="P561" i="28"/>
  <c r="AA561" i="28" s="1"/>
  <c r="AA560" i="28"/>
  <c r="Z560" i="28"/>
  <c r="V560" i="28"/>
  <c r="AA559" i="28"/>
  <c r="Z559" i="28"/>
  <c r="V559" i="28"/>
  <c r="W559" i="28" s="1"/>
  <c r="X559" i="28" s="1"/>
  <c r="Y559" i="28" s="1"/>
  <c r="AC559" i="28" s="1"/>
  <c r="AA558" i="28"/>
  <c r="Z558" i="28"/>
  <c r="V558" i="28"/>
  <c r="W558" i="28" s="1"/>
  <c r="AA557" i="28"/>
  <c r="Z557" i="28"/>
  <c r="V557" i="28"/>
  <c r="W557" i="28" s="1"/>
  <c r="AA556" i="28"/>
  <c r="Z556" i="28"/>
  <c r="V556" i="28"/>
  <c r="AA555" i="28"/>
  <c r="Z555" i="28"/>
  <c r="V555" i="28"/>
  <c r="W555" i="28" s="1"/>
  <c r="X555" i="28" s="1"/>
  <c r="Y555" i="28" s="1"/>
  <c r="AC555" i="28" s="1"/>
  <c r="AA554" i="28"/>
  <c r="Z554" i="28"/>
  <c r="V554" i="28"/>
  <c r="W554" i="28" s="1"/>
  <c r="AA553" i="28"/>
  <c r="Z553" i="28"/>
  <c r="V553" i="28"/>
  <c r="W553" i="28" s="1"/>
  <c r="AA552" i="28"/>
  <c r="Z552" i="28"/>
  <c r="V552" i="28"/>
  <c r="AA551" i="28"/>
  <c r="Z551" i="28"/>
  <c r="V551" i="28"/>
  <c r="W551" i="28" s="1"/>
  <c r="X551" i="28" s="1"/>
  <c r="Y551" i="28" s="1"/>
  <c r="AC551" i="28" s="1"/>
  <c r="AA550" i="28"/>
  <c r="Z550" i="28"/>
  <c r="V550" i="28"/>
  <c r="B550" i="28"/>
  <c r="B551" i="28" s="1"/>
  <c r="B552" i="28" s="1"/>
  <c r="B553" i="28" s="1"/>
  <c r="B554" i="28" s="1"/>
  <c r="B555" i="28" s="1"/>
  <c r="B556" i="28" s="1"/>
  <c r="B557" i="28" s="1"/>
  <c r="B558" i="28" s="1"/>
  <c r="B559" i="28" s="1"/>
  <c r="B560" i="28" s="1"/>
  <c r="B561" i="28" s="1"/>
  <c r="B562" i="28" s="1"/>
  <c r="B563" i="28" s="1"/>
  <c r="B564" i="28" s="1"/>
  <c r="B565" i="28" s="1"/>
  <c r="B566" i="28" s="1"/>
  <c r="B567" i="28" s="1"/>
  <c r="B568" i="28" s="1"/>
  <c r="B569" i="28" s="1"/>
  <c r="B570" i="28" s="1"/>
  <c r="B571" i="28" s="1"/>
  <c r="B572" i="28" s="1"/>
  <c r="B573" i="28" s="1"/>
  <c r="B574" i="28" s="1"/>
  <c r="B575" i="28" s="1"/>
  <c r="AA549" i="28"/>
  <c r="Z549" i="28"/>
  <c r="V549" i="28"/>
  <c r="AA548" i="28"/>
  <c r="Z548" i="28"/>
  <c r="V548" i="28"/>
  <c r="AA547" i="28"/>
  <c r="Z547" i="28"/>
  <c r="V547" i="28"/>
  <c r="W547" i="28" s="1"/>
  <c r="AA546" i="28"/>
  <c r="Z546" i="28"/>
  <c r="V546" i="28"/>
  <c r="W546" i="28" s="1"/>
  <c r="AA545" i="28"/>
  <c r="Z545" i="28"/>
  <c r="V545" i="28"/>
  <c r="W545" i="28" s="1"/>
  <c r="X545" i="28" s="1"/>
  <c r="Y545" i="28" s="1"/>
  <c r="AC545" i="28" s="1"/>
  <c r="AA544" i="28"/>
  <c r="Z544" i="28"/>
  <c r="V544" i="28"/>
  <c r="AA543" i="28"/>
  <c r="Z543" i="28"/>
  <c r="V543" i="28"/>
  <c r="W543" i="28" s="1"/>
  <c r="AA542" i="28"/>
  <c r="Z542" i="28"/>
  <c r="V542" i="28"/>
  <c r="W542" i="28" s="1"/>
  <c r="AA541" i="28"/>
  <c r="Z541" i="28"/>
  <c r="V541" i="28"/>
  <c r="W541" i="28" s="1"/>
  <c r="AA540" i="28"/>
  <c r="Z540" i="28"/>
  <c r="V540" i="28"/>
  <c r="W540" i="28" s="1"/>
  <c r="AA539" i="28"/>
  <c r="Z539" i="28"/>
  <c r="V539" i="28"/>
  <c r="W539" i="28" s="1"/>
  <c r="X539" i="28" s="1"/>
  <c r="Y539" i="28" s="1"/>
  <c r="AC539" i="28" s="1"/>
  <c r="AA538" i="28"/>
  <c r="Z538" i="28"/>
  <c r="V538" i="28"/>
  <c r="W538" i="28" s="1"/>
  <c r="AA537" i="28"/>
  <c r="Z537" i="28"/>
  <c r="V537" i="28"/>
  <c r="AA536" i="28"/>
  <c r="Z536" i="28"/>
  <c r="V536" i="28"/>
  <c r="AA535" i="28"/>
  <c r="Z535" i="28"/>
  <c r="V535" i="28"/>
  <c r="W535" i="28" s="1"/>
  <c r="AA534" i="28"/>
  <c r="Z534" i="28"/>
  <c r="V534" i="28"/>
  <c r="W534" i="28" s="1"/>
  <c r="AA533" i="28"/>
  <c r="Z533" i="28"/>
  <c r="V533" i="28"/>
  <c r="B533" i="28"/>
  <c r="B534" i="28" s="1"/>
  <c r="B535" i="28" s="1"/>
  <c r="B536" i="28" s="1"/>
  <c r="B537" i="28" s="1"/>
  <c r="B538" i="28" s="1"/>
  <c r="B539" i="28" s="1"/>
  <c r="B540" i="28" s="1"/>
  <c r="B541" i="28" s="1"/>
  <c r="B542" i="28" s="1"/>
  <c r="B543" i="28" s="1"/>
  <c r="B544" i="28" s="1"/>
  <c r="B545" i="28" s="1"/>
  <c r="B546" i="28" s="1"/>
  <c r="B547" i="28" s="1"/>
  <c r="B548" i="28" s="1"/>
  <c r="AA532" i="28"/>
  <c r="Z532" i="28"/>
  <c r="V532" i="28"/>
  <c r="W532" i="28" s="1"/>
  <c r="AA531" i="28"/>
  <c r="Z531" i="28"/>
  <c r="V531" i="28"/>
  <c r="W531" i="28" s="1"/>
  <c r="AA530" i="28"/>
  <c r="Z530" i="28"/>
  <c r="V530" i="28"/>
  <c r="AA529" i="28"/>
  <c r="Z529" i="28"/>
  <c r="V529" i="28"/>
  <c r="W529" i="28" s="1"/>
  <c r="AA528" i="28"/>
  <c r="Z528" i="28"/>
  <c r="V528" i="28"/>
  <c r="AA527" i="28"/>
  <c r="Z527" i="28"/>
  <c r="V527" i="28"/>
  <c r="W527" i="28" s="1"/>
  <c r="AA526" i="28"/>
  <c r="Z526" i="28"/>
  <c r="V526" i="28"/>
  <c r="AA525" i="28"/>
  <c r="Z525" i="28"/>
  <c r="V525" i="28"/>
  <c r="W525" i="28" s="1"/>
  <c r="AA524" i="28"/>
  <c r="Z524" i="28"/>
  <c r="V524" i="28"/>
  <c r="AA523" i="28"/>
  <c r="Z523" i="28"/>
  <c r="V523" i="28"/>
  <c r="W523" i="28" s="1"/>
  <c r="AA522" i="28"/>
  <c r="Z522" i="28"/>
  <c r="V522" i="28"/>
  <c r="W522" i="28" s="1"/>
  <c r="AA521" i="28"/>
  <c r="Z521" i="28"/>
  <c r="V521" i="28"/>
  <c r="AA520" i="28"/>
  <c r="Z520" i="28"/>
  <c r="V520" i="28"/>
  <c r="AA519" i="28"/>
  <c r="Z519" i="28"/>
  <c r="V519" i="28"/>
  <c r="W519" i="28" s="1"/>
  <c r="AA518" i="28"/>
  <c r="Z518" i="28"/>
  <c r="V518" i="28"/>
  <c r="AA517" i="28"/>
  <c r="Z517" i="28"/>
  <c r="V517" i="28"/>
  <c r="W517" i="28" s="1"/>
  <c r="AA516" i="28"/>
  <c r="Z516" i="28"/>
  <c r="V516" i="28"/>
  <c r="AA515" i="28"/>
  <c r="Z515" i="28"/>
  <c r="V515" i="28"/>
  <c r="AA514" i="28"/>
  <c r="Z514" i="28"/>
  <c r="V514" i="28"/>
  <c r="AA513" i="28"/>
  <c r="Z513" i="28"/>
  <c r="V513" i="28"/>
  <c r="W513" i="28" s="1"/>
  <c r="B513" i="28"/>
  <c r="B514" i="28" s="1"/>
  <c r="B515" i="28" s="1"/>
  <c r="B516" i="28" s="1"/>
  <c r="B517" i="28" s="1"/>
  <c r="B518" i="28" s="1"/>
  <c r="B519" i="28" s="1"/>
  <c r="B520" i="28" s="1"/>
  <c r="B521" i="28" s="1"/>
  <c r="B522" i="28" s="1"/>
  <c r="B523" i="28" s="1"/>
  <c r="B524" i="28" s="1"/>
  <c r="B525" i="28" s="1"/>
  <c r="B526" i="28" s="1"/>
  <c r="B527" i="28" s="1"/>
  <c r="B528" i="28" s="1"/>
  <c r="B529" i="28" s="1"/>
  <c r="B530" i="28" s="1"/>
  <c r="B531" i="28" s="1"/>
  <c r="AA512" i="28"/>
  <c r="Z512" i="28"/>
  <c r="V512" i="28"/>
  <c r="AA511" i="28"/>
  <c r="Z511" i="28"/>
  <c r="V511" i="28"/>
  <c r="W511" i="28" s="1"/>
  <c r="AA510" i="28"/>
  <c r="Z510" i="28"/>
  <c r="V510" i="28"/>
  <c r="W510" i="28" s="1"/>
  <c r="AA509" i="28"/>
  <c r="Z509" i="28"/>
  <c r="V509" i="28"/>
  <c r="AA508" i="28"/>
  <c r="Z508" i="28"/>
  <c r="V508" i="28"/>
  <c r="W508" i="28" s="1"/>
  <c r="AA507" i="28"/>
  <c r="Z507" i="28"/>
  <c r="V507" i="28"/>
  <c r="W507" i="28" s="1"/>
  <c r="AA506" i="28"/>
  <c r="Z506" i="28"/>
  <c r="V506" i="28"/>
  <c r="W506" i="28" s="1"/>
  <c r="AA505" i="28"/>
  <c r="Z505" i="28"/>
  <c r="V505" i="28"/>
  <c r="AA504" i="28"/>
  <c r="Z504" i="28"/>
  <c r="V504" i="28"/>
  <c r="AA503" i="28"/>
  <c r="Z503" i="28"/>
  <c r="V503" i="28"/>
  <c r="AA502" i="28"/>
  <c r="Z502" i="28"/>
  <c r="V502" i="28"/>
  <c r="AA501" i="28"/>
  <c r="Z501" i="28"/>
  <c r="V501" i="28"/>
  <c r="AA500" i="28"/>
  <c r="Z500" i="28"/>
  <c r="V500" i="28"/>
  <c r="W500" i="28" s="1"/>
  <c r="AA499" i="28"/>
  <c r="Z499" i="28"/>
  <c r="V499" i="28"/>
  <c r="W499" i="28" s="1"/>
  <c r="AA498" i="28"/>
  <c r="Z498" i="28"/>
  <c r="V498" i="28"/>
  <c r="W498" i="28" s="1"/>
  <c r="AA497" i="28"/>
  <c r="Z497" i="28"/>
  <c r="V497" i="28"/>
  <c r="AA496" i="28"/>
  <c r="Z496" i="28"/>
  <c r="V496" i="28"/>
  <c r="W496" i="28" s="1"/>
  <c r="AA495" i="28"/>
  <c r="Z495" i="28"/>
  <c r="V495" i="28"/>
  <c r="W495" i="28" s="1"/>
  <c r="AA494" i="28"/>
  <c r="Z494" i="28"/>
  <c r="V494" i="28"/>
  <c r="W494" i="28" s="1"/>
  <c r="AA493" i="28"/>
  <c r="Z493" i="28"/>
  <c r="V493" i="28"/>
  <c r="AA492" i="28"/>
  <c r="Z492" i="28"/>
  <c r="V492" i="28"/>
  <c r="W492" i="28" s="1"/>
  <c r="B492" i="28"/>
  <c r="B493" i="28" s="1"/>
  <c r="B494" i="28" s="1"/>
  <c r="B495" i="28" s="1"/>
  <c r="B496" i="28" s="1"/>
  <c r="B497" i="28" s="1"/>
  <c r="B498" i="28" s="1"/>
  <c r="B499" i="28" s="1"/>
  <c r="B500" i="28" s="1"/>
  <c r="B501" i="28" s="1"/>
  <c r="B502" i="28" s="1"/>
  <c r="B503" i="28" s="1"/>
  <c r="B504" i="28" s="1"/>
  <c r="B505" i="28" s="1"/>
  <c r="B506" i="28" s="1"/>
  <c r="B507" i="28" s="1"/>
  <c r="B508" i="28" s="1"/>
  <c r="B509" i="28" s="1"/>
  <c r="B510" i="28" s="1"/>
  <c r="B511" i="28" s="1"/>
  <c r="AA491" i="28"/>
  <c r="Z491" i="28"/>
  <c r="V491" i="28"/>
  <c r="AA490" i="28"/>
  <c r="Z490" i="28"/>
  <c r="V490" i="28"/>
  <c r="W490" i="28" s="1"/>
  <c r="X490" i="28" s="1"/>
  <c r="Y490" i="28" s="1"/>
  <c r="AC490" i="28" s="1"/>
  <c r="AA489" i="28"/>
  <c r="Z489" i="28"/>
  <c r="V489" i="28"/>
  <c r="AA488" i="28"/>
  <c r="Z488" i="28"/>
  <c r="V488" i="28"/>
  <c r="W488" i="28" s="1"/>
  <c r="X488" i="28" s="1"/>
  <c r="Y488" i="28" s="1"/>
  <c r="AC488" i="28" s="1"/>
  <c r="AA487" i="28"/>
  <c r="Z487" i="28"/>
  <c r="V487" i="28"/>
  <c r="W487" i="28" s="1"/>
  <c r="X487" i="28" s="1"/>
  <c r="Y487" i="28" s="1"/>
  <c r="AC487" i="28" s="1"/>
  <c r="AA486" i="28"/>
  <c r="Z486" i="28"/>
  <c r="V486" i="28"/>
  <c r="AA485" i="28"/>
  <c r="Z485" i="28"/>
  <c r="V485" i="28"/>
  <c r="W485" i="28" s="1"/>
  <c r="X485" i="28" s="1"/>
  <c r="Y485" i="28" s="1"/>
  <c r="AC485" i="28" s="1"/>
  <c r="AA484" i="28"/>
  <c r="Z484" i="28"/>
  <c r="V484" i="28"/>
  <c r="AA483" i="28"/>
  <c r="Z483" i="28"/>
  <c r="V483" i="28"/>
  <c r="W483" i="28" s="1"/>
  <c r="X483" i="28" s="1"/>
  <c r="Y483" i="28" s="1"/>
  <c r="AC483" i="28" s="1"/>
  <c r="AA482" i="28"/>
  <c r="Z482" i="28"/>
  <c r="V482" i="28"/>
  <c r="W482" i="28" s="1"/>
  <c r="X482" i="28" s="1"/>
  <c r="Y482" i="28" s="1"/>
  <c r="AC482" i="28" s="1"/>
  <c r="AA481" i="28"/>
  <c r="Z481" i="28"/>
  <c r="V481" i="28"/>
  <c r="W481" i="28" s="1"/>
  <c r="X481" i="28" s="1"/>
  <c r="Y481" i="28" s="1"/>
  <c r="AC481" i="28" s="1"/>
  <c r="AA480" i="28"/>
  <c r="Z480" i="28"/>
  <c r="V480" i="28"/>
  <c r="W480" i="28" s="1"/>
  <c r="AA479" i="28"/>
  <c r="Z479" i="28"/>
  <c r="V479" i="28"/>
  <c r="W479" i="28" s="1"/>
  <c r="X479" i="28" s="1"/>
  <c r="Y479" i="28" s="1"/>
  <c r="AC479" i="28" s="1"/>
  <c r="AA478" i="28"/>
  <c r="Z478" i="28"/>
  <c r="V478" i="28"/>
  <c r="W478" i="28" s="1"/>
  <c r="X478" i="28" s="1"/>
  <c r="Y478" i="28" s="1"/>
  <c r="AC478" i="28" s="1"/>
  <c r="AA477" i="28"/>
  <c r="Z477" i="28"/>
  <c r="V477" i="28"/>
  <c r="W477" i="28" s="1"/>
  <c r="AA476" i="28"/>
  <c r="Z476" i="28"/>
  <c r="V476" i="28"/>
  <c r="W476" i="28" s="1"/>
  <c r="X476" i="28" s="1"/>
  <c r="Y476" i="28" s="1"/>
  <c r="AC476" i="28" s="1"/>
  <c r="AA475" i="28"/>
  <c r="Z475" i="28"/>
  <c r="V475" i="28"/>
  <c r="W475" i="28" s="1"/>
  <c r="X475" i="28" s="1"/>
  <c r="Y475" i="28" s="1"/>
  <c r="AC475" i="28" s="1"/>
  <c r="AA474" i="28"/>
  <c r="Z474" i="28"/>
  <c r="V474" i="28"/>
  <c r="W474" i="28" s="1"/>
  <c r="AA473" i="28"/>
  <c r="Z473" i="28"/>
  <c r="V473" i="28"/>
  <c r="W473" i="28" s="1"/>
  <c r="X473" i="28" s="1"/>
  <c r="Y473" i="28" s="1"/>
  <c r="AC473" i="28" s="1"/>
  <c r="AA472" i="28"/>
  <c r="Z472" i="28"/>
  <c r="V472" i="28"/>
  <c r="W472" i="28" s="1"/>
  <c r="AA471" i="28"/>
  <c r="Z471" i="28"/>
  <c r="V471" i="28"/>
  <c r="W471" i="28" s="1"/>
  <c r="X471" i="28" s="1"/>
  <c r="Y471" i="28" s="1"/>
  <c r="AC471" i="28" s="1"/>
  <c r="AA470" i="28"/>
  <c r="Z470" i="28"/>
  <c r="V470" i="28"/>
  <c r="W470" i="28" s="1"/>
  <c r="X470" i="28" s="1"/>
  <c r="Y470" i="28" s="1"/>
  <c r="AC470" i="28" s="1"/>
  <c r="AA469" i="28"/>
  <c r="Z469" i="28"/>
  <c r="V469" i="28"/>
  <c r="W469" i="28" s="1"/>
  <c r="X469" i="28" s="1"/>
  <c r="Y469" i="28" s="1"/>
  <c r="AC469" i="28" s="1"/>
  <c r="AA468" i="28"/>
  <c r="Z468" i="28"/>
  <c r="V468" i="28"/>
  <c r="W468" i="28" s="1"/>
  <c r="X468" i="28" s="1"/>
  <c r="Y468" i="28" s="1"/>
  <c r="AC468" i="28" s="1"/>
  <c r="AA467" i="28"/>
  <c r="Z467" i="28"/>
  <c r="V467" i="28"/>
  <c r="W467" i="28" s="1"/>
  <c r="X467" i="28" s="1"/>
  <c r="Y467" i="28" s="1"/>
  <c r="AC467" i="28" s="1"/>
  <c r="AA466" i="28"/>
  <c r="Z466" i="28"/>
  <c r="V466" i="28"/>
  <c r="W466" i="28" s="1"/>
  <c r="X466" i="28" s="1"/>
  <c r="Y466" i="28" s="1"/>
  <c r="AC466" i="28" s="1"/>
  <c r="AA465" i="28"/>
  <c r="Z465" i="28"/>
  <c r="V465" i="28"/>
  <c r="W465" i="28" s="1"/>
  <c r="X465" i="28" s="1"/>
  <c r="Y465" i="28" s="1"/>
  <c r="AC465" i="28" s="1"/>
  <c r="B465" i="28"/>
  <c r="B466" i="28" s="1"/>
  <c r="B467" i="28" s="1"/>
  <c r="B468" i="28" s="1"/>
  <c r="B469" i="28" s="1"/>
  <c r="B470" i="28" s="1"/>
  <c r="B471" i="28" s="1"/>
  <c r="B472" i="28" s="1"/>
  <c r="B473" i="28" s="1"/>
  <c r="B474" i="28" s="1"/>
  <c r="B475" i="28" s="1"/>
  <c r="B476" i="28" s="1"/>
  <c r="B477" i="28" s="1"/>
  <c r="B478" i="28" s="1"/>
  <c r="B479" i="28" s="1"/>
  <c r="B480" i="28" s="1"/>
  <c r="B481" i="28" s="1"/>
  <c r="B482" i="28" s="1"/>
  <c r="B483" i="28" s="1"/>
  <c r="B484" i="28" s="1"/>
  <c r="B485" i="28" s="1"/>
  <c r="B486" i="28" s="1"/>
  <c r="B487" i="28" s="1"/>
  <c r="B488" i="28" s="1"/>
  <c r="B489" i="28" s="1"/>
  <c r="B490" i="28" s="1"/>
  <c r="AA464" i="28"/>
  <c r="Z464" i="28"/>
  <c r="V464" i="28"/>
  <c r="W464" i="28" s="1"/>
  <c r="X464" i="28" s="1"/>
  <c r="Y464" i="28" s="1"/>
  <c r="AC464" i="28" s="1"/>
  <c r="AA463" i="28"/>
  <c r="Z463" i="28"/>
  <c r="V463" i="28"/>
  <c r="AA462" i="28"/>
  <c r="Z462" i="28"/>
  <c r="V462" i="28"/>
  <c r="W462" i="28" s="1"/>
  <c r="AA461" i="28"/>
  <c r="Z461" i="28"/>
  <c r="V461" i="28"/>
  <c r="AA460" i="28"/>
  <c r="Z460" i="28"/>
  <c r="V460" i="28"/>
  <c r="W460" i="28" s="1"/>
  <c r="AA459" i="28"/>
  <c r="Z459" i="28"/>
  <c r="V459" i="28"/>
  <c r="AA458" i="28"/>
  <c r="Z458" i="28"/>
  <c r="V458" i="28"/>
  <c r="AA457" i="28"/>
  <c r="Z457" i="28"/>
  <c r="V457" i="28"/>
  <c r="AA456" i="28"/>
  <c r="Z456" i="28"/>
  <c r="V456" i="28"/>
  <c r="W456" i="28" s="1"/>
  <c r="AA455" i="28"/>
  <c r="Z455" i="28"/>
  <c r="V455" i="28"/>
  <c r="AA454" i="28"/>
  <c r="Z454" i="28"/>
  <c r="V454" i="28"/>
  <c r="W454" i="28" s="1"/>
  <c r="AA453" i="28"/>
  <c r="Z453" i="28"/>
  <c r="V453" i="28"/>
  <c r="W453" i="28" s="1"/>
  <c r="AA452" i="28"/>
  <c r="Z452" i="28"/>
  <c r="V452" i="28"/>
  <c r="W452" i="28" s="1"/>
  <c r="AA451" i="28"/>
  <c r="Z451" i="28"/>
  <c r="V451" i="28"/>
  <c r="AA450" i="28"/>
  <c r="Z450" i="28"/>
  <c r="V450" i="28"/>
  <c r="W450" i="28" s="1"/>
  <c r="AA449" i="28"/>
  <c r="Z449" i="28"/>
  <c r="V449" i="28"/>
  <c r="AA448" i="28"/>
  <c r="Z448" i="28"/>
  <c r="V448" i="28"/>
  <c r="W448" i="28" s="1"/>
  <c r="AA447" i="28"/>
  <c r="Z447" i="28"/>
  <c r="V447" i="28"/>
  <c r="W447" i="28" s="1"/>
  <c r="AA446" i="28"/>
  <c r="Z446" i="28"/>
  <c r="V446" i="28"/>
  <c r="W446" i="28" s="1"/>
  <c r="AA445" i="28"/>
  <c r="Z445" i="28"/>
  <c r="V445" i="28"/>
  <c r="AA444" i="28"/>
  <c r="Z444" i="28"/>
  <c r="V444" i="28"/>
  <c r="W444" i="28" s="1"/>
  <c r="AA443" i="28"/>
  <c r="Z443" i="28"/>
  <c r="V443" i="28"/>
  <c r="B443" i="28"/>
  <c r="B444" i="28" s="1"/>
  <c r="B445" i="28" s="1"/>
  <c r="B446" i="28" s="1"/>
  <c r="B447" i="28" s="1"/>
  <c r="B448" i="28" s="1"/>
  <c r="B449" i="28" s="1"/>
  <c r="B450" i="28" s="1"/>
  <c r="B451" i="28" s="1"/>
  <c r="B452" i="28" s="1"/>
  <c r="B453" i="28" s="1"/>
  <c r="B454" i="28" s="1"/>
  <c r="B455" i="28" s="1"/>
  <c r="B456" i="28" s="1"/>
  <c r="B457" i="28" s="1"/>
  <c r="B458" i="28" s="1"/>
  <c r="B459" i="28" s="1"/>
  <c r="B460" i="28" s="1"/>
  <c r="B461" i="28" s="1"/>
  <c r="B462" i="28" s="1"/>
  <c r="B463" i="28" s="1"/>
  <c r="AA442" i="28"/>
  <c r="Z442" i="28"/>
  <c r="V442" i="28"/>
  <c r="W442" i="28" s="1"/>
  <c r="AA441" i="28"/>
  <c r="Z441" i="28"/>
  <c r="V441" i="28"/>
  <c r="AA440" i="28"/>
  <c r="Z440" i="28"/>
  <c r="V440" i="28"/>
  <c r="AA439" i="28"/>
  <c r="Z439" i="28"/>
  <c r="V439" i="28"/>
  <c r="W439" i="28" s="1"/>
  <c r="AA438" i="28"/>
  <c r="Z438" i="28"/>
  <c r="V438" i="28"/>
  <c r="AA437" i="28"/>
  <c r="Z437" i="28"/>
  <c r="V437" i="28"/>
  <c r="W437" i="28" s="1"/>
  <c r="AA436" i="28"/>
  <c r="Z436" i="28"/>
  <c r="V436" i="28"/>
  <c r="W436" i="28" s="1"/>
  <c r="AA435" i="28"/>
  <c r="Z435" i="28"/>
  <c r="V435" i="28"/>
  <c r="W435" i="28" s="1"/>
  <c r="AA434" i="28"/>
  <c r="Z434" i="28"/>
  <c r="V434" i="28"/>
  <c r="AA433" i="28"/>
  <c r="Z433" i="28"/>
  <c r="V433" i="28"/>
  <c r="W433" i="28" s="1"/>
  <c r="AA432" i="28"/>
  <c r="Z432" i="28"/>
  <c r="V432" i="28"/>
  <c r="AA431" i="28"/>
  <c r="Z431" i="28"/>
  <c r="V431" i="28"/>
  <c r="AA430" i="28"/>
  <c r="Z430" i="28"/>
  <c r="V430" i="28"/>
  <c r="AA429" i="28"/>
  <c r="Z429" i="28"/>
  <c r="V429" i="28"/>
  <c r="W429" i="28" s="1"/>
  <c r="AA428" i="28"/>
  <c r="Z428" i="28"/>
  <c r="V428" i="28"/>
  <c r="AA427" i="28"/>
  <c r="Z427" i="28"/>
  <c r="V427" i="28"/>
  <c r="W427" i="28" s="1"/>
  <c r="AA426" i="28"/>
  <c r="Z426" i="28"/>
  <c r="V426" i="28"/>
  <c r="AA425" i="28"/>
  <c r="Z425" i="28"/>
  <c r="V425" i="28"/>
  <c r="AA424" i="28"/>
  <c r="Z424" i="28"/>
  <c r="V424" i="28"/>
  <c r="AA423" i="28"/>
  <c r="Z423" i="28"/>
  <c r="V423" i="28"/>
  <c r="W423" i="28" s="1"/>
  <c r="X423" i="28" s="1"/>
  <c r="Y423" i="28" s="1"/>
  <c r="AC423" i="28" s="1"/>
  <c r="AA422" i="28"/>
  <c r="Z422" i="28"/>
  <c r="V422" i="28"/>
  <c r="W422" i="28" s="1"/>
  <c r="X422" i="28" s="1"/>
  <c r="Y422" i="28" s="1"/>
  <c r="AC422" i="28" s="1"/>
  <c r="AA421" i="28"/>
  <c r="Z421" i="28"/>
  <c r="V421" i="28"/>
  <c r="W421" i="28" s="1"/>
  <c r="X421" i="28" s="1"/>
  <c r="Y421" i="28" s="1"/>
  <c r="AC421" i="28" s="1"/>
  <c r="AA420" i="28"/>
  <c r="Z420" i="28"/>
  <c r="V420" i="28"/>
  <c r="W420" i="28" s="1"/>
  <c r="AA419" i="28"/>
  <c r="Z419" i="28"/>
  <c r="V419" i="28"/>
  <c r="W419" i="28" s="1"/>
  <c r="X419" i="28" s="1"/>
  <c r="Y419" i="28" s="1"/>
  <c r="AC419" i="28" s="1"/>
  <c r="AA418" i="28"/>
  <c r="Z418" i="28"/>
  <c r="V418" i="28"/>
  <c r="AA417" i="28"/>
  <c r="Z417" i="28"/>
  <c r="V417" i="28"/>
  <c r="W417" i="28" s="1"/>
  <c r="AA416" i="28"/>
  <c r="Z416" i="28"/>
  <c r="V416" i="28"/>
  <c r="W416" i="28" s="1"/>
  <c r="AA415" i="28"/>
  <c r="Z415" i="28"/>
  <c r="V415" i="28"/>
  <c r="AA414" i="28"/>
  <c r="Z414" i="28"/>
  <c r="V414" i="28"/>
  <c r="W414" i="28" s="1"/>
  <c r="X414" i="28" s="1"/>
  <c r="Y414" i="28" s="1"/>
  <c r="AC414" i="28" s="1"/>
  <c r="AA413" i="28"/>
  <c r="Z413" i="28"/>
  <c r="V413" i="28"/>
  <c r="W413" i="28" s="1"/>
  <c r="X413" i="28" s="1"/>
  <c r="Y413" i="28" s="1"/>
  <c r="AC413" i="28" s="1"/>
  <c r="AA412" i="28"/>
  <c r="Z412" i="28"/>
  <c r="V412" i="28"/>
  <c r="W412" i="28" s="1"/>
  <c r="AA411" i="28"/>
  <c r="Z411" i="28"/>
  <c r="V411" i="28"/>
  <c r="W411" i="28" s="1"/>
  <c r="X411" i="28" s="1"/>
  <c r="Y411" i="28" s="1"/>
  <c r="AC411" i="28" s="1"/>
  <c r="AA410" i="28"/>
  <c r="Z410" i="28"/>
  <c r="V410" i="28"/>
  <c r="B410" i="28"/>
  <c r="B411" i="28" s="1"/>
  <c r="B412" i="28" s="1"/>
  <c r="B413" i="28" s="1"/>
  <c r="B414" i="28" s="1"/>
  <c r="B415" i="28" s="1"/>
  <c r="B416" i="28" s="1"/>
  <c r="B417" i="28" s="1"/>
  <c r="B418" i="28" s="1"/>
  <c r="B419" i="28" s="1"/>
  <c r="B420" i="28" s="1"/>
  <c r="B421" i="28" s="1"/>
  <c r="B422" i="28" s="1"/>
  <c r="B423" i="28" s="1"/>
  <c r="B424" i="28" s="1"/>
  <c r="B425" i="28" s="1"/>
  <c r="B426" i="28" s="1"/>
  <c r="B427" i="28" s="1"/>
  <c r="B428" i="28" s="1"/>
  <c r="B429" i="28" s="1"/>
  <c r="B430" i="28" s="1"/>
  <c r="B431" i="28" s="1"/>
  <c r="B432" i="28" s="1"/>
  <c r="B433" i="28" s="1"/>
  <c r="B434" i="28" s="1"/>
  <c r="B435" i="28" s="1"/>
  <c r="B436" i="28" s="1"/>
  <c r="B437" i="28" s="1"/>
  <c r="B438" i="28" s="1"/>
  <c r="B439" i="28" s="1"/>
  <c r="B440" i="28" s="1"/>
  <c r="B441" i="28" s="1"/>
  <c r="AA409" i="28"/>
  <c r="Z409" i="28"/>
  <c r="V409" i="28"/>
  <c r="AA408" i="28"/>
  <c r="Z408" i="28"/>
  <c r="V408" i="28"/>
  <c r="AA407" i="28"/>
  <c r="Z407" i="28"/>
  <c r="V407" i="28"/>
  <c r="AA406" i="28"/>
  <c r="Z406" i="28"/>
  <c r="V406" i="28"/>
  <c r="W406" i="28" s="1"/>
  <c r="AA405" i="28"/>
  <c r="Z405" i="28"/>
  <c r="V405" i="28"/>
  <c r="W405" i="28" s="1"/>
  <c r="AA404" i="28"/>
  <c r="Z404" i="28"/>
  <c r="V404" i="28"/>
  <c r="AA403" i="28"/>
  <c r="Z403" i="28"/>
  <c r="V403" i="28"/>
  <c r="W403" i="28" s="1"/>
  <c r="AA402" i="28"/>
  <c r="Z402" i="28"/>
  <c r="V402" i="28"/>
  <c r="AA401" i="28"/>
  <c r="Z401" i="28"/>
  <c r="V401" i="28"/>
  <c r="AA400" i="28"/>
  <c r="Z400" i="28"/>
  <c r="V400" i="28"/>
  <c r="W400" i="28" s="1"/>
  <c r="AA399" i="28"/>
  <c r="Z399" i="28"/>
  <c r="V399" i="28"/>
  <c r="AA398" i="28"/>
  <c r="Z398" i="28"/>
  <c r="V398" i="28"/>
  <c r="W398" i="28" s="1"/>
  <c r="AA397" i="28"/>
  <c r="Z397" i="28"/>
  <c r="V397" i="28"/>
  <c r="W397" i="28" s="1"/>
  <c r="AA396" i="28"/>
  <c r="Z396" i="28"/>
  <c r="V396" i="28"/>
  <c r="AA395" i="28"/>
  <c r="Z395" i="28"/>
  <c r="V395" i="28"/>
  <c r="AA394" i="28"/>
  <c r="Z394" i="28"/>
  <c r="V394" i="28"/>
  <c r="W394" i="28" s="1"/>
  <c r="AA393" i="28"/>
  <c r="Z393" i="28"/>
  <c r="V393" i="28"/>
  <c r="W393" i="28" s="1"/>
  <c r="AA392" i="28"/>
  <c r="Z392" i="28"/>
  <c r="V392" i="28"/>
  <c r="W392" i="28" s="1"/>
  <c r="AA391" i="28"/>
  <c r="Z391" i="28"/>
  <c r="V391" i="28"/>
  <c r="W391" i="28" s="1"/>
  <c r="AA390" i="28"/>
  <c r="Z390" i="28"/>
  <c r="V390" i="28"/>
  <c r="AA389" i="28"/>
  <c r="Z389" i="28"/>
  <c r="V389" i="28"/>
  <c r="AA388" i="28"/>
  <c r="Z388" i="28"/>
  <c r="V388" i="28"/>
  <c r="AA387" i="28"/>
  <c r="Z387" i="28"/>
  <c r="V387" i="28"/>
  <c r="W387" i="28" s="1"/>
  <c r="X387" i="28" s="1"/>
  <c r="Y387" i="28" s="1"/>
  <c r="AC387" i="28" s="1"/>
  <c r="AA386" i="28"/>
  <c r="Z386" i="28"/>
  <c r="V386" i="28"/>
  <c r="W386" i="28" s="1"/>
  <c r="X386" i="28" s="1"/>
  <c r="Y386" i="28" s="1"/>
  <c r="AC386" i="28" s="1"/>
  <c r="AA385" i="28"/>
  <c r="Z385" i="28"/>
  <c r="V385" i="28"/>
  <c r="W385" i="28" s="1"/>
  <c r="AA384" i="28"/>
  <c r="Z384" i="28"/>
  <c r="V384" i="28"/>
  <c r="W384" i="28" s="1"/>
  <c r="X384" i="28" s="1"/>
  <c r="Y384" i="28" s="1"/>
  <c r="AC384" i="28" s="1"/>
  <c r="B384" i="28"/>
  <c r="B385" i="28" s="1"/>
  <c r="B386" i="28" s="1"/>
  <c r="B387" i="28" s="1"/>
  <c r="B388" i="28" s="1"/>
  <c r="B389" i="28" s="1"/>
  <c r="B390" i="28" s="1"/>
  <c r="B391" i="28" s="1"/>
  <c r="B392" i="28" s="1"/>
  <c r="B393" i="28" s="1"/>
  <c r="B394" i="28" s="1"/>
  <c r="B395" i="28" s="1"/>
  <c r="B396" i="28" s="1"/>
  <c r="B397" i="28" s="1"/>
  <c r="B398" i="28" s="1"/>
  <c r="B399" i="28" s="1"/>
  <c r="B400" i="28" s="1"/>
  <c r="B401" i="28" s="1"/>
  <c r="B402" i="28" s="1"/>
  <c r="B403" i="28" s="1"/>
  <c r="B404" i="28" s="1"/>
  <c r="B405" i="28" s="1"/>
  <c r="B406" i="28" s="1"/>
  <c r="B407" i="28" s="1"/>
  <c r="B408" i="28" s="1"/>
  <c r="AA383" i="28"/>
  <c r="Z383" i="28"/>
  <c r="V383" i="28"/>
  <c r="W383" i="28" s="1"/>
  <c r="AA382" i="28"/>
  <c r="Z382" i="28"/>
  <c r="V382" i="28"/>
  <c r="W382" i="28" s="1"/>
  <c r="X382" i="28" s="1"/>
  <c r="Y382" i="28" s="1"/>
  <c r="AC382" i="28" s="1"/>
  <c r="AA381" i="28"/>
  <c r="Z381" i="28"/>
  <c r="V381" i="28"/>
  <c r="W381" i="28" s="1"/>
  <c r="AA380" i="28"/>
  <c r="Z380" i="28"/>
  <c r="V380" i="28"/>
  <c r="AA379" i="28"/>
  <c r="Z379" i="28"/>
  <c r="V379" i="28"/>
  <c r="AA378" i="28"/>
  <c r="Z378" i="28"/>
  <c r="V378" i="28"/>
  <c r="W378" i="28" s="1"/>
  <c r="AA377" i="28"/>
  <c r="Z377" i="28"/>
  <c r="V377" i="28"/>
  <c r="AA376" i="28"/>
  <c r="Z376" i="28"/>
  <c r="V376" i="28"/>
  <c r="W376" i="28" s="1"/>
  <c r="X376" i="28" s="1"/>
  <c r="Y376" i="28" s="1"/>
  <c r="AC376" i="28" s="1"/>
  <c r="AA375" i="28"/>
  <c r="Z375" i="28"/>
  <c r="V375" i="28"/>
  <c r="W375" i="28" s="1"/>
  <c r="AA374" i="28"/>
  <c r="Z374" i="28"/>
  <c r="V374" i="28"/>
  <c r="W374" i="28" s="1"/>
  <c r="AA373" i="28"/>
  <c r="Z373" i="28"/>
  <c r="V373" i="28"/>
  <c r="AA372" i="28"/>
  <c r="Z372" i="28"/>
  <c r="V372" i="28"/>
  <c r="AA371" i="28"/>
  <c r="Z371" i="28"/>
  <c r="V371" i="28"/>
  <c r="W371" i="28" s="1"/>
  <c r="AA370" i="28"/>
  <c r="Z370" i="28"/>
  <c r="V370" i="28"/>
  <c r="AA369" i="28"/>
  <c r="Z369" i="28"/>
  <c r="V369" i="28"/>
  <c r="AA368" i="28"/>
  <c r="Z368" i="28"/>
  <c r="V368" i="28"/>
  <c r="AA367" i="28"/>
  <c r="Z367" i="28"/>
  <c r="V367" i="28"/>
  <c r="W367" i="28" s="1"/>
  <c r="AA366" i="28"/>
  <c r="Z366" i="28"/>
  <c r="V366" i="28"/>
  <c r="W366" i="28" s="1"/>
  <c r="AA365" i="28"/>
  <c r="Z365" i="28"/>
  <c r="V365" i="28"/>
  <c r="AA364" i="28"/>
  <c r="Z364" i="28"/>
  <c r="V364" i="28"/>
  <c r="AA363" i="28"/>
  <c r="Z363" i="28"/>
  <c r="V363" i="28"/>
  <c r="W363" i="28" s="1"/>
  <c r="AA362" i="28"/>
  <c r="Z362" i="28"/>
  <c r="V362" i="28"/>
  <c r="AA361" i="28"/>
  <c r="Z361" i="28"/>
  <c r="V361" i="28"/>
  <c r="AA360" i="28"/>
  <c r="Z360" i="28"/>
  <c r="V360" i="28"/>
  <c r="AA359" i="28"/>
  <c r="Z359" i="28"/>
  <c r="V359" i="28"/>
  <c r="W359" i="28" s="1"/>
  <c r="B359" i="28"/>
  <c r="B360" i="28" s="1"/>
  <c r="B361" i="28" s="1"/>
  <c r="B362" i="28" s="1"/>
  <c r="B363" i="28" s="1"/>
  <c r="B364" i="28" s="1"/>
  <c r="B365" i="28" s="1"/>
  <c r="B366" i="28" s="1"/>
  <c r="B367" i="28" s="1"/>
  <c r="B368" i="28" s="1"/>
  <c r="B369" i="28" s="1"/>
  <c r="B370" i="28" s="1"/>
  <c r="B371" i="28" s="1"/>
  <c r="B372" i="28" s="1"/>
  <c r="B373" i="28" s="1"/>
  <c r="B374" i="28" s="1"/>
  <c r="B375" i="28" s="1"/>
  <c r="B376" i="28" s="1"/>
  <c r="B377" i="28" s="1"/>
  <c r="B378" i="28" s="1"/>
  <c r="B379" i="28" s="1"/>
  <c r="B380" i="28" s="1"/>
  <c r="B381" i="28" s="1"/>
  <c r="B382" i="28" s="1"/>
  <c r="AA358" i="28"/>
  <c r="Z358" i="28"/>
  <c r="V358" i="28"/>
  <c r="AA357" i="28"/>
  <c r="Z357" i="28"/>
  <c r="V357" i="28"/>
  <c r="AA356" i="28"/>
  <c r="Z356" i="28"/>
  <c r="V356" i="28"/>
  <c r="W356" i="28" s="1"/>
  <c r="AA355" i="28"/>
  <c r="Z355" i="28"/>
  <c r="V355" i="28"/>
  <c r="W355" i="28" s="1"/>
  <c r="X355" i="28" s="1"/>
  <c r="Y355" i="28" s="1"/>
  <c r="AC355" i="28" s="1"/>
  <c r="AA354" i="28"/>
  <c r="Z354" i="28"/>
  <c r="V354" i="28"/>
  <c r="AA353" i="28"/>
  <c r="Z353" i="28"/>
  <c r="V353" i="28"/>
  <c r="W353" i="28" s="1"/>
  <c r="X353" i="28" s="1"/>
  <c r="Y353" i="28" s="1"/>
  <c r="AC353" i="28" s="1"/>
  <c r="AA352" i="28"/>
  <c r="Z352" i="28"/>
  <c r="V352" i="28"/>
  <c r="W352" i="28" s="1"/>
  <c r="AA351" i="28"/>
  <c r="Z351" i="28"/>
  <c r="V351" i="28"/>
  <c r="W351" i="28" s="1"/>
  <c r="AA350" i="28"/>
  <c r="Z350" i="28"/>
  <c r="V350" i="28"/>
  <c r="W350" i="28" s="1"/>
  <c r="AA349" i="28"/>
  <c r="Z349" i="28"/>
  <c r="V349" i="28"/>
  <c r="W349" i="28" s="1"/>
  <c r="X349" i="28" s="1"/>
  <c r="Y349" i="28" s="1"/>
  <c r="AC349" i="28" s="1"/>
  <c r="AA348" i="28"/>
  <c r="Z348" i="28"/>
  <c r="V348" i="28"/>
  <c r="W348" i="28" s="1"/>
  <c r="X348" i="28" s="1"/>
  <c r="Y348" i="28" s="1"/>
  <c r="AC348" i="28" s="1"/>
  <c r="AA347" i="28"/>
  <c r="Z347" i="28"/>
  <c r="V347" i="28"/>
  <c r="W347" i="28" s="1"/>
  <c r="X347" i="28" s="1"/>
  <c r="Y347" i="28" s="1"/>
  <c r="AC347" i="28" s="1"/>
  <c r="AA346" i="28"/>
  <c r="Z346" i="28"/>
  <c r="V346" i="28"/>
  <c r="W346" i="28" s="1"/>
  <c r="X346" i="28" s="1"/>
  <c r="Y346" i="28" s="1"/>
  <c r="AC346" i="28" s="1"/>
  <c r="AA345" i="28"/>
  <c r="Z345" i="28"/>
  <c r="V345" i="28"/>
  <c r="W345" i="28" s="1"/>
  <c r="AA344" i="28"/>
  <c r="Z344" i="28"/>
  <c r="V344" i="28"/>
  <c r="W344" i="28" s="1"/>
  <c r="AA343" i="28"/>
  <c r="Z343" i="28"/>
  <c r="V343" i="28"/>
  <c r="W343" i="28" s="1"/>
  <c r="X343" i="28" s="1"/>
  <c r="Y343" i="28" s="1"/>
  <c r="AC343" i="28" s="1"/>
  <c r="AA342" i="28"/>
  <c r="Z342" i="28"/>
  <c r="V342" i="28"/>
  <c r="W342" i="28" s="1"/>
  <c r="AA341" i="28"/>
  <c r="Z341" i="28"/>
  <c r="V341" i="28"/>
  <c r="W341" i="28" s="1"/>
  <c r="X341" i="28" s="1"/>
  <c r="Y341" i="28" s="1"/>
  <c r="AC341" i="28" s="1"/>
  <c r="AA340" i="28"/>
  <c r="Z340" i="28"/>
  <c r="V340" i="28"/>
  <c r="W340" i="28" s="1"/>
  <c r="AA339" i="28"/>
  <c r="Z339" i="28"/>
  <c r="V339" i="28"/>
  <c r="W339" i="28" s="1"/>
  <c r="AA338" i="28"/>
  <c r="Z338" i="28"/>
  <c r="V338" i="28"/>
  <c r="W338" i="28" s="1"/>
  <c r="X338" i="28" s="1"/>
  <c r="Y338" i="28" s="1"/>
  <c r="AC338" i="28" s="1"/>
  <c r="AA337" i="28"/>
  <c r="Z337" i="28"/>
  <c r="V337" i="28"/>
  <c r="W337" i="28" s="1"/>
  <c r="X337" i="28" s="1"/>
  <c r="Y337" i="28" s="1"/>
  <c r="AC337" i="28" s="1"/>
  <c r="AA336" i="28"/>
  <c r="Z336" i="28"/>
  <c r="V336" i="28"/>
  <c r="W336" i="28" s="1"/>
  <c r="X336" i="28" s="1"/>
  <c r="Y336" i="28" s="1"/>
  <c r="AC336" i="28" s="1"/>
  <c r="B336" i="28"/>
  <c r="B337" i="28" s="1"/>
  <c r="B338" i="28" s="1"/>
  <c r="B339" i="28" s="1"/>
  <c r="B340" i="28" s="1"/>
  <c r="B341" i="28" s="1"/>
  <c r="B342" i="28" s="1"/>
  <c r="B343" i="28" s="1"/>
  <c r="B344" i="28" s="1"/>
  <c r="B345" i="28" s="1"/>
  <c r="B346" i="28" s="1"/>
  <c r="B347" i="28" s="1"/>
  <c r="B348" i="28" s="1"/>
  <c r="B349" i="28" s="1"/>
  <c r="B350" i="28" s="1"/>
  <c r="B351" i="28" s="1"/>
  <c r="B352" i="28" s="1"/>
  <c r="B353" i="28" s="1"/>
  <c r="B354" i="28" s="1"/>
  <c r="B355" i="28" s="1"/>
  <c r="B356" i="28" s="1"/>
  <c r="B357" i="28" s="1"/>
  <c r="AA335" i="28"/>
  <c r="Z335" i="28"/>
  <c r="V335" i="28"/>
  <c r="AA334" i="28"/>
  <c r="Z334" i="28"/>
  <c r="V334" i="28"/>
  <c r="AA333" i="28"/>
  <c r="Z333" i="28"/>
  <c r="V333" i="28"/>
  <c r="W333" i="28" s="1"/>
  <c r="X333" i="28" s="1"/>
  <c r="Y333" i="28" s="1"/>
  <c r="AC333" i="28" s="1"/>
  <c r="AA332" i="28"/>
  <c r="Z332" i="28"/>
  <c r="V332" i="28"/>
  <c r="W332" i="28" s="1"/>
  <c r="X332" i="28" s="1"/>
  <c r="Y332" i="28" s="1"/>
  <c r="AC332" i="28" s="1"/>
  <c r="AA331" i="28"/>
  <c r="Z331" i="28"/>
  <c r="V331" i="28"/>
  <c r="W331" i="28" s="1"/>
  <c r="X331" i="28" s="1"/>
  <c r="Y331" i="28" s="1"/>
  <c r="AC331" i="28" s="1"/>
  <c r="AA330" i="28"/>
  <c r="Z330" i="28"/>
  <c r="V330" i="28"/>
  <c r="W330" i="28" s="1"/>
  <c r="X330" i="28" s="1"/>
  <c r="Y330" i="28" s="1"/>
  <c r="AC330" i="28" s="1"/>
  <c r="AA329" i="28"/>
  <c r="Z329" i="28"/>
  <c r="V329" i="28"/>
  <c r="W329" i="28" s="1"/>
  <c r="AA328" i="28"/>
  <c r="Z328" i="28"/>
  <c r="V328" i="28"/>
  <c r="W328" i="28" s="1"/>
  <c r="X328" i="28" s="1"/>
  <c r="Y328" i="28" s="1"/>
  <c r="AC328" i="28" s="1"/>
  <c r="AA327" i="28"/>
  <c r="Z327" i="28"/>
  <c r="V327" i="28"/>
  <c r="W327" i="28" s="1"/>
  <c r="X327" i="28" s="1"/>
  <c r="Y327" i="28" s="1"/>
  <c r="AC327" i="28" s="1"/>
  <c r="AA326" i="28"/>
  <c r="Z326" i="28"/>
  <c r="V326" i="28"/>
  <c r="AA325" i="28"/>
  <c r="Z325" i="28"/>
  <c r="V325" i="28"/>
  <c r="W325" i="28" s="1"/>
  <c r="AA324" i="28"/>
  <c r="Z324" i="28"/>
  <c r="V324" i="28"/>
  <c r="W324" i="28" s="1"/>
  <c r="X324" i="28" s="1"/>
  <c r="Y324" i="28" s="1"/>
  <c r="AC324" i="28" s="1"/>
  <c r="AA323" i="28"/>
  <c r="Z323" i="28"/>
  <c r="V323" i="28"/>
  <c r="AA322" i="28"/>
  <c r="Z322" i="28"/>
  <c r="V322" i="28"/>
  <c r="AA321" i="28"/>
  <c r="Z321" i="28"/>
  <c r="V321" i="28"/>
  <c r="W321" i="28" s="1"/>
  <c r="X321" i="28" s="1"/>
  <c r="Y321" i="28" s="1"/>
  <c r="AC321" i="28" s="1"/>
  <c r="AA320" i="28"/>
  <c r="Z320" i="28"/>
  <c r="V320" i="28"/>
  <c r="AA319" i="28"/>
  <c r="Z319" i="28"/>
  <c r="V319" i="28"/>
  <c r="W319" i="28" s="1"/>
  <c r="X319" i="28" s="1"/>
  <c r="Y319" i="28" s="1"/>
  <c r="AC319" i="28" s="1"/>
  <c r="AA318" i="28"/>
  <c r="Z318" i="28"/>
  <c r="V318" i="28"/>
  <c r="W318" i="28" s="1"/>
  <c r="AA317" i="28"/>
  <c r="Z317" i="28"/>
  <c r="V317" i="28"/>
  <c r="W317" i="28" s="1"/>
  <c r="AA316" i="28"/>
  <c r="Z316" i="28"/>
  <c r="V316" i="28"/>
  <c r="W316" i="28" s="1"/>
  <c r="AA315" i="28"/>
  <c r="Z315" i="28"/>
  <c r="V315" i="28"/>
  <c r="W315" i="28" s="1"/>
  <c r="AA314" i="28"/>
  <c r="Z314" i="28"/>
  <c r="V314" i="28"/>
  <c r="W314" i="28" s="1"/>
  <c r="AA313" i="28"/>
  <c r="Z313" i="28"/>
  <c r="V313" i="28"/>
  <c r="W313" i="28" s="1"/>
  <c r="AA312" i="28"/>
  <c r="Z312" i="28"/>
  <c r="V312" i="28"/>
  <c r="AA311" i="28"/>
  <c r="Z311" i="28"/>
  <c r="V311" i="28"/>
  <c r="W311" i="28" s="1"/>
  <c r="AA310" i="28"/>
  <c r="Z310" i="28"/>
  <c r="V310" i="28"/>
  <c r="W310" i="28" s="1"/>
  <c r="AA309" i="28"/>
  <c r="Z309" i="28"/>
  <c r="V309" i="28"/>
  <c r="W309" i="28" s="1"/>
  <c r="AA308" i="28"/>
  <c r="Z308" i="28"/>
  <c r="V308" i="28"/>
  <c r="W308" i="28" s="1"/>
  <c r="AA307" i="28"/>
  <c r="Z307" i="28"/>
  <c r="V307" i="28"/>
  <c r="AA306" i="28"/>
  <c r="Z306" i="28"/>
  <c r="V306" i="28"/>
  <c r="W306" i="28" s="1"/>
  <c r="AA305" i="28"/>
  <c r="Z305" i="28"/>
  <c r="V305" i="28"/>
  <c r="W305" i="28" s="1"/>
  <c r="AA304" i="28"/>
  <c r="Z304" i="28"/>
  <c r="V304" i="28"/>
  <c r="W304" i="28" s="1"/>
  <c r="AA303" i="28"/>
  <c r="Z303" i="28"/>
  <c r="V303" i="28"/>
  <c r="W303" i="28" s="1"/>
  <c r="AA302" i="28"/>
  <c r="Z302" i="28"/>
  <c r="V302" i="28"/>
  <c r="AA301" i="28"/>
  <c r="Z301" i="28"/>
  <c r="V301" i="28"/>
  <c r="W301" i="28" s="1"/>
  <c r="AA300" i="28"/>
  <c r="Z300" i="28"/>
  <c r="V300" i="28"/>
  <c r="AA299" i="28"/>
  <c r="Z299" i="28"/>
  <c r="V299" i="28"/>
  <c r="W299" i="28" s="1"/>
  <c r="AA298" i="28"/>
  <c r="Z298" i="28"/>
  <c r="V298" i="28"/>
  <c r="W298" i="28" s="1"/>
  <c r="AA297" i="28"/>
  <c r="Z297" i="28"/>
  <c r="V297" i="28"/>
  <c r="W297" i="28" s="1"/>
  <c r="B297" i="28"/>
  <c r="B298" i="28" s="1"/>
  <c r="B299" i="28" s="1"/>
  <c r="B300" i="28" s="1"/>
  <c r="B301" i="28" s="1"/>
  <c r="B302" i="28" s="1"/>
  <c r="B303" i="28" s="1"/>
  <c r="B304" i="28" s="1"/>
  <c r="B305" i="28" s="1"/>
  <c r="B306" i="28" s="1"/>
  <c r="B307" i="28" s="1"/>
  <c r="B308" i="28" s="1"/>
  <c r="B309" i="28" s="1"/>
  <c r="B310" i="28" s="1"/>
  <c r="B311" i="28" s="1"/>
  <c r="B312" i="28" s="1"/>
  <c r="B313" i="28" s="1"/>
  <c r="B314" i="28" s="1"/>
  <c r="B315" i="28" s="1"/>
  <c r="B316" i="28" s="1"/>
  <c r="B317" i="28" s="1"/>
  <c r="B318" i="28" s="1"/>
  <c r="B319" i="28" s="1"/>
  <c r="B320" i="28" s="1"/>
  <c r="B321" i="28" s="1"/>
  <c r="B322" i="28" s="1"/>
  <c r="B323" i="28" s="1"/>
  <c r="B324" i="28" s="1"/>
  <c r="B325" i="28" s="1"/>
  <c r="B326" i="28" s="1"/>
  <c r="B327" i="28" s="1"/>
  <c r="B328" i="28" s="1"/>
  <c r="B329" i="28" s="1"/>
  <c r="B330" i="28" s="1"/>
  <c r="B331" i="28" s="1"/>
  <c r="B332" i="28" s="1"/>
  <c r="B333" i="28" s="1"/>
  <c r="B334" i="28" s="1"/>
  <c r="AA296" i="28"/>
  <c r="Z296" i="28"/>
  <c r="V296" i="28"/>
  <c r="W296" i="28" s="1"/>
  <c r="AA295" i="28"/>
  <c r="Z295" i="28"/>
  <c r="V295" i="28"/>
  <c r="W295" i="28" s="1"/>
  <c r="AA294" i="28"/>
  <c r="Z294" i="28"/>
  <c r="V294" i="28"/>
  <c r="AA293" i="28"/>
  <c r="Z293" i="28"/>
  <c r="V293" i="28"/>
  <c r="W293" i="28" s="1"/>
  <c r="AA292" i="28"/>
  <c r="Z292" i="28"/>
  <c r="V292" i="28"/>
  <c r="W292" i="28" s="1"/>
  <c r="AA291" i="28"/>
  <c r="Z291" i="28"/>
  <c r="V291" i="28"/>
  <c r="AA290" i="28"/>
  <c r="Z290" i="28"/>
  <c r="V290" i="28"/>
  <c r="AA289" i="28"/>
  <c r="Z289" i="28"/>
  <c r="V289" i="28"/>
  <c r="AA288" i="28"/>
  <c r="Z288" i="28"/>
  <c r="V288" i="28"/>
  <c r="AA287" i="28"/>
  <c r="Z287" i="28"/>
  <c r="V287" i="28"/>
  <c r="W287" i="28" s="1"/>
  <c r="AA286" i="28"/>
  <c r="Z286" i="28"/>
  <c r="V286" i="28"/>
  <c r="AA285" i="28"/>
  <c r="Z285" i="28"/>
  <c r="V285" i="28"/>
  <c r="W285" i="28" s="1"/>
  <c r="AA284" i="28"/>
  <c r="Z284" i="28"/>
  <c r="V284" i="28"/>
  <c r="AA283" i="28"/>
  <c r="Z283" i="28"/>
  <c r="V283" i="28"/>
  <c r="AA282" i="28"/>
  <c r="Z282" i="28"/>
  <c r="V282" i="28"/>
  <c r="W282" i="28" s="1"/>
  <c r="AA281" i="28"/>
  <c r="Z281" i="28"/>
  <c r="V281" i="28"/>
  <c r="AA280" i="28"/>
  <c r="Z280" i="28"/>
  <c r="V280" i="28"/>
  <c r="W280" i="28" s="1"/>
  <c r="AA279" i="28"/>
  <c r="Z279" i="28"/>
  <c r="V279" i="28"/>
  <c r="AA278" i="28"/>
  <c r="Z278" i="28"/>
  <c r="V278" i="28"/>
  <c r="AA277" i="28"/>
  <c r="Z277" i="28"/>
  <c r="V277" i="28"/>
  <c r="AA276" i="28"/>
  <c r="Z276" i="28"/>
  <c r="V276" i="28"/>
  <c r="W276" i="28" s="1"/>
  <c r="AA275" i="28"/>
  <c r="Z275" i="28"/>
  <c r="V275" i="28"/>
  <c r="W275" i="28" s="1"/>
  <c r="AA274" i="28"/>
  <c r="Z274" i="28"/>
  <c r="V274" i="28"/>
  <c r="AA273" i="28"/>
  <c r="Z273" i="28"/>
  <c r="V273" i="28"/>
  <c r="W273" i="28" s="1"/>
  <c r="AA272" i="28"/>
  <c r="Z272" i="28"/>
  <c r="V272" i="28"/>
  <c r="AA271" i="28"/>
  <c r="Z271" i="28"/>
  <c r="V271" i="28"/>
  <c r="AA270" i="28"/>
  <c r="Z270" i="28"/>
  <c r="V270" i="28"/>
  <c r="AA269" i="28"/>
  <c r="Z269" i="28"/>
  <c r="V269" i="28"/>
  <c r="W269" i="28" s="1"/>
  <c r="AA268" i="28"/>
  <c r="Z268" i="28"/>
  <c r="V268" i="28"/>
  <c r="AA267" i="28"/>
  <c r="Z267" i="28"/>
  <c r="V267" i="28"/>
  <c r="AA266" i="28"/>
  <c r="Z266" i="28"/>
  <c r="V266" i="28"/>
  <c r="W266" i="28" s="1"/>
  <c r="AA265" i="28"/>
  <c r="Z265" i="28"/>
  <c r="V265" i="28"/>
  <c r="AA264" i="28"/>
  <c r="Z264" i="28"/>
  <c r="V264" i="28"/>
  <c r="AA263" i="28"/>
  <c r="Z263" i="28"/>
  <c r="V263" i="28"/>
  <c r="W263" i="28" s="1"/>
  <c r="AA262" i="28"/>
  <c r="Z262" i="28"/>
  <c r="V262" i="28"/>
  <c r="B262" i="28"/>
  <c r="B263" i="28" s="1"/>
  <c r="B264" i="28" s="1"/>
  <c r="B265" i="28" s="1"/>
  <c r="B266" i="28" s="1"/>
  <c r="B267" i="28" s="1"/>
  <c r="B268" i="28" s="1"/>
  <c r="B269" i="28" s="1"/>
  <c r="B270" i="28" s="1"/>
  <c r="B271" i="28" s="1"/>
  <c r="B272" i="28" s="1"/>
  <c r="B273" i="28" s="1"/>
  <c r="B274" i="28" s="1"/>
  <c r="B275" i="28" s="1"/>
  <c r="B276" i="28" s="1"/>
  <c r="B277" i="28" s="1"/>
  <c r="B278" i="28" s="1"/>
  <c r="B279" i="28" s="1"/>
  <c r="B280" i="28" s="1"/>
  <c r="B281" i="28" s="1"/>
  <c r="B282" i="28" s="1"/>
  <c r="B283" i="28" s="1"/>
  <c r="B284" i="28" s="1"/>
  <c r="B285" i="28" s="1"/>
  <c r="B286" i="28" s="1"/>
  <c r="B287" i="28" s="1"/>
  <c r="B288" i="28" s="1"/>
  <c r="B289" i="28" s="1"/>
  <c r="B290" i="28" s="1"/>
  <c r="B291" i="28" s="1"/>
  <c r="B292" i="28" s="1"/>
  <c r="B293" i="28" s="1"/>
  <c r="B294" i="28" s="1"/>
  <c r="B295" i="28" s="1"/>
  <c r="AA261" i="28"/>
  <c r="Z261" i="28"/>
  <c r="V261" i="28"/>
  <c r="W261" i="28" s="1"/>
  <c r="AA260" i="28"/>
  <c r="Z260" i="28"/>
  <c r="V260" i="28"/>
  <c r="W260" i="28" s="1"/>
  <c r="AA259" i="28"/>
  <c r="Z259" i="28"/>
  <c r="V259" i="28"/>
  <c r="AA258" i="28"/>
  <c r="Z258" i="28"/>
  <c r="V258" i="28"/>
  <c r="AA257" i="28"/>
  <c r="Z257" i="28"/>
  <c r="V257" i="28"/>
  <c r="W257" i="28" s="1"/>
  <c r="X257" i="28" s="1"/>
  <c r="Y257" i="28" s="1"/>
  <c r="AC257" i="28" s="1"/>
  <c r="AA256" i="28"/>
  <c r="Z256" i="28"/>
  <c r="V256" i="28"/>
  <c r="W256" i="28" s="1"/>
  <c r="AA255" i="28"/>
  <c r="Z255" i="28"/>
  <c r="V255" i="28"/>
  <c r="W255" i="28" s="1"/>
  <c r="X255" i="28" s="1"/>
  <c r="Y255" i="28" s="1"/>
  <c r="AC255" i="28" s="1"/>
  <c r="AA254" i="28"/>
  <c r="Z254" i="28"/>
  <c r="V254" i="28"/>
  <c r="W254" i="28" s="1"/>
  <c r="AA253" i="28"/>
  <c r="Z253" i="28"/>
  <c r="V253" i="28"/>
  <c r="AA252" i="28"/>
  <c r="Z252" i="28"/>
  <c r="V252" i="28"/>
  <c r="AA251" i="28"/>
  <c r="Z251" i="28"/>
  <c r="V251" i="28"/>
  <c r="W251" i="28" s="1"/>
  <c r="X251" i="28" s="1"/>
  <c r="Y251" i="28" s="1"/>
  <c r="AC251" i="28" s="1"/>
  <c r="AA250" i="28"/>
  <c r="Z250" i="28"/>
  <c r="V250" i="28"/>
  <c r="AA249" i="28"/>
  <c r="Z249" i="28"/>
  <c r="V249" i="28"/>
  <c r="AA248" i="28"/>
  <c r="Z248" i="28"/>
  <c r="V248" i="28"/>
  <c r="AA247" i="28"/>
  <c r="Z247" i="28"/>
  <c r="V247" i="28"/>
  <c r="W247" i="28" s="1"/>
  <c r="X247" i="28" s="1"/>
  <c r="Y247" i="28" s="1"/>
  <c r="AC247" i="28" s="1"/>
  <c r="AA246" i="28"/>
  <c r="Z246" i="28"/>
  <c r="V246" i="28"/>
  <c r="W246" i="28" s="1"/>
  <c r="AA245" i="28"/>
  <c r="Z245" i="28"/>
  <c r="V245" i="28"/>
  <c r="W245" i="28" s="1"/>
  <c r="AA244" i="28"/>
  <c r="Z244" i="28"/>
  <c r="V244" i="28"/>
  <c r="W244" i="28" s="1"/>
  <c r="AA243" i="28"/>
  <c r="Z243" i="28"/>
  <c r="V243" i="28"/>
  <c r="W243" i="28" s="1"/>
  <c r="X243" i="28" s="1"/>
  <c r="Y243" i="28" s="1"/>
  <c r="AC243" i="28" s="1"/>
  <c r="AA242" i="28"/>
  <c r="Z242" i="28"/>
  <c r="V242" i="28"/>
  <c r="AA241" i="28"/>
  <c r="Z241" i="28"/>
  <c r="V241" i="28"/>
  <c r="W241" i="28" s="1"/>
  <c r="X241" i="28" s="1"/>
  <c r="Y241" i="28" s="1"/>
  <c r="AC241" i="28" s="1"/>
  <c r="AA240" i="28"/>
  <c r="Z240" i="28"/>
  <c r="V240" i="28"/>
  <c r="W240" i="28" s="1"/>
  <c r="X240" i="28" s="1"/>
  <c r="Y240" i="28" s="1"/>
  <c r="AC240" i="28" s="1"/>
  <c r="AA239" i="28"/>
  <c r="Z239" i="28"/>
  <c r="V239" i="28"/>
  <c r="W239" i="28" s="1"/>
  <c r="X239" i="28" s="1"/>
  <c r="Y239" i="28" s="1"/>
  <c r="AC239" i="28" s="1"/>
  <c r="AA238" i="28"/>
  <c r="Z238" i="28"/>
  <c r="V238" i="28"/>
  <c r="AA237" i="28"/>
  <c r="Z237" i="28"/>
  <c r="V237" i="28"/>
  <c r="AA236" i="28"/>
  <c r="Z236" i="28"/>
  <c r="V236" i="28"/>
  <c r="W236" i="28" s="1"/>
  <c r="AA235" i="28"/>
  <c r="Z235" i="28"/>
  <c r="V235" i="28"/>
  <c r="W235" i="28" s="1"/>
  <c r="X235" i="28" s="1"/>
  <c r="Y235" i="28" s="1"/>
  <c r="AC235" i="28" s="1"/>
  <c r="AA234" i="28"/>
  <c r="Z234" i="28"/>
  <c r="V234" i="28"/>
  <c r="W234" i="28" s="1"/>
  <c r="AA233" i="28"/>
  <c r="Z233" i="28"/>
  <c r="V233" i="28"/>
  <c r="W233" i="28" s="1"/>
  <c r="AA232" i="28"/>
  <c r="Z232" i="28"/>
  <c r="V232" i="28"/>
  <c r="W232" i="28" s="1"/>
  <c r="AA231" i="28"/>
  <c r="Z231" i="28"/>
  <c r="V231" i="28"/>
  <c r="W231" i="28" s="1"/>
  <c r="X231" i="28" s="1"/>
  <c r="Y231" i="28" s="1"/>
  <c r="AC231" i="28" s="1"/>
  <c r="AA230" i="28"/>
  <c r="Z230" i="28"/>
  <c r="V230" i="28"/>
  <c r="AA229" i="28"/>
  <c r="Z229" i="28"/>
  <c r="V229" i="28"/>
  <c r="W229" i="28" s="1"/>
  <c r="AA228" i="28"/>
  <c r="Z228" i="28"/>
  <c r="V228" i="28"/>
  <c r="AA227" i="28"/>
  <c r="Z227" i="28"/>
  <c r="V227" i="28"/>
  <c r="W227" i="28" s="1"/>
  <c r="AA226" i="28"/>
  <c r="Z226" i="28"/>
  <c r="V226" i="28"/>
  <c r="AA225" i="28"/>
  <c r="Z225" i="28"/>
  <c r="V225" i="28"/>
  <c r="W225" i="28" s="1"/>
  <c r="X225" i="28" s="1"/>
  <c r="Y225" i="28" s="1"/>
  <c r="AC225" i="28" s="1"/>
  <c r="AA224" i="28"/>
  <c r="Z224" i="28"/>
  <c r="V224" i="28"/>
  <c r="W224" i="28" s="1"/>
  <c r="B224" i="28"/>
  <c r="B225" i="28" s="1"/>
  <c r="B226" i="28" s="1"/>
  <c r="B227" i="28" s="1"/>
  <c r="B228" i="28" s="1"/>
  <c r="B229" i="28" s="1"/>
  <c r="B230" i="28" s="1"/>
  <c r="B231" i="28" s="1"/>
  <c r="B232" i="28" s="1"/>
  <c r="B233" i="28" s="1"/>
  <c r="B234" i="28" s="1"/>
  <c r="B235" i="28" s="1"/>
  <c r="B236" i="28" s="1"/>
  <c r="B237" i="28" s="1"/>
  <c r="B238" i="28" s="1"/>
  <c r="B239" i="28" s="1"/>
  <c r="B240" i="28" s="1"/>
  <c r="B241" i="28" s="1"/>
  <c r="B242" i="28" s="1"/>
  <c r="B243" i="28" s="1"/>
  <c r="B244" i="28" s="1"/>
  <c r="B245" i="28" s="1"/>
  <c r="B246" i="28" s="1"/>
  <c r="B247" i="28" s="1"/>
  <c r="B248" i="28" s="1"/>
  <c r="B249" i="28" s="1"/>
  <c r="B250" i="28" s="1"/>
  <c r="B251" i="28" s="1"/>
  <c r="B252" i="28" s="1"/>
  <c r="B253" i="28" s="1"/>
  <c r="B254" i="28" s="1"/>
  <c r="B255" i="28" s="1"/>
  <c r="B256" i="28" s="1"/>
  <c r="B257" i="28" s="1"/>
  <c r="B258" i="28" s="1"/>
  <c r="B259" i="28" s="1"/>
  <c r="B260" i="28" s="1"/>
  <c r="AA223" i="28"/>
  <c r="Z223" i="28"/>
  <c r="V223" i="28"/>
  <c r="W223" i="28" s="1"/>
  <c r="X223" i="28" s="1"/>
  <c r="Y223" i="28" s="1"/>
  <c r="AC223" i="28" s="1"/>
  <c r="AA222" i="28"/>
  <c r="Z222" i="28"/>
  <c r="V222" i="28"/>
  <c r="W222" i="28" s="1"/>
  <c r="AA221" i="28"/>
  <c r="Z221" i="28"/>
  <c r="V221" i="28"/>
  <c r="AA220" i="28"/>
  <c r="Z220" i="28"/>
  <c r="V220" i="28"/>
  <c r="W220" i="28" s="1"/>
  <c r="AA219" i="28"/>
  <c r="Z219" i="28"/>
  <c r="V219" i="28"/>
  <c r="W219" i="28" s="1"/>
  <c r="X219" i="28" s="1"/>
  <c r="Y219" i="28" s="1"/>
  <c r="AC219" i="28" s="1"/>
  <c r="AA218" i="28"/>
  <c r="Z218" i="28"/>
  <c r="V218" i="28"/>
  <c r="AA217" i="28"/>
  <c r="Z217" i="28"/>
  <c r="V217" i="28"/>
  <c r="AA216" i="28"/>
  <c r="Z216" i="28"/>
  <c r="V216" i="28"/>
  <c r="W216" i="28" s="1"/>
  <c r="AA215" i="28"/>
  <c r="Z215" i="28"/>
  <c r="V215" i="28"/>
  <c r="W215" i="28" s="1"/>
  <c r="X215" i="28" s="1"/>
  <c r="Y215" i="28" s="1"/>
  <c r="AC215" i="28" s="1"/>
  <c r="AA214" i="28"/>
  <c r="Z214" i="28"/>
  <c r="V214" i="28"/>
  <c r="AA213" i="28"/>
  <c r="Z213" i="28"/>
  <c r="V213" i="28"/>
  <c r="AA212" i="28"/>
  <c r="Z212" i="28"/>
  <c r="V212" i="28"/>
  <c r="W212" i="28" s="1"/>
  <c r="AA211" i="28"/>
  <c r="Z211" i="28"/>
  <c r="V211" i="28"/>
  <c r="AA210" i="28"/>
  <c r="Z210" i="28"/>
  <c r="V210" i="28"/>
  <c r="AA209" i="28"/>
  <c r="Z209" i="28"/>
  <c r="V209" i="28"/>
  <c r="AA208" i="28"/>
  <c r="Z208" i="28"/>
  <c r="V208" i="28"/>
  <c r="W208" i="28" s="1"/>
  <c r="AA207" i="28"/>
  <c r="Z207" i="28"/>
  <c r="V207" i="28"/>
  <c r="AA206" i="28"/>
  <c r="Z206" i="28"/>
  <c r="V206" i="28"/>
  <c r="AA205" i="28"/>
  <c r="Z205" i="28"/>
  <c r="V205" i="28"/>
  <c r="W205" i="28" s="1"/>
  <c r="X205" i="28" s="1"/>
  <c r="Y205" i="28" s="1"/>
  <c r="AC205" i="28" s="1"/>
  <c r="AA204" i="28"/>
  <c r="Z204" i="28"/>
  <c r="V204" i="28"/>
  <c r="W204" i="28" s="1"/>
  <c r="AA203" i="28"/>
  <c r="Z203" i="28"/>
  <c r="V203" i="28"/>
  <c r="AA202" i="28"/>
  <c r="Z202" i="28"/>
  <c r="V202" i="28"/>
  <c r="W202" i="28" s="1"/>
  <c r="AA201" i="28"/>
  <c r="Z201" i="28"/>
  <c r="V201" i="28"/>
  <c r="W201" i="28" s="1"/>
  <c r="X201" i="28" s="1"/>
  <c r="Y201" i="28" s="1"/>
  <c r="AC201" i="28" s="1"/>
  <c r="AA200" i="28"/>
  <c r="Z200" i="28"/>
  <c r="V200" i="28"/>
  <c r="AA199" i="28"/>
  <c r="Z199" i="28"/>
  <c r="V199" i="28"/>
  <c r="W199" i="28" s="1"/>
  <c r="AA198" i="28"/>
  <c r="Z198" i="28"/>
  <c r="V198" i="28"/>
  <c r="W198" i="28" s="1"/>
  <c r="AA197" i="28"/>
  <c r="Z197" i="28"/>
  <c r="V197" i="28"/>
  <c r="AA196" i="28"/>
  <c r="Z196" i="28"/>
  <c r="V196" i="28"/>
  <c r="W196" i="28" s="1"/>
  <c r="AA195" i="28"/>
  <c r="Z195" i="28"/>
  <c r="V195" i="28"/>
  <c r="W195" i="28" s="1"/>
  <c r="X195" i="28" s="1"/>
  <c r="Y195" i="28" s="1"/>
  <c r="AC195" i="28" s="1"/>
  <c r="AA194" i="28"/>
  <c r="Z194" i="28"/>
  <c r="V194" i="28"/>
  <c r="W194" i="28" s="1"/>
  <c r="AA193" i="28"/>
  <c r="Z193" i="28"/>
  <c r="V193" i="28"/>
  <c r="W193" i="28" s="1"/>
  <c r="AA192" i="28"/>
  <c r="Z192" i="28"/>
  <c r="V192" i="28"/>
  <c r="W192" i="28" s="1"/>
  <c r="AA191" i="28"/>
  <c r="Z191" i="28"/>
  <c r="V191" i="28"/>
  <c r="AA190" i="28"/>
  <c r="Z190" i="28"/>
  <c r="V190" i="28"/>
  <c r="AA189" i="28"/>
  <c r="Z189" i="28"/>
  <c r="V189" i="28"/>
  <c r="W189" i="28" s="1"/>
  <c r="X189" i="28" s="1"/>
  <c r="Y189" i="28" s="1"/>
  <c r="AC189" i="28" s="1"/>
  <c r="AA188" i="28"/>
  <c r="Z188" i="28"/>
  <c r="V188" i="28"/>
  <c r="W188" i="28" s="1"/>
  <c r="X188" i="28" s="1"/>
  <c r="Y188" i="28" s="1"/>
  <c r="AC188" i="28" s="1"/>
  <c r="AA187" i="28"/>
  <c r="Z187" i="28"/>
  <c r="V187" i="28"/>
  <c r="AA186" i="28"/>
  <c r="Z186" i="28"/>
  <c r="V186" i="28"/>
  <c r="W186" i="28" s="1"/>
  <c r="B186" i="28"/>
  <c r="B187" i="28" s="1"/>
  <c r="B188" i="28" s="1"/>
  <c r="B189" i="28" s="1"/>
  <c r="B190" i="28" s="1"/>
  <c r="B191" i="28" s="1"/>
  <c r="B192" i="28" s="1"/>
  <c r="B193" i="28" s="1"/>
  <c r="B194" i="28" s="1"/>
  <c r="B195" i="28" s="1"/>
  <c r="B196" i="28" s="1"/>
  <c r="B197" i="28" s="1"/>
  <c r="B198" i="28" s="1"/>
  <c r="B199" i="28" s="1"/>
  <c r="B200" i="28" s="1"/>
  <c r="B201" i="28" s="1"/>
  <c r="B202" i="28" s="1"/>
  <c r="B203" i="28" s="1"/>
  <c r="B204" i="28" s="1"/>
  <c r="B205" i="28" s="1"/>
  <c r="B206" i="28" s="1"/>
  <c r="B207" i="28" s="1"/>
  <c r="B208" i="28" s="1"/>
  <c r="B209" i="28" s="1"/>
  <c r="B210" i="28" s="1"/>
  <c r="B211" i="28" s="1"/>
  <c r="B212" i="28" s="1"/>
  <c r="B213" i="28" s="1"/>
  <c r="B214" i="28" s="1"/>
  <c r="B215" i="28" s="1"/>
  <c r="B216" i="28" s="1"/>
  <c r="B217" i="28" s="1"/>
  <c r="B218" i="28" s="1"/>
  <c r="B219" i="28" s="1"/>
  <c r="B220" i="28" s="1"/>
  <c r="B221" i="28" s="1"/>
  <c r="B222" i="28" s="1"/>
  <c r="AA185" i="28"/>
  <c r="Z185" i="28"/>
  <c r="V185" i="28"/>
  <c r="W185" i="28" s="1"/>
  <c r="X185" i="28" s="1"/>
  <c r="Y185" i="28" s="1"/>
  <c r="AC185" i="28" s="1"/>
  <c r="AA184" i="28"/>
  <c r="Z184" i="28"/>
  <c r="V184" i="28"/>
  <c r="W184" i="28" s="1"/>
  <c r="AA183" i="28"/>
  <c r="Z183" i="28"/>
  <c r="V183" i="28"/>
  <c r="AA182" i="28"/>
  <c r="Z182" i="28"/>
  <c r="V182" i="28"/>
  <c r="W182" i="28" s="1"/>
  <c r="X182" i="28" s="1"/>
  <c r="Y182" i="28" s="1"/>
  <c r="AC182" i="28" s="1"/>
  <c r="AA181" i="28"/>
  <c r="Z181" i="28"/>
  <c r="V181" i="28"/>
  <c r="W181" i="28" s="1"/>
  <c r="X181" i="28" s="1"/>
  <c r="Y181" i="28" s="1"/>
  <c r="AC181" i="28" s="1"/>
  <c r="AA180" i="28"/>
  <c r="Z180" i="28"/>
  <c r="V180" i="28"/>
  <c r="W180" i="28" s="1"/>
  <c r="X180" i="28" s="1"/>
  <c r="Y180" i="28" s="1"/>
  <c r="AC180" i="28" s="1"/>
  <c r="AA179" i="28"/>
  <c r="Z179" i="28"/>
  <c r="V179" i="28"/>
  <c r="AA178" i="28"/>
  <c r="Z178" i="28"/>
  <c r="V178" i="28"/>
  <c r="AA177" i="28"/>
  <c r="Z177" i="28"/>
  <c r="V177" i="28"/>
  <c r="W177" i="28" s="1"/>
  <c r="AA176" i="28"/>
  <c r="Z176" i="28"/>
  <c r="V176" i="28"/>
  <c r="AA175" i="28"/>
  <c r="Z175" i="28"/>
  <c r="V175" i="28"/>
  <c r="W175" i="28" s="1"/>
  <c r="X175" i="28" s="1"/>
  <c r="Y175" i="28" s="1"/>
  <c r="AC175" i="28" s="1"/>
  <c r="AA174" i="28"/>
  <c r="Z174" i="28"/>
  <c r="V174" i="28"/>
  <c r="W174" i="28" s="1"/>
  <c r="X174" i="28" s="1"/>
  <c r="Y174" i="28" s="1"/>
  <c r="AC174" i="28" s="1"/>
  <c r="AA173" i="28"/>
  <c r="Z173" i="28"/>
  <c r="V173" i="28"/>
  <c r="AA172" i="28"/>
  <c r="Z172" i="28"/>
  <c r="V172" i="28"/>
  <c r="W172" i="28" s="1"/>
  <c r="AA171" i="28"/>
  <c r="Z171" i="28"/>
  <c r="V171" i="28"/>
  <c r="W171" i="28" s="1"/>
  <c r="AA170" i="28"/>
  <c r="Z170" i="28"/>
  <c r="V170" i="28"/>
  <c r="AA169" i="28"/>
  <c r="Z169" i="28"/>
  <c r="V169" i="28"/>
  <c r="W169" i="28" s="1"/>
  <c r="AA168" i="28"/>
  <c r="Z168" i="28"/>
  <c r="V168" i="28"/>
  <c r="W168" i="28" s="1"/>
  <c r="AA167" i="28"/>
  <c r="Z167" i="28"/>
  <c r="V167" i="28"/>
  <c r="W167" i="28" s="1"/>
  <c r="AA166" i="28"/>
  <c r="Z166" i="28"/>
  <c r="V166" i="28"/>
  <c r="W166" i="28" s="1"/>
  <c r="AA165" i="28"/>
  <c r="Z165" i="28"/>
  <c r="V165" i="28"/>
  <c r="W165" i="28" s="1"/>
  <c r="AA164" i="28"/>
  <c r="Z164" i="28"/>
  <c r="V164" i="28"/>
  <c r="W164" i="28" s="1"/>
  <c r="AA163" i="28"/>
  <c r="Z163" i="28"/>
  <c r="V163" i="28"/>
  <c r="AA162" i="28"/>
  <c r="Z162" i="28"/>
  <c r="V162" i="28"/>
  <c r="W162" i="28" s="1"/>
  <c r="AA161" i="28"/>
  <c r="Z161" i="28"/>
  <c r="V161" i="28"/>
  <c r="W161" i="28" s="1"/>
  <c r="AA160" i="28"/>
  <c r="Z160" i="28"/>
  <c r="V160" i="28"/>
  <c r="W160" i="28" s="1"/>
  <c r="AA159" i="28"/>
  <c r="Z159" i="28"/>
  <c r="V159" i="28"/>
  <c r="W159" i="28" s="1"/>
  <c r="AA158" i="28"/>
  <c r="Z158" i="28"/>
  <c r="V158" i="28"/>
  <c r="W158" i="28" s="1"/>
  <c r="AA157" i="28"/>
  <c r="Z157" i="28"/>
  <c r="V157" i="28"/>
  <c r="W157" i="28" s="1"/>
  <c r="AA156" i="28"/>
  <c r="Z156" i="28"/>
  <c r="V156" i="28"/>
  <c r="W156" i="28" s="1"/>
  <c r="AA155" i="28"/>
  <c r="Z155" i="28"/>
  <c r="V155" i="28"/>
  <c r="W155" i="28" s="1"/>
  <c r="AA154" i="28"/>
  <c r="Z154" i="28"/>
  <c r="V154" i="28"/>
  <c r="W154" i="28" s="1"/>
  <c r="AA153" i="28"/>
  <c r="Z153" i="28"/>
  <c r="V153" i="28"/>
  <c r="W153" i="28" s="1"/>
  <c r="AA152" i="28"/>
  <c r="Z152" i="28"/>
  <c r="V152" i="28"/>
  <c r="AA151" i="28"/>
  <c r="Z151" i="28"/>
  <c r="V151" i="28"/>
  <c r="W151" i="28" s="1"/>
  <c r="AA150" i="28"/>
  <c r="Z150" i="28"/>
  <c r="V150" i="28"/>
  <c r="AA149" i="28"/>
  <c r="Z149" i="28"/>
  <c r="V149" i="28"/>
  <c r="W149" i="28" s="1"/>
  <c r="B149" i="28"/>
  <c r="B150" i="28" s="1"/>
  <c r="B151" i="28" s="1"/>
  <c r="B152" i="28" s="1"/>
  <c r="B153" i="28" s="1"/>
  <c r="B154" i="28" s="1"/>
  <c r="B155" i="28" s="1"/>
  <c r="B156" i="28" s="1"/>
  <c r="B157" i="28" s="1"/>
  <c r="B158" i="28" s="1"/>
  <c r="B159" i="28" s="1"/>
  <c r="B160" i="28" s="1"/>
  <c r="B161" i="28" s="1"/>
  <c r="B162" i="28" s="1"/>
  <c r="B163" i="28" s="1"/>
  <c r="B164" i="28" s="1"/>
  <c r="B165" i="28" s="1"/>
  <c r="B166" i="28" s="1"/>
  <c r="B167" i="28" s="1"/>
  <c r="B168" i="28" s="1"/>
  <c r="B169" i="28" s="1"/>
  <c r="B170" i="28" s="1"/>
  <c r="B171" i="28" s="1"/>
  <c r="B172" i="28" s="1"/>
  <c r="B173" i="28" s="1"/>
  <c r="B174" i="28" s="1"/>
  <c r="B175" i="28" s="1"/>
  <c r="B176" i="28" s="1"/>
  <c r="B177" i="28" s="1"/>
  <c r="B178" i="28" s="1"/>
  <c r="B179" i="28" s="1"/>
  <c r="B180" i="28" s="1"/>
  <c r="B181" i="28" s="1"/>
  <c r="B182" i="28" s="1"/>
  <c r="B183" i="28" s="1"/>
  <c r="B184" i="28" s="1"/>
  <c r="AA148" i="28"/>
  <c r="Z148" i="28"/>
  <c r="V148" i="28"/>
  <c r="W148" i="28" s="1"/>
  <c r="AA147" i="28"/>
  <c r="Z147" i="28"/>
  <c r="V147" i="28"/>
  <c r="W147" i="28" s="1"/>
  <c r="AA146" i="28"/>
  <c r="Z146" i="28"/>
  <c r="V146" i="28"/>
  <c r="W146" i="28" s="1"/>
  <c r="AA145" i="28"/>
  <c r="Z145" i="28"/>
  <c r="V145" i="28"/>
  <c r="W145" i="28" s="1"/>
  <c r="AA144" i="28"/>
  <c r="Z144" i="28"/>
  <c r="V144" i="28"/>
  <c r="AA143" i="28"/>
  <c r="Z143" i="28"/>
  <c r="V143" i="28"/>
  <c r="AA142" i="28"/>
  <c r="Z142" i="28"/>
  <c r="V142" i="28"/>
  <c r="W142" i="28" s="1"/>
  <c r="AA141" i="28"/>
  <c r="Z141" i="28"/>
  <c r="V141" i="28"/>
  <c r="AA140" i="28"/>
  <c r="Z140" i="28"/>
  <c r="V140" i="28"/>
  <c r="W140" i="28" s="1"/>
  <c r="AA139" i="28"/>
  <c r="Z139" i="28"/>
  <c r="V139" i="28"/>
  <c r="W139" i="28" s="1"/>
  <c r="AA138" i="28"/>
  <c r="Z138" i="28"/>
  <c r="V138" i="28"/>
  <c r="AA137" i="28"/>
  <c r="Z137" i="28"/>
  <c r="V137" i="28"/>
  <c r="AA136" i="28"/>
  <c r="Z136" i="28"/>
  <c r="V136" i="28"/>
  <c r="W136" i="28" s="1"/>
  <c r="AA135" i="28"/>
  <c r="Z135" i="28"/>
  <c r="V135" i="28"/>
  <c r="W135" i="28" s="1"/>
  <c r="AA134" i="28"/>
  <c r="Z134" i="28"/>
  <c r="V134" i="28"/>
  <c r="W134" i="28" s="1"/>
  <c r="AA133" i="28"/>
  <c r="Z133" i="28"/>
  <c r="V133" i="28"/>
  <c r="W133" i="28" s="1"/>
  <c r="AA132" i="28"/>
  <c r="Z132" i="28"/>
  <c r="V132" i="28"/>
  <c r="AA131" i="28"/>
  <c r="Z131" i="28"/>
  <c r="V131" i="28"/>
  <c r="W131" i="28" s="1"/>
  <c r="AA130" i="28"/>
  <c r="Z130" i="28"/>
  <c r="V130" i="28"/>
  <c r="W130" i="28" s="1"/>
  <c r="AA129" i="28"/>
  <c r="Z129" i="28"/>
  <c r="V129" i="28"/>
  <c r="W129" i="28" s="1"/>
  <c r="AA128" i="28"/>
  <c r="Z128" i="28"/>
  <c r="V128" i="28"/>
  <c r="W128" i="28" s="1"/>
  <c r="AA127" i="28"/>
  <c r="Z127" i="28"/>
  <c r="V127" i="28"/>
  <c r="W127" i="28" s="1"/>
  <c r="AA126" i="28"/>
  <c r="Z126" i="28"/>
  <c r="V126" i="28"/>
  <c r="AA125" i="28"/>
  <c r="Z125" i="28"/>
  <c r="V125" i="28"/>
  <c r="AA124" i="28"/>
  <c r="Z124" i="28"/>
  <c r="V124" i="28"/>
  <c r="AA123" i="28"/>
  <c r="Z123" i="28"/>
  <c r="V123" i="28"/>
  <c r="W123" i="28" s="1"/>
  <c r="AA122" i="28"/>
  <c r="Z122" i="28"/>
  <c r="V122" i="28"/>
  <c r="W122" i="28" s="1"/>
  <c r="AA121" i="28"/>
  <c r="Z121" i="28"/>
  <c r="V121" i="28"/>
  <c r="AA120" i="28"/>
  <c r="Z120" i="28"/>
  <c r="V120" i="28"/>
  <c r="W120" i="28" s="1"/>
  <c r="AA119" i="28"/>
  <c r="Z119" i="28"/>
  <c r="V119" i="28"/>
  <c r="AA118" i="28"/>
  <c r="Z118" i="28"/>
  <c r="V118" i="28"/>
  <c r="W118" i="28" s="1"/>
  <c r="AA117" i="28"/>
  <c r="Z117" i="28"/>
  <c r="V117" i="28"/>
  <c r="W117" i="28" s="1"/>
  <c r="AA116" i="28"/>
  <c r="Z116" i="28"/>
  <c r="V116" i="28"/>
  <c r="AA115" i="28"/>
  <c r="Z115" i="28"/>
  <c r="V115" i="28"/>
  <c r="AA114" i="28"/>
  <c r="Z114" i="28"/>
  <c r="V114" i="28"/>
  <c r="AA113" i="28"/>
  <c r="Z113" i="28"/>
  <c r="V113" i="28"/>
  <c r="B113" i="28"/>
  <c r="B114" i="28" s="1"/>
  <c r="B115" i="28" s="1"/>
  <c r="B116" i="28" s="1"/>
  <c r="B117" i="28" s="1"/>
  <c r="B118" i="28" s="1"/>
  <c r="B119" i="28" s="1"/>
  <c r="B120" i="28" s="1"/>
  <c r="B121" i="28" s="1"/>
  <c r="B122" i="28" s="1"/>
  <c r="B123" i="28" s="1"/>
  <c r="B124" i="28" s="1"/>
  <c r="B125" i="28" s="1"/>
  <c r="B126" i="28" s="1"/>
  <c r="B127" i="28" s="1"/>
  <c r="B128" i="28" s="1"/>
  <c r="B129" i="28" s="1"/>
  <c r="B130" i="28" s="1"/>
  <c r="B131" i="28" s="1"/>
  <c r="B132" i="28" s="1"/>
  <c r="B133" i="28" s="1"/>
  <c r="B134" i="28" s="1"/>
  <c r="B135" i="28" s="1"/>
  <c r="B136" i="28" s="1"/>
  <c r="B137" i="28" s="1"/>
  <c r="B138" i="28" s="1"/>
  <c r="B139" i="28" s="1"/>
  <c r="B140" i="28" s="1"/>
  <c r="B141" i="28" s="1"/>
  <c r="B142" i="28" s="1"/>
  <c r="B143" i="28" s="1"/>
  <c r="B144" i="28" s="1"/>
  <c r="B145" i="28" s="1"/>
  <c r="B146" i="28" s="1"/>
  <c r="B147" i="28" s="1"/>
  <c r="AA112" i="28"/>
  <c r="Z112" i="28"/>
  <c r="V112" i="28"/>
  <c r="AA111" i="28"/>
  <c r="Z111" i="28"/>
  <c r="V111" i="28"/>
  <c r="W111" i="28" s="1"/>
  <c r="AA110" i="28"/>
  <c r="Z110" i="28"/>
  <c r="V110" i="28"/>
  <c r="W110" i="28" s="1"/>
  <c r="X110" i="28" s="1"/>
  <c r="Y110" i="28" s="1"/>
  <c r="AC110" i="28" s="1"/>
  <c r="AA109" i="28"/>
  <c r="Z109" i="28"/>
  <c r="V109" i="28"/>
  <c r="AA108" i="28"/>
  <c r="Z108" i="28"/>
  <c r="V108" i="28"/>
  <c r="W108" i="28" s="1"/>
  <c r="X108" i="28" s="1"/>
  <c r="Y108" i="28" s="1"/>
  <c r="AC108" i="28" s="1"/>
  <c r="AA107" i="28"/>
  <c r="Z107" i="28"/>
  <c r="V107" i="28"/>
  <c r="AA106" i="28"/>
  <c r="Z106" i="28"/>
  <c r="V106" i="28"/>
  <c r="W106" i="28" s="1"/>
  <c r="AA105" i="28"/>
  <c r="Z105" i="28"/>
  <c r="V105" i="28"/>
  <c r="W105" i="28" s="1"/>
  <c r="AA104" i="28"/>
  <c r="Z104" i="28"/>
  <c r="V104" i="28"/>
  <c r="W104" i="28" s="1"/>
  <c r="X104" i="28" s="1"/>
  <c r="Y104" i="28" s="1"/>
  <c r="AC104" i="28" s="1"/>
  <c r="AA103" i="28"/>
  <c r="Z103" i="28"/>
  <c r="V103" i="28"/>
  <c r="AA102" i="28"/>
  <c r="Z102" i="28"/>
  <c r="V102" i="28"/>
  <c r="W102" i="28" s="1"/>
  <c r="X102" i="28" s="1"/>
  <c r="Y102" i="28" s="1"/>
  <c r="AC102" i="28" s="1"/>
  <c r="AA101" i="28"/>
  <c r="Z101" i="28"/>
  <c r="V101" i="28"/>
  <c r="W101" i="28" s="1"/>
  <c r="X101" i="28" s="1"/>
  <c r="Y101" i="28" s="1"/>
  <c r="AC101" i="28" s="1"/>
  <c r="AA100" i="28"/>
  <c r="Z100" i="28"/>
  <c r="V100" i="28"/>
  <c r="W100" i="28" s="1"/>
  <c r="X100" i="28" s="1"/>
  <c r="Y100" i="28" s="1"/>
  <c r="AC100" i="28" s="1"/>
  <c r="AA99" i="28"/>
  <c r="Z99" i="28"/>
  <c r="V99" i="28"/>
  <c r="W99" i="28" s="1"/>
  <c r="X99" i="28" s="1"/>
  <c r="Y99" i="28" s="1"/>
  <c r="AC99" i="28" s="1"/>
  <c r="AA98" i="28"/>
  <c r="Z98" i="28"/>
  <c r="V98" i="28"/>
  <c r="AA97" i="28"/>
  <c r="Z97" i="28"/>
  <c r="V97" i="28"/>
  <c r="W97" i="28" s="1"/>
  <c r="AA96" i="28"/>
  <c r="Z96" i="28"/>
  <c r="V96" i="28"/>
  <c r="W96" i="28" s="1"/>
  <c r="AA95" i="28"/>
  <c r="Z95" i="28"/>
  <c r="V95" i="28"/>
  <c r="AA94" i="28"/>
  <c r="Z94" i="28"/>
  <c r="V94" i="28"/>
  <c r="W94" i="28" s="1"/>
  <c r="AA93" i="28"/>
  <c r="Z93" i="28"/>
  <c r="V93" i="28"/>
  <c r="W93" i="28" s="1"/>
  <c r="AA92" i="28"/>
  <c r="Z92" i="28"/>
  <c r="V92" i="28"/>
  <c r="W92" i="28" s="1"/>
  <c r="AA91" i="28"/>
  <c r="Z91" i="28"/>
  <c r="V91" i="28"/>
  <c r="W91" i="28" s="1"/>
  <c r="X91" i="28" s="1"/>
  <c r="Y91" i="28" s="1"/>
  <c r="AC91" i="28" s="1"/>
  <c r="AA90" i="28"/>
  <c r="Z90" i="28"/>
  <c r="V90" i="28"/>
  <c r="W90" i="28" s="1"/>
  <c r="AA89" i="28"/>
  <c r="Z89" i="28"/>
  <c r="V89" i="28"/>
  <c r="W89" i="28" s="1"/>
  <c r="AA88" i="28"/>
  <c r="Z88" i="28"/>
  <c r="V88" i="28"/>
  <c r="AA87" i="28"/>
  <c r="Z87" i="28"/>
  <c r="V87" i="28"/>
  <c r="W87" i="28" s="1"/>
  <c r="AA86" i="28"/>
  <c r="Z86" i="28"/>
  <c r="V86" i="28"/>
  <c r="AA85" i="28"/>
  <c r="Z85" i="28"/>
  <c r="V85" i="28"/>
  <c r="AA84" i="28"/>
  <c r="Z84" i="28"/>
  <c r="V84" i="28"/>
  <c r="AA83" i="28"/>
  <c r="Z83" i="28"/>
  <c r="V83" i="28"/>
  <c r="W83" i="28" s="1"/>
  <c r="AA82" i="28"/>
  <c r="Z82" i="28"/>
  <c r="V82" i="28"/>
  <c r="W82" i="28" s="1"/>
  <c r="X82" i="28" s="1"/>
  <c r="Y82" i="28" s="1"/>
  <c r="AC82" i="28" s="1"/>
  <c r="AA81" i="28"/>
  <c r="Z81" i="28"/>
  <c r="V81" i="28"/>
  <c r="AA80" i="28"/>
  <c r="Z80" i="28"/>
  <c r="V80" i="28"/>
  <c r="W80" i="28" s="1"/>
  <c r="AA79" i="28"/>
  <c r="Z79" i="28"/>
  <c r="V79" i="28"/>
  <c r="AA78" i="28"/>
  <c r="Z78" i="28"/>
  <c r="V78" i="28"/>
  <c r="W78" i="28" s="1"/>
  <c r="AA77" i="28"/>
  <c r="Z77" i="28"/>
  <c r="V77" i="28"/>
  <c r="AA76" i="28"/>
  <c r="Z76" i="28"/>
  <c r="V76" i="28"/>
  <c r="W76" i="28" s="1"/>
  <c r="AA75" i="28"/>
  <c r="Z75" i="28"/>
  <c r="V75" i="28"/>
  <c r="W75" i="28" s="1"/>
  <c r="AA74" i="28"/>
  <c r="Z74" i="28"/>
  <c r="V74" i="28"/>
  <c r="AA73" i="28"/>
  <c r="Z73" i="28"/>
  <c r="V73" i="28"/>
  <c r="W73" i="28" s="1"/>
  <c r="AA72" i="28"/>
  <c r="Z72" i="28"/>
  <c r="V72" i="28"/>
  <c r="AA71" i="28"/>
  <c r="Z71" i="28"/>
  <c r="V71" i="28"/>
  <c r="AA70" i="28"/>
  <c r="Z70" i="28"/>
  <c r="V70" i="28"/>
  <c r="AA69" i="28"/>
  <c r="Z69" i="28"/>
  <c r="V69" i="28"/>
  <c r="B69" i="28"/>
  <c r="B70" i="28" s="1"/>
  <c r="B71" i="28" s="1"/>
  <c r="B72" i="28" s="1"/>
  <c r="B73" i="28" s="1"/>
  <c r="B74" i="28" s="1"/>
  <c r="B75" i="28" s="1"/>
  <c r="B76" i="28" s="1"/>
  <c r="B77" i="28" s="1"/>
  <c r="B78" i="28" s="1"/>
  <c r="B79" i="28" s="1"/>
  <c r="B80" i="28" s="1"/>
  <c r="B81" i="28" s="1"/>
  <c r="B82" i="28" s="1"/>
  <c r="B83" i="28" s="1"/>
  <c r="B84" i="28" s="1"/>
  <c r="B85" i="28" s="1"/>
  <c r="B86" i="28" s="1"/>
  <c r="B87" i="28" s="1"/>
  <c r="B88" i="28" s="1"/>
  <c r="B89" i="28" s="1"/>
  <c r="B90" i="28" s="1"/>
  <c r="B91" i="28" s="1"/>
  <c r="B92" i="28" s="1"/>
  <c r="B93" i="28" s="1"/>
  <c r="B94" i="28" s="1"/>
  <c r="B95" i="28" s="1"/>
  <c r="B96" i="28" s="1"/>
  <c r="B97" i="28" s="1"/>
  <c r="B98" i="28" s="1"/>
  <c r="B99" i="28" s="1"/>
  <c r="B100" i="28" s="1"/>
  <c r="B101" i="28" s="1"/>
  <c r="B102" i="28" s="1"/>
  <c r="B103" i="28" s="1"/>
  <c r="B104" i="28" s="1"/>
  <c r="B105" i="28" s="1"/>
  <c r="B106" i="28" s="1"/>
  <c r="B107" i="28" s="1"/>
  <c r="B108" i="28" s="1"/>
  <c r="B109" i="28" s="1"/>
  <c r="B110" i="28" s="1"/>
  <c r="B111" i="28" s="1"/>
  <c r="AA68" i="28"/>
  <c r="Z68" i="28"/>
  <c r="V68" i="28"/>
  <c r="W68" i="28" s="1"/>
  <c r="X68" i="28" s="1"/>
  <c r="Y68" i="28" s="1"/>
  <c r="AC68" i="28" s="1"/>
  <c r="AA67" i="28"/>
  <c r="Z67" i="28"/>
  <c r="V67" i="28"/>
  <c r="W67" i="28" s="1"/>
  <c r="X67" i="28" s="1"/>
  <c r="Y67" i="28" s="1"/>
  <c r="AC67" i="28" s="1"/>
  <c r="AA66" i="28"/>
  <c r="Z66" i="28"/>
  <c r="V66" i="28"/>
  <c r="W66" i="28" s="1"/>
  <c r="X66" i="28" s="1"/>
  <c r="Y66" i="28" s="1"/>
  <c r="AC66" i="28" s="1"/>
  <c r="AA65" i="28"/>
  <c r="Z65" i="28"/>
  <c r="V65" i="28"/>
  <c r="W65" i="28" s="1"/>
  <c r="X65" i="28" s="1"/>
  <c r="Y65" i="28" s="1"/>
  <c r="AC65" i="28" s="1"/>
  <c r="AA64" i="28"/>
  <c r="Z64" i="28"/>
  <c r="V64" i="28"/>
  <c r="W64" i="28" s="1"/>
  <c r="X64" i="28" s="1"/>
  <c r="Y64" i="28" s="1"/>
  <c r="AC64" i="28" s="1"/>
  <c r="AA63" i="28"/>
  <c r="Z63" i="28"/>
  <c r="V63" i="28"/>
  <c r="W63" i="28" s="1"/>
  <c r="X63" i="28" s="1"/>
  <c r="Y63" i="28" s="1"/>
  <c r="AC63" i="28" s="1"/>
  <c r="AA62" i="28"/>
  <c r="Z62" i="28"/>
  <c r="V62" i="28"/>
  <c r="W62" i="28" s="1"/>
  <c r="X62" i="28" s="1"/>
  <c r="Y62" i="28" s="1"/>
  <c r="AC62" i="28" s="1"/>
  <c r="AA61" i="28"/>
  <c r="Z61" i="28"/>
  <c r="V61" i="28"/>
  <c r="W61" i="28" s="1"/>
  <c r="X61" i="28" s="1"/>
  <c r="Y61" i="28" s="1"/>
  <c r="AC61" i="28" s="1"/>
  <c r="AA60" i="28"/>
  <c r="Z60" i="28"/>
  <c r="V60" i="28"/>
  <c r="W60" i="28" s="1"/>
  <c r="X60" i="28" s="1"/>
  <c r="Y60" i="28" s="1"/>
  <c r="AC60" i="28" s="1"/>
  <c r="AA59" i="28"/>
  <c r="Z59" i="28"/>
  <c r="V59" i="28"/>
  <c r="W59" i="28" s="1"/>
  <c r="X59" i="28" s="1"/>
  <c r="Y59" i="28" s="1"/>
  <c r="AC59" i="28" s="1"/>
  <c r="AA58" i="28"/>
  <c r="Z58" i="28"/>
  <c r="V58" i="28"/>
  <c r="W58" i="28" s="1"/>
  <c r="X58" i="28" s="1"/>
  <c r="Y58" i="28" s="1"/>
  <c r="AC58" i="28" s="1"/>
  <c r="AA57" i="28"/>
  <c r="Z57" i="28"/>
  <c r="V57" i="28"/>
  <c r="W57" i="28" s="1"/>
  <c r="X57" i="28" s="1"/>
  <c r="Y57" i="28" s="1"/>
  <c r="AC57" i="28" s="1"/>
  <c r="AA56" i="28"/>
  <c r="Z56" i="28"/>
  <c r="V56" i="28"/>
  <c r="W56" i="28" s="1"/>
  <c r="X56" i="28" s="1"/>
  <c r="Y56" i="28" s="1"/>
  <c r="AC56" i="28" s="1"/>
  <c r="AA55" i="28"/>
  <c r="Z55" i="28"/>
  <c r="V55" i="28"/>
  <c r="W55" i="28" s="1"/>
  <c r="X55" i="28" s="1"/>
  <c r="Y55" i="28" s="1"/>
  <c r="AC55" i="28" s="1"/>
  <c r="AA54" i="28"/>
  <c r="Z54" i="28"/>
  <c r="V54" i="28"/>
  <c r="W54" i="28" s="1"/>
  <c r="X54" i="28" s="1"/>
  <c r="Y54" i="28" s="1"/>
  <c r="AC54" i="28" s="1"/>
  <c r="AA53" i="28"/>
  <c r="Z53" i="28"/>
  <c r="V53" i="28"/>
  <c r="W53" i="28" s="1"/>
  <c r="X53" i="28" s="1"/>
  <c r="Y53" i="28" s="1"/>
  <c r="AC53" i="28" s="1"/>
  <c r="AA52" i="28"/>
  <c r="Z52" i="28"/>
  <c r="V52" i="28"/>
  <c r="W52" i="28" s="1"/>
  <c r="X52" i="28" s="1"/>
  <c r="Y52" i="28" s="1"/>
  <c r="AC52" i="28" s="1"/>
  <c r="AA51" i="28"/>
  <c r="Z51" i="28"/>
  <c r="V51" i="28"/>
  <c r="W51" i="28" s="1"/>
  <c r="X51" i="28" s="1"/>
  <c r="Y51" i="28" s="1"/>
  <c r="AC51" i="28" s="1"/>
  <c r="AA50" i="28"/>
  <c r="Z50" i="28"/>
  <c r="V50" i="28"/>
  <c r="W50" i="28" s="1"/>
  <c r="X50" i="28" s="1"/>
  <c r="Y50" i="28" s="1"/>
  <c r="AC50" i="28" s="1"/>
  <c r="AA49" i="28"/>
  <c r="Z49" i="28"/>
  <c r="V49" i="28"/>
  <c r="W49" i="28" s="1"/>
  <c r="X49" i="28" s="1"/>
  <c r="Y49" i="28" s="1"/>
  <c r="AC49" i="28" s="1"/>
  <c r="AA48" i="28"/>
  <c r="Z48" i="28"/>
  <c r="V48" i="28"/>
  <c r="W48" i="28" s="1"/>
  <c r="X48" i="28" s="1"/>
  <c r="Y48" i="28" s="1"/>
  <c r="AC48" i="28" s="1"/>
  <c r="AA47" i="28"/>
  <c r="Z47" i="28"/>
  <c r="V47" i="28"/>
  <c r="W47" i="28" s="1"/>
  <c r="X47" i="28" s="1"/>
  <c r="Y47" i="28" s="1"/>
  <c r="AC47" i="28" s="1"/>
  <c r="AA46" i="28"/>
  <c r="Z46" i="28"/>
  <c r="V46" i="28"/>
  <c r="W46" i="28" s="1"/>
  <c r="X46" i="28" s="1"/>
  <c r="Y46" i="28" s="1"/>
  <c r="AC46" i="28" s="1"/>
  <c r="AA45" i="28"/>
  <c r="Z45" i="28"/>
  <c r="V45" i="28"/>
  <c r="W45" i="28" s="1"/>
  <c r="X45" i="28" s="1"/>
  <c r="Y45" i="28" s="1"/>
  <c r="AC45" i="28" s="1"/>
  <c r="AA44" i="28"/>
  <c r="Z44" i="28"/>
  <c r="V44" i="28"/>
  <c r="W44" i="28" s="1"/>
  <c r="X44" i="28" s="1"/>
  <c r="Y44" i="28" s="1"/>
  <c r="AC44" i="28" s="1"/>
  <c r="AA43" i="28"/>
  <c r="Z43" i="28"/>
  <c r="V43" i="28"/>
  <c r="W43" i="28" s="1"/>
  <c r="X43" i="28" s="1"/>
  <c r="Y43" i="28" s="1"/>
  <c r="AC43" i="28" s="1"/>
  <c r="AA42" i="28"/>
  <c r="Z42" i="28"/>
  <c r="V42" i="28"/>
  <c r="W42" i="28" s="1"/>
  <c r="X42" i="28" s="1"/>
  <c r="Y42" i="28" s="1"/>
  <c r="AC42" i="28" s="1"/>
  <c r="AA41" i="28"/>
  <c r="Z41" i="28"/>
  <c r="V41" i="28"/>
  <c r="W41" i="28" s="1"/>
  <c r="X41" i="28" s="1"/>
  <c r="Y41" i="28" s="1"/>
  <c r="AC41" i="28" s="1"/>
  <c r="AA40" i="28"/>
  <c r="Z40" i="28"/>
  <c r="V40" i="28"/>
  <c r="W40" i="28" s="1"/>
  <c r="X40" i="28" s="1"/>
  <c r="Y40" i="28" s="1"/>
  <c r="AC40" i="28" s="1"/>
  <c r="AA39" i="28"/>
  <c r="Z39" i="28"/>
  <c r="V39" i="28"/>
  <c r="W39" i="28" s="1"/>
  <c r="X39" i="28" s="1"/>
  <c r="Y39" i="28" s="1"/>
  <c r="AC39" i="28" s="1"/>
  <c r="AA38" i="28"/>
  <c r="Z38" i="28"/>
  <c r="V38" i="28"/>
  <c r="W38" i="28" s="1"/>
  <c r="X38" i="28" s="1"/>
  <c r="Y38" i="28" s="1"/>
  <c r="AC38" i="28" s="1"/>
  <c r="AA37" i="28"/>
  <c r="Z37" i="28"/>
  <c r="V37" i="28"/>
  <c r="W37" i="28" s="1"/>
  <c r="X37" i="28" s="1"/>
  <c r="Y37" i="28" s="1"/>
  <c r="AC37" i="28" s="1"/>
  <c r="AA36" i="28"/>
  <c r="Z36" i="28"/>
  <c r="V36" i="28"/>
  <c r="W36" i="28" s="1"/>
  <c r="X36" i="28" s="1"/>
  <c r="Y36" i="28" s="1"/>
  <c r="AC36" i="28" s="1"/>
  <c r="AA35" i="28"/>
  <c r="Z35" i="28"/>
  <c r="V35" i="28"/>
  <c r="W35" i="28" s="1"/>
  <c r="AA34" i="28"/>
  <c r="Z34" i="28"/>
  <c r="V34" i="28"/>
  <c r="W34" i="28" s="1"/>
  <c r="AA33" i="28"/>
  <c r="Z33" i="28"/>
  <c r="V33" i="28"/>
  <c r="W33" i="28" s="1"/>
  <c r="AA32" i="28"/>
  <c r="Z32" i="28"/>
  <c r="V32" i="28"/>
  <c r="W32" i="28" s="1"/>
  <c r="AA31" i="28"/>
  <c r="Z31" i="28"/>
  <c r="V31" i="28"/>
  <c r="W31" i="28" s="1"/>
  <c r="AA30" i="28"/>
  <c r="Z30" i="28"/>
  <c r="V30" i="28"/>
  <c r="W30" i="28" s="1"/>
  <c r="AA29" i="28"/>
  <c r="Z29" i="28"/>
  <c r="V29" i="28"/>
  <c r="W29" i="28" s="1"/>
  <c r="AA28" i="28"/>
  <c r="Z28" i="28"/>
  <c r="V28" i="28"/>
  <c r="W28" i="28" s="1"/>
  <c r="AA27" i="28"/>
  <c r="Z27" i="28"/>
  <c r="V27" i="28"/>
  <c r="W27" i="28" s="1"/>
  <c r="AA26" i="28"/>
  <c r="Z26" i="28"/>
  <c r="V26" i="28"/>
  <c r="W26" i="28" s="1"/>
  <c r="B26" i="28"/>
  <c r="B27" i="28" s="1"/>
  <c r="B28" i="28" s="1"/>
  <c r="B29" i="28" s="1"/>
  <c r="B30" i="28" s="1"/>
  <c r="B31" i="28" s="1"/>
  <c r="B32" i="28" s="1"/>
  <c r="B33" i="28" s="1"/>
  <c r="B34" i="28" s="1"/>
  <c r="B35" i="28" s="1"/>
  <c r="B36" i="28" s="1"/>
  <c r="B37" i="28" s="1"/>
  <c r="B38" i="28" s="1"/>
  <c r="B39" i="28" s="1"/>
  <c r="B40" i="28" s="1"/>
  <c r="B41" i="28" s="1"/>
  <c r="B42" i="28" s="1"/>
  <c r="B43" i="28" s="1"/>
  <c r="B44" i="28" s="1"/>
  <c r="B45" i="28" s="1"/>
  <c r="B46" i="28" s="1"/>
  <c r="B47" i="28" s="1"/>
  <c r="B48" i="28" s="1"/>
  <c r="B49" i="28" s="1"/>
  <c r="B50" i="28" s="1"/>
  <c r="B51" i="28" s="1"/>
  <c r="B52" i="28" s="1"/>
  <c r="B53" i="28" s="1"/>
  <c r="B54" i="28" s="1"/>
  <c r="B55" i="28" s="1"/>
  <c r="B56" i="28" s="1"/>
  <c r="B57" i="28" s="1"/>
  <c r="B58" i="28" s="1"/>
  <c r="B59" i="28" s="1"/>
  <c r="B60" i="28" s="1"/>
  <c r="B61" i="28" s="1"/>
  <c r="B62" i="28" s="1"/>
  <c r="B63" i="28" s="1"/>
  <c r="B64" i="28" s="1"/>
  <c r="B65" i="28" s="1"/>
  <c r="B66" i="28" s="1"/>
  <c r="B67" i="28" s="1"/>
  <c r="AA25" i="28"/>
  <c r="Z25" i="28"/>
  <c r="V25" i="28"/>
  <c r="W25" i="28" s="1"/>
  <c r="AA24" i="28"/>
  <c r="Z24" i="28"/>
  <c r="V24" i="28"/>
  <c r="W24" i="28" s="1"/>
  <c r="X24" i="28" s="1"/>
  <c r="Y24" i="28" s="1"/>
  <c r="AC24" i="28" s="1"/>
  <c r="AA23" i="28"/>
  <c r="Z23" i="28"/>
  <c r="V23" i="28"/>
  <c r="AA22" i="28"/>
  <c r="Z22" i="28"/>
  <c r="V22" i="28"/>
  <c r="AA21" i="28"/>
  <c r="Z21" i="28"/>
  <c r="V21" i="28"/>
  <c r="W21" i="28" s="1"/>
  <c r="AA20" i="28"/>
  <c r="Z20" i="28"/>
  <c r="V20" i="28"/>
  <c r="AA19" i="28"/>
  <c r="Z19" i="28"/>
  <c r="V19" i="28"/>
  <c r="W19" i="28" s="1"/>
  <c r="AA18" i="28"/>
  <c r="Z18" i="28"/>
  <c r="V18" i="28"/>
  <c r="AA17" i="28"/>
  <c r="Z17" i="28"/>
  <c r="V17" i="28"/>
  <c r="AA16" i="28"/>
  <c r="Z16" i="28"/>
  <c r="V16" i="28"/>
  <c r="W16" i="28" s="1"/>
  <c r="AA15" i="28"/>
  <c r="Z15" i="28"/>
  <c r="V15" i="28"/>
  <c r="W15" i="28" s="1"/>
  <c r="AA14" i="28"/>
  <c r="Z14" i="28"/>
  <c r="V14" i="28"/>
  <c r="W14" i="28" s="1"/>
  <c r="AA13" i="28"/>
  <c r="Z13" i="28"/>
  <c r="V13" i="28"/>
  <c r="AA12" i="28"/>
  <c r="Z12" i="28"/>
  <c r="V12" i="28"/>
  <c r="W12" i="28" s="1"/>
  <c r="AA11" i="28"/>
  <c r="Z11" i="28"/>
  <c r="V11" i="28"/>
  <c r="W11" i="28" s="1"/>
  <c r="AA10" i="28"/>
  <c r="Z10" i="28"/>
  <c r="V10" i="28"/>
  <c r="AA9" i="28"/>
  <c r="Z9" i="28"/>
  <c r="V9" i="28"/>
  <c r="W9" i="28" s="1"/>
  <c r="X9" i="28" s="1"/>
  <c r="Y9" i="28" s="1"/>
  <c r="AC9" i="28" s="1"/>
  <c r="AA8" i="28"/>
  <c r="Z8" i="28"/>
  <c r="V8" i="28"/>
  <c r="W8" i="28" s="1"/>
  <c r="AA7" i="28"/>
  <c r="Z7" i="28"/>
  <c r="V7" i="28"/>
  <c r="AA6" i="28"/>
  <c r="Z6" i="28"/>
  <c r="V6" i="28"/>
  <c r="AA5" i="28"/>
  <c r="Z5" i="28"/>
  <c r="V5" i="28"/>
  <c r="AA4" i="28"/>
  <c r="Z4" i="28"/>
  <c r="V4" i="28"/>
  <c r="AA3" i="28"/>
  <c r="Z3" i="28"/>
  <c r="V3" i="28"/>
  <c r="B3" i="28"/>
  <c r="B4" i="28" s="1"/>
  <c r="B5" i="28" s="1"/>
  <c r="B6" i="28" s="1"/>
  <c r="B7" i="28" s="1"/>
  <c r="B8" i="28" s="1"/>
  <c r="B9" i="28" s="1"/>
  <c r="B10" i="28" s="1"/>
  <c r="B11" i="28" s="1"/>
  <c r="B12" i="28" s="1"/>
  <c r="B13" i="28" s="1"/>
  <c r="B14" i="28" s="1"/>
  <c r="B15" i="28" s="1"/>
  <c r="B16" i="28" s="1"/>
  <c r="B17" i="28" s="1"/>
  <c r="B18" i="28" s="1"/>
  <c r="B19" i="28" s="1"/>
  <c r="B20" i="28" s="1"/>
  <c r="B21" i="28" s="1"/>
  <c r="B22" i="28" s="1"/>
  <c r="B23" i="28" s="1"/>
  <c r="B24" i="28" s="1"/>
  <c r="AA2" i="28"/>
  <c r="Z2" i="28"/>
  <c r="V2" i="28"/>
  <c r="C1093" i="28" l="1"/>
  <c r="C1309" i="28"/>
  <c r="C998" i="28"/>
  <c r="C1262" i="28"/>
  <c r="C1370" i="28"/>
  <c r="C888" i="28"/>
  <c r="C1152" i="28"/>
  <c r="C447" i="28"/>
  <c r="C1275" i="28"/>
  <c r="C976" i="28"/>
  <c r="C1060" i="28"/>
  <c r="C1120" i="28"/>
  <c r="C1288" i="28"/>
  <c r="C1420" i="28"/>
  <c r="C905" i="28"/>
  <c r="C929" i="28"/>
  <c r="C858" i="28"/>
  <c r="C942" i="28"/>
  <c r="C966" i="28"/>
  <c r="C1014" i="28"/>
  <c r="C1410" i="28"/>
  <c r="C1200" i="28"/>
  <c r="C894" i="28"/>
  <c r="C906" i="28"/>
  <c r="C918" i="28"/>
  <c r="C930" i="28"/>
  <c r="C1050" i="28"/>
  <c r="C1098" i="28"/>
  <c r="C1110" i="28"/>
  <c r="C1122" i="28"/>
  <c r="C1314" i="28"/>
  <c r="C1374" i="28"/>
  <c r="C932" i="28"/>
  <c r="C1052" i="28"/>
  <c r="C1424" i="28"/>
  <c r="C861" i="28"/>
  <c r="C909" i="28"/>
  <c r="C921" i="28"/>
  <c r="C957" i="28"/>
  <c r="C1317" i="28"/>
  <c r="C1008" i="28"/>
  <c r="C1296" i="28"/>
  <c r="C889" i="28"/>
  <c r="C937" i="28"/>
  <c r="C961" i="28"/>
  <c r="C1069" i="28"/>
  <c r="C1129" i="28"/>
  <c r="C1417" i="28"/>
  <c r="C983" i="28"/>
  <c r="C458" i="28"/>
  <c r="C962" i="28"/>
  <c r="C974" i="28"/>
  <c r="C1202" i="28"/>
  <c r="C459" i="28"/>
  <c r="C867" i="28"/>
  <c r="C999" i="28"/>
  <c r="C1251" i="28"/>
  <c r="C1263" i="28"/>
  <c r="C851" i="28"/>
  <c r="C868" i="28"/>
  <c r="C1096" i="28"/>
  <c r="C1276" i="28"/>
  <c r="C1312" i="28"/>
  <c r="C893" i="28"/>
  <c r="C1037" i="28"/>
  <c r="C1061" i="28"/>
  <c r="C1097" i="28"/>
  <c r="C1265" i="28"/>
  <c r="C1277" i="28"/>
  <c r="C1289" i="28"/>
  <c r="C1325" i="28"/>
  <c r="C1373" i="28"/>
  <c r="C1004" i="28"/>
  <c r="C1064" i="28"/>
  <c r="C1124" i="28"/>
  <c r="C933" i="28"/>
  <c r="C959" i="28"/>
  <c r="C864" i="28"/>
  <c r="C1418" i="28"/>
  <c r="C975" i="28"/>
  <c r="C460" i="28"/>
  <c r="C922" i="28"/>
  <c r="C994" i="28"/>
  <c r="C1114" i="28"/>
  <c r="C887" i="28"/>
  <c r="C899" i="28"/>
  <c r="C923" i="28"/>
  <c r="C947" i="28"/>
  <c r="C995" i="28"/>
  <c r="C1055" i="28"/>
  <c r="C1091" i="28"/>
  <c r="C1151" i="28"/>
  <c r="C1259" i="28"/>
  <c r="C1307" i="28"/>
  <c r="C1355" i="28"/>
  <c r="C1113" i="28"/>
  <c r="C1090" i="28"/>
  <c r="C852" i="28"/>
  <c r="C900" i="28"/>
  <c r="C924" i="28"/>
  <c r="C996" i="28"/>
  <c r="C1056" i="28"/>
  <c r="C1140" i="28"/>
  <c r="C1272" i="28"/>
  <c r="C1308" i="28"/>
  <c r="C1368" i="28"/>
  <c r="C885" i="28"/>
  <c r="C1377" i="28"/>
  <c r="C853" i="28"/>
  <c r="C925" i="28"/>
  <c r="C997" i="28"/>
  <c r="C1009" i="28"/>
  <c r="C1141" i="28"/>
  <c r="C1266" i="28"/>
  <c r="C1302" i="28"/>
  <c r="C1326" i="28"/>
  <c r="C1267" i="28"/>
  <c r="C1351" i="28"/>
  <c r="C1375" i="28"/>
  <c r="C884" i="28"/>
  <c r="C1076" i="28"/>
  <c r="C1112" i="28"/>
  <c r="C1268" i="28"/>
  <c r="C1304" i="28"/>
  <c r="C1340" i="28"/>
  <c r="C854" i="28"/>
  <c r="C902" i="28"/>
  <c r="C938" i="28"/>
  <c r="C986" i="28"/>
  <c r="C1118" i="28"/>
  <c r="C1142" i="28"/>
  <c r="C1274" i="28"/>
  <c r="C1053" i="28"/>
  <c r="C1089" i="28"/>
  <c r="C1305" i="28"/>
  <c r="C1054" i="28"/>
  <c r="C1354" i="28"/>
  <c r="C903" i="28"/>
  <c r="C939" i="28"/>
  <c r="C963" i="28"/>
  <c r="C1011" i="28"/>
  <c r="C1059" i="28"/>
  <c r="C1119" i="28"/>
  <c r="C1287" i="28"/>
  <c r="C1407" i="28"/>
  <c r="C904" i="28"/>
  <c r="C928" i="28"/>
  <c r="C1012" i="28"/>
  <c r="C1144" i="28"/>
  <c r="C886" i="28"/>
  <c r="C1013" i="28"/>
  <c r="C1073" i="28"/>
  <c r="C1047" i="28"/>
  <c r="C1107" i="28"/>
  <c r="C916" i="28"/>
  <c r="C1168" i="28"/>
  <c r="C954" i="28"/>
  <c r="C991" i="28"/>
  <c r="C1171" i="28"/>
  <c r="C1207" i="28"/>
  <c r="C1219" i="28"/>
  <c r="C561" i="28"/>
  <c r="C1521" i="28"/>
  <c r="C1547" i="28"/>
  <c r="C562" i="28"/>
  <c r="C2" i="28"/>
  <c r="X736" i="28"/>
  <c r="Y736" i="28" s="1"/>
  <c r="AC736" i="28" s="1"/>
  <c r="X345" i="28"/>
  <c r="Y345" i="28" s="1"/>
  <c r="AC345" i="28" s="1"/>
  <c r="X437" i="28"/>
  <c r="Y437" i="28" s="1"/>
  <c r="AC437" i="28" s="1"/>
  <c r="X1232" i="28"/>
  <c r="Y1232" i="28" s="1"/>
  <c r="AC1232" i="28" s="1"/>
  <c r="X875" i="28"/>
  <c r="Y875" i="28" s="1"/>
  <c r="AC875" i="28" s="1"/>
  <c r="X204" i="28"/>
  <c r="Y204" i="28" s="1"/>
  <c r="AC204" i="28" s="1"/>
  <c r="X1329" i="28"/>
  <c r="Y1329" i="28" s="1"/>
  <c r="AC1329" i="28" s="1"/>
  <c r="X830" i="28"/>
  <c r="Y830" i="28" s="1"/>
  <c r="AC830" i="28" s="1"/>
  <c r="X1235" i="28"/>
  <c r="Y1235" i="28" s="1"/>
  <c r="AC1235" i="28" s="1"/>
  <c r="X1263" i="28"/>
  <c r="Y1263" i="28" s="1"/>
  <c r="AC1263" i="28" s="1"/>
  <c r="X714" i="28"/>
  <c r="Y714" i="28" s="1"/>
  <c r="AC714" i="28" s="1"/>
  <c r="X717" i="28"/>
  <c r="Y717" i="28" s="1"/>
  <c r="AC717" i="28" s="1"/>
  <c r="X588" i="28"/>
  <c r="Y588" i="28" s="1"/>
  <c r="AC588" i="28" s="1"/>
  <c r="W708" i="28"/>
  <c r="X708" i="28" s="1"/>
  <c r="Y708" i="28" s="1"/>
  <c r="AC708" i="28" s="1"/>
  <c r="X819" i="28"/>
  <c r="Y819" i="28" s="1"/>
  <c r="AC819" i="28" s="1"/>
  <c r="X1542" i="28"/>
  <c r="Y1542" i="28" s="1"/>
  <c r="AC1542" i="28" s="1"/>
  <c r="X106" i="28"/>
  <c r="Y106" i="28" s="1"/>
  <c r="AC106" i="28" s="1"/>
  <c r="X344" i="28"/>
  <c r="Y344" i="28" s="1"/>
  <c r="AC344" i="28" s="1"/>
  <c r="W645" i="28"/>
  <c r="X645" i="28" s="1"/>
  <c r="Y645" i="28" s="1"/>
  <c r="AC645" i="28" s="1"/>
  <c r="X1508" i="28"/>
  <c r="Y1508" i="28" s="1"/>
  <c r="AC1508" i="28" s="1"/>
  <c r="X229" i="28"/>
  <c r="Y229" i="28" s="1"/>
  <c r="AC229" i="28" s="1"/>
  <c r="X287" i="28"/>
  <c r="Y287" i="28" s="1"/>
  <c r="AC287" i="28" s="1"/>
  <c r="X593" i="28"/>
  <c r="Y593" i="28" s="1"/>
  <c r="AC593" i="28" s="1"/>
  <c r="X1288" i="28"/>
  <c r="Y1288" i="28" s="1"/>
  <c r="AC1288" i="28" s="1"/>
  <c r="W1389" i="28"/>
  <c r="X1389" i="28" s="1"/>
  <c r="Y1389" i="28" s="1"/>
  <c r="AC1389" i="28" s="1"/>
  <c r="X1261" i="28"/>
  <c r="Y1261" i="28" s="1"/>
  <c r="AC1261" i="28" s="1"/>
  <c r="X1286" i="28"/>
  <c r="Y1286" i="28" s="1"/>
  <c r="AC1286" i="28" s="1"/>
  <c r="X802" i="28"/>
  <c r="Y802" i="28" s="1"/>
  <c r="AC802" i="28" s="1"/>
  <c r="X595" i="28"/>
  <c r="Y595" i="28" s="1"/>
  <c r="AC595" i="28" s="1"/>
  <c r="X985" i="28"/>
  <c r="Y985" i="28" s="1"/>
  <c r="AC985" i="28" s="1"/>
  <c r="W1539" i="28"/>
  <c r="X1539" i="28" s="1"/>
  <c r="Y1539" i="28" s="1"/>
  <c r="AC1539" i="28" s="1"/>
  <c r="X1128" i="28"/>
  <c r="Y1128" i="28" s="1"/>
  <c r="AC1128" i="28" s="1"/>
  <c r="X1188" i="28"/>
  <c r="Y1188" i="28" s="1"/>
  <c r="AC1188" i="28" s="1"/>
  <c r="X1046" i="28"/>
  <c r="Y1046" i="28" s="1"/>
  <c r="AC1046" i="28" s="1"/>
  <c r="X1309" i="28"/>
  <c r="Y1309" i="28" s="1"/>
  <c r="AC1309" i="28" s="1"/>
  <c r="W1410" i="28"/>
  <c r="X1410" i="28" s="1"/>
  <c r="Y1410" i="28" s="1"/>
  <c r="AC1410" i="28" s="1"/>
  <c r="W879" i="28"/>
  <c r="X879" i="28" s="1"/>
  <c r="Y879" i="28" s="1"/>
  <c r="AC879" i="28" s="1"/>
  <c r="X1079" i="28"/>
  <c r="Y1079" i="28" s="1"/>
  <c r="AC1079" i="28" s="1"/>
  <c r="W6" i="28"/>
  <c r="X6" i="28" s="1"/>
  <c r="Y6" i="28" s="1"/>
  <c r="AC6" i="28" s="1"/>
  <c r="W207" i="28"/>
  <c r="X207" i="28" s="1"/>
  <c r="Y207" i="28" s="1"/>
  <c r="AC207" i="28" s="1"/>
  <c r="X224" i="28"/>
  <c r="Y224" i="28" s="1"/>
  <c r="AC224" i="28" s="1"/>
  <c r="X351" i="28"/>
  <c r="Y351" i="28" s="1"/>
  <c r="AC351" i="28" s="1"/>
  <c r="X664" i="28"/>
  <c r="Y664" i="28" s="1"/>
  <c r="AC664" i="28" s="1"/>
  <c r="X1109" i="28"/>
  <c r="Y1109" i="28" s="1"/>
  <c r="AC1109" i="28" s="1"/>
  <c r="X1573" i="28"/>
  <c r="Y1573" i="28" s="1"/>
  <c r="AC1573" i="28" s="1"/>
  <c r="X292" i="28"/>
  <c r="Y292" i="28" s="1"/>
  <c r="AC292" i="28" s="1"/>
  <c r="X658" i="28"/>
  <c r="Y658" i="28" s="1"/>
  <c r="AC658" i="28" s="1"/>
  <c r="X841" i="28"/>
  <c r="Y841" i="28" s="1"/>
  <c r="AC841" i="28" s="1"/>
  <c r="X967" i="28"/>
  <c r="Y967" i="28" s="1"/>
  <c r="AC967" i="28" s="1"/>
  <c r="X1123" i="28"/>
  <c r="Y1123" i="28" s="1"/>
  <c r="AC1123" i="28" s="1"/>
  <c r="X1169" i="28"/>
  <c r="Y1169" i="28" s="1"/>
  <c r="AC1169" i="28" s="1"/>
  <c r="X1225" i="28"/>
  <c r="Y1225" i="28" s="1"/>
  <c r="AC1225" i="28" s="1"/>
  <c r="X1359" i="28"/>
  <c r="Y1359" i="28" s="1"/>
  <c r="AC1359" i="28" s="1"/>
  <c r="W1444" i="28"/>
  <c r="X1444" i="28" s="1"/>
  <c r="Y1444" i="28" s="1"/>
  <c r="AC1444" i="28" s="1"/>
  <c r="W13" i="28"/>
  <c r="X13" i="28" s="1"/>
  <c r="Y13" i="28" s="1"/>
  <c r="AC13" i="28" s="1"/>
  <c r="X97" i="28"/>
  <c r="Y97" i="28" s="1"/>
  <c r="AC97" i="28" s="1"/>
  <c r="X427" i="28"/>
  <c r="Y427" i="28" s="1"/>
  <c r="AC427" i="28" s="1"/>
  <c r="X735" i="28"/>
  <c r="Y735" i="28" s="1"/>
  <c r="AC735" i="28" s="1"/>
  <c r="X837" i="28"/>
  <c r="Y837" i="28" s="1"/>
  <c r="AC837" i="28" s="1"/>
  <c r="X840" i="28"/>
  <c r="Y840" i="28" s="1"/>
  <c r="AC840" i="28" s="1"/>
  <c r="X1164" i="28"/>
  <c r="Y1164" i="28" s="1"/>
  <c r="AC1164" i="28" s="1"/>
  <c r="X1202" i="28"/>
  <c r="Y1202" i="28" s="1"/>
  <c r="AC1202" i="28" s="1"/>
  <c r="X1305" i="28"/>
  <c r="Y1305" i="28" s="1"/>
  <c r="AC1305" i="28" s="1"/>
  <c r="X1308" i="28"/>
  <c r="Y1308" i="28" s="1"/>
  <c r="AC1308" i="28" s="1"/>
  <c r="X1345" i="28"/>
  <c r="Y1345" i="28" s="1"/>
  <c r="AC1345" i="28" s="1"/>
  <c r="X1502" i="28"/>
  <c r="Y1502" i="28" s="1"/>
  <c r="AC1502" i="28" s="1"/>
  <c r="X1575" i="28"/>
  <c r="Y1575" i="28" s="1"/>
  <c r="AC1575" i="28" s="1"/>
  <c r="W322" i="28"/>
  <c r="X322" i="28" s="1"/>
  <c r="Y322" i="28" s="1"/>
  <c r="AC322" i="28" s="1"/>
  <c r="X492" i="28"/>
  <c r="Y492" i="28" s="1"/>
  <c r="AC492" i="28" s="1"/>
  <c r="X585" i="28"/>
  <c r="Y585" i="28" s="1"/>
  <c r="AC585" i="28" s="1"/>
  <c r="W669" i="28"/>
  <c r="X669" i="28" s="1"/>
  <c r="Y669" i="28" s="1"/>
  <c r="AC669" i="28" s="1"/>
  <c r="X729" i="28"/>
  <c r="Y729" i="28" s="1"/>
  <c r="AC729" i="28" s="1"/>
  <c r="X742" i="28"/>
  <c r="Y742" i="28" s="1"/>
  <c r="AC742" i="28" s="1"/>
  <c r="X1053" i="28"/>
  <c r="Y1053" i="28" s="1"/>
  <c r="AC1053" i="28" s="1"/>
  <c r="X1100" i="28"/>
  <c r="Y1100" i="28" s="1"/>
  <c r="AC1100" i="28" s="1"/>
  <c r="X1106" i="28"/>
  <c r="Y1106" i="28" s="1"/>
  <c r="AC1106" i="28" s="1"/>
  <c r="X1249" i="28"/>
  <c r="Y1249" i="28" s="1"/>
  <c r="AC1249" i="28" s="1"/>
  <c r="W1376" i="28"/>
  <c r="X1376" i="28" s="1"/>
  <c r="Y1376" i="28" s="1"/>
  <c r="AC1376" i="28" s="1"/>
  <c r="X1450" i="28"/>
  <c r="Y1450" i="28" s="1"/>
  <c r="AC1450" i="28" s="1"/>
  <c r="W1515" i="28"/>
  <c r="X1515" i="28" s="1"/>
  <c r="Y1515" i="28" s="1"/>
  <c r="AC1515" i="28" s="1"/>
  <c r="W1554" i="28"/>
  <c r="X1554" i="28" s="1"/>
  <c r="Y1554" i="28" s="1"/>
  <c r="AC1554" i="28" s="1"/>
  <c r="W1563" i="28"/>
  <c r="X1563" i="28" s="1"/>
  <c r="Y1563" i="28" s="1"/>
  <c r="AC1563" i="28" s="1"/>
  <c r="W1566" i="28"/>
  <c r="X1566" i="28" s="1"/>
  <c r="Y1566" i="28" s="1"/>
  <c r="AC1566" i="28" s="1"/>
  <c r="W536" i="28"/>
  <c r="X536" i="28" s="1"/>
  <c r="Y536" i="28" s="1"/>
  <c r="AC536" i="28" s="1"/>
  <c r="W678" i="28"/>
  <c r="X678" i="28" s="1"/>
  <c r="Y678" i="28" s="1"/>
  <c r="AC678" i="28" s="1"/>
  <c r="X89" i="28"/>
  <c r="Y89" i="28" s="1"/>
  <c r="AC89" i="28" s="1"/>
  <c r="X499" i="28"/>
  <c r="Y499" i="28" s="1"/>
  <c r="AC499" i="28" s="1"/>
  <c r="X688" i="28"/>
  <c r="Y688" i="28" s="1"/>
  <c r="AC688" i="28" s="1"/>
  <c r="X964" i="28"/>
  <c r="Y964" i="28" s="1"/>
  <c r="AC964" i="28" s="1"/>
  <c r="X1155" i="28"/>
  <c r="Y1155" i="28" s="1"/>
  <c r="AC1155" i="28" s="1"/>
  <c r="X1336" i="28"/>
  <c r="Y1336" i="28" s="1"/>
  <c r="AC1336" i="28" s="1"/>
  <c r="X1339" i="28"/>
  <c r="Y1339" i="28" s="1"/>
  <c r="AC1339" i="28" s="1"/>
  <c r="X1373" i="28"/>
  <c r="Y1373" i="28" s="1"/>
  <c r="AC1373" i="28" s="1"/>
  <c r="X1456" i="28"/>
  <c r="Y1456" i="28" s="1"/>
  <c r="AC1456" i="28" s="1"/>
  <c r="X1460" i="28"/>
  <c r="Y1460" i="28" s="1"/>
  <c r="AC1460" i="28" s="1"/>
  <c r="X1509" i="28"/>
  <c r="Y1509" i="28" s="1"/>
  <c r="AC1509" i="28" s="1"/>
  <c r="X76" i="28"/>
  <c r="Y76" i="28" s="1"/>
  <c r="AC76" i="28" s="1"/>
  <c r="W81" i="28"/>
  <c r="X81" i="28" s="1"/>
  <c r="Y81" i="28" s="1"/>
  <c r="AC81" i="28" s="1"/>
  <c r="X148" i="28"/>
  <c r="Y148" i="28" s="1"/>
  <c r="AC148" i="28" s="1"/>
  <c r="X233" i="28"/>
  <c r="Y233" i="28" s="1"/>
  <c r="AC233" i="28" s="1"/>
  <c r="W320" i="28"/>
  <c r="X320" i="28" s="1"/>
  <c r="Y320" i="28" s="1"/>
  <c r="AC320" i="28" s="1"/>
  <c r="X385" i="28"/>
  <c r="Y385" i="28" s="1"/>
  <c r="AC385" i="28" s="1"/>
  <c r="X510" i="28"/>
  <c r="Y510" i="28" s="1"/>
  <c r="AC510" i="28" s="1"/>
  <c r="X621" i="28"/>
  <c r="Y621" i="28" s="1"/>
  <c r="AC621" i="28" s="1"/>
  <c r="W743" i="28"/>
  <c r="X743" i="28" s="1"/>
  <c r="Y743" i="28" s="1"/>
  <c r="AC743" i="28" s="1"/>
  <c r="X945" i="28"/>
  <c r="Y945" i="28" s="1"/>
  <c r="AC945" i="28" s="1"/>
  <c r="X951" i="28"/>
  <c r="Y951" i="28" s="1"/>
  <c r="AC951" i="28" s="1"/>
  <c r="X1040" i="28"/>
  <c r="Y1040" i="28" s="1"/>
  <c r="AC1040" i="28" s="1"/>
  <c r="X1074" i="28"/>
  <c r="Y1074" i="28" s="1"/>
  <c r="AC1074" i="28" s="1"/>
  <c r="W1178" i="28"/>
  <c r="X1178" i="28" s="1"/>
  <c r="Y1178" i="28" s="1"/>
  <c r="AC1178" i="28" s="1"/>
  <c r="X1181" i="28"/>
  <c r="Y1181" i="28" s="1"/>
  <c r="AC1181" i="28" s="1"/>
  <c r="W1432" i="28"/>
  <c r="X1432" i="28" s="1"/>
  <c r="Y1432" i="28" s="1"/>
  <c r="AC1432" i="28" s="1"/>
  <c r="W1451" i="28"/>
  <c r="X1451" i="28" s="1"/>
  <c r="Y1451" i="28" s="1"/>
  <c r="AC1451" i="28" s="1"/>
  <c r="X1473" i="28"/>
  <c r="Y1473" i="28" s="1"/>
  <c r="AC1473" i="28" s="1"/>
  <c r="W1488" i="28"/>
  <c r="X1488" i="28" s="1"/>
  <c r="Y1488" i="28" s="1"/>
  <c r="AC1488" i="28" s="1"/>
  <c r="X1600" i="28"/>
  <c r="Y1600" i="28" s="1"/>
  <c r="AC1600" i="28" s="1"/>
  <c r="X93" i="28"/>
  <c r="Y93" i="28" s="1"/>
  <c r="AC93" i="28" s="1"/>
  <c r="W213" i="28"/>
  <c r="X213" i="28" s="1"/>
  <c r="Y213" i="28" s="1"/>
  <c r="AC213" i="28" s="1"/>
  <c r="X293" i="28"/>
  <c r="Y293" i="28" s="1"/>
  <c r="AC293" i="28" s="1"/>
  <c r="X429" i="28"/>
  <c r="Y429" i="28" s="1"/>
  <c r="AC429" i="28" s="1"/>
  <c r="W1126" i="28"/>
  <c r="X1126" i="28" s="1"/>
  <c r="Y1126" i="28" s="1"/>
  <c r="AC1126" i="28" s="1"/>
  <c r="X1210" i="28"/>
  <c r="Y1210" i="28" s="1"/>
  <c r="AC1210" i="28" s="1"/>
  <c r="X1294" i="28"/>
  <c r="Y1294" i="28" s="1"/>
  <c r="AC1294" i="28" s="1"/>
  <c r="X1337" i="28"/>
  <c r="Y1337" i="28" s="1"/>
  <c r="AC1337" i="28" s="1"/>
  <c r="X1400" i="28"/>
  <c r="Y1400" i="28" s="1"/>
  <c r="AC1400" i="28" s="1"/>
  <c r="X1442" i="28"/>
  <c r="Y1442" i="28" s="1"/>
  <c r="AC1442" i="28" s="1"/>
  <c r="X260" i="28"/>
  <c r="Y260" i="28" s="1"/>
  <c r="AC260" i="28" s="1"/>
  <c r="X105" i="28"/>
  <c r="Y105" i="28" s="1"/>
  <c r="AC105" i="28" s="1"/>
  <c r="X340" i="28"/>
  <c r="Y340" i="28" s="1"/>
  <c r="AC340" i="28" s="1"/>
  <c r="X350" i="28"/>
  <c r="Y350" i="28" s="1"/>
  <c r="AC350" i="28" s="1"/>
  <c r="X436" i="28"/>
  <c r="Y436" i="28" s="1"/>
  <c r="AC436" i="28" s="1"/>
  <c r="X439" i="28"/>
  <c r="Y439" i="28" s="1"/>
  <c r="AC439" i="28" s="1"/>
  <c r="X508" i="28"/>
  <c r="Y508" i="28" s="1"/>
  <c r="AC508" i="28" s="1"/>
  <c r="X590" i="28"/>
  <c r="Y590" i="28" s="1"/>
  <c r="AC590" i="28" s="1"/>
  <c r="X747" i="28"/>
  <c r="Y747" i="28" s="1"/>
  <c r="AC747" i="28" s="1"/>
  <c r="X790" i="28"/>
  <c r="Y790" i="28" s="1"/>
  <c r="AC790" i="28" s="1"/>
  <c r="X1140" i="28"/>
  <c r="Y1140" i="28" s="1"/>
  <c r="AC1140" i="28" s="1"/>
  <c r="X1204" i="28"/>
  <c r="Y1204" i="28" s="1"/>
  <c r="AC1204" i="28" s="1"/>
  <c r="X1468" i="28"/>
  <c r="Y1468" i="28" s="1"/>
  <c r="AC1468" i="28" s="1"/>
  <c r="X1483" i="28"/>
  <c r="Y1483" i="28" s="1"/>
  <c r="AC1483" i="28" s="1"/>
  <c r="W17" i="28"/>
  <c r="X17" i="28" s="1"/>
  <c r="Y17" i="28" s="1"/>
  <c r="AC17" i="28" s="1"/>
  <c r="W323" i="28"/>
  <c r="X323" i="28" s="1"/>
  <c r="Y323" i="28" s="1"/>
  <c r="AC323" i="28" s="1"/>
  <c r="W505" i="28"/>
  <c r="X505" i="28" s="1"/>
  <c r="Y505" i="28" s="1"/>
  <c r="AC505" i="28" s="1"/>
  <c r="W1208" i="28"/>
  <c r="X1208" i="28" s="1"/>
  <c r="Y1208" i="28" s="1"/>
  <c r="AC1208" i="28" s="1"/>
  <c r="X35" i="28"/>
  <c r="Y35" i="28" s="1"/>
  <c r="AC35" i="28" s="1"/>
  <c r="W71" i="28"/>
  <c r="X71" i="28" s="1"/>
  <c r="Y71" i="28" s="1"/>
  <c r="AC71" i="28" s="1"/>
  <c r="W84" i="28"/>
  <c r="X84" i="28" s="1"/>
  <c r="Y84" i="28" s="1"/>
  <c r="AC84" i="28" s="1"/>
  <c r="W249" i="28"/>
  <c r="X249" i="28" s="1"/>
  <c r="Y249" i="28" s="1"/>
  <c r="AC249" i="28" s="1"/>
  <c r="W326" i="28"/>
  <c r="X326" i="28" s="1"/>
  <c r="Y326" i="28" s="1"/>
  <c r="AC326" i="28" s="1"/>
  <c r="W484" i="28"/>
  <c r="X484" i="28" s="1"/>
  <c r="Y484" i="28" s="1"/>
  <c r="AC484" i="28" s="1"/>
  <c r="W586" i="28"/>
  <c r="X586" i="28" s="1"/>
  <c r="Y586" i="28" s="1"/>
  <c r="AC586" i="28" s="1"/>
  <c r="X804" i="28"/>
  <c r="Y804" i="28" s="1"/>
  <c r="AC804" i="28" s="1"/>
  <c r="X263" i="28"/>
  <c r="Y263" i="28" s="1"/>
  <c r="AC263" i="28" s="1"/>
  <c r="X620" i="28"/>
  <c r="Y620" i="28" s="1"/>
  <c r="AC620" i="28" s="1"/>
  <c r="W98" i="28"/>
  <c r="X98" i="28" s="1"/>
  <c r="Y98" i="28" s="1"/>
  <c r="AC98" i="28" s="1"/>
  <c r="X199" i="28"/>
  <c r="Y199" i="28" s="1"/>
  <c r="AC199" i="28" s="1"/>
  <c r="X92" i="28"/>
  <c r="Y92" i="28" s="1"/>
  <c r="AC92" i="28" s="1"/>
  <c r="W584" i="28"/>
  <c r="X584" i="28" s="1"/>
  <c r="Y584" i="28" s="1"/>
  <c r="AC584" i="28" s="1"/>
  <c r="X1031" i="28"/>
  <c r="Y1031" i="28" s="1"/>
  <c r="AC1031" i="28" s="1"/>
  <c r="W1297" i="28"/>
  <c r="X1297" i="28" s="1"/>
  <c r="Y1297" i="28" s="1"/>
  <c r="AC1297" i="28" s="1"/>
  <c r="W1406" i="28"/>
  <c r="X1406" i="28" s="1"/>
  <c r="Y1406" i="28" s="1"/>
  <c r="AC1406" i="28" s="1"/>
  <c r="W10" i="28"/>
  <c r="X10" i="28" s="1"/>
  <c r="Y10" i="28" s="1"/>
  <c r="AC10" i="28" s="1"/>
  <c r="X78" i="28"/>
  <c r="Y78" i="28" s="1"/>
  <c r="AC78" i="28" s="1"/>
  <c r="X94" i="28"/>
  <c r="Y94" i="28" s="1"/>
  <c r="AC94" i="28" s="1"/>
  <c r="W107" i="28"/>
  <c r="X107" i="28" s="1"/>
  <c r="Y107" i="28" s="1"/>
  <c r="AC107" i="28" s="1"/>
  <c r="W109" i="28"/>
  <c r="X109" i="28" s="1"/>
  <c r="Y109" i="28" s="1"/>
  <c r="AC109" i="28" s="1"/>
  <c r="X111" i="28"/>
  <c r="Y111" i="28" s="1"/>
  <c r="AC111" i="28" s="1"/>
  <c r="W150" i="28"/>
  <c r="X150" i="28" s="1"/>
  <c r="Y150" i="28" s="1"/>
  <c r="AC150" i="28" s="1"/>
  <c r="X212" i="28"/>
  <c r="Y212" i="28" s="1"/>
  <c r="AC212" i="28" s="1"/>
  <c r="W230" i="28"/>
  <c r="X230" i="28" s="1"/>
  <c r="Y230" i="28" s="1"/>
  <c r="AC230" i="28" s="1"/>
  <c r="W252" i="28"/>
  <c r="X252" i="28" s="1"/>
  <c r="Y252" i="28" s="1"/>
  <c r="AC252" i="28" s="1"/>
  <c r="W259" i="28"/>
  <c r="X259" i="28" s="1"/>
  <c r="Y259" i="28" s="1"/>
  <c r="AC259" i="28" s="1"/>
  <c r="W430" i="28"/>
  <c r="X430" i="28" s="1"/>
  <c r="Y430" i="28" s="1"/>
  <c r="AC430" i="28" s="1"/>
  <c r="X506" i="28"/>
  <c r="Y506" i="28" s="1"/>
  <c r="AC506" i="28" s="1"/>
  <c r="X569" i="28"/>
  <c r="Y569" i="28" s="1"/>
  <c r="AC569" i="28" s="1"/>
  <c r="X710" i="28"/>
  <c r="Y710" i="28" s="1"/>
  <c r="AC710" i="28" s="1"/>
  <c r="W789" i="28"/>
  <c r="X789" i="28" s="1"/>
  <c r="Y789" i="28" s="1"/>
  <c r="AC789" i="28" s="1"/>
  <c r="X821" i="28"/>
  <c r="Y821" i="28" s="1"/>
  <c r="AC821" i="28" s="1"/>
  <c r="W1541" i="28"/>
  <c r="X1541" i="28" s="1"/>
  <c r="Y1541" i="28" s="1"/>
  <c r="AC1541" i="28" s="1"/>
  <c r="W651" i="28"/>
  <c r="X651" i="28" s="1"/>
  <c r="Y651" i="28" s="1"/>
  <c r="AC651" i="28" s="1"/>
  <c r="W568" i="28"/>
  <c r="X568" i="28" s="1"/>
  <c r="Y568" i="28" s="1"/>
  <c r="AC568" i="28" s="1"/>
  <c r="X715" i="28"/>
  <c r="Y715" i="28" s="1"/>
  <c r="AC715" i="28" s="1"/>
  <c r="X721" i="28"/>
  <c r="Y721" i="28" s="1"/>
  <c r="AC721" i="28" s="1"/>
  <c r="W4" i="28"/>
  <c r="X4" i="28" s="1"/>
  <c r="Y4" i="28" s="1"/>
  <c r="AC4" i="28" s="1"/>
  <c r="X73" i="28"/>
  <c r="Y73" i="28" s="1"/>
  <c r="AC73" i="28" s="1"/>
  <c r="X227" i="28"/>
  <c r="Y227" i="28" s="1"/>
  <c r="AC227" i="28" s="1"/>
  <c r="X295" i="28"/>
  <c r="Y295" i="28" s="1"/>
  <c r="AC295" i="28" s="1"/>
  <c r="X318" i="28"/>
  <c r="Y318" i="28" s="1"/>
  <c r="AC318" i="28" s="1"/>
  <c r="W441" i="28"/>
  <c r="X441" i="28" s="1"/>
  <c r="Y441" i="28" s="1"/>
  <c r="AC441" i="28" s="1"/>
  <c r="X1116" i="28"/>
  <c r="Y1116" i="28" s="1"/>
  <c r="AC1116" i="28" s="1"/>
  <c r="X1154" i="28"/>
  <c r="Y1154" i="28" s="1"/>
  <c r="AC1154" i="28" s="1"/>
  <c r="W1348" i="28"/>
  <c r="X1348" i="28" s="1"/>
  <c r="Y1348" i="28" s="1"/>
  <c r="AC1348" i="28" s="1"/>
  <c r="X245" i="28"/>
  <c r="Y245" i="28" s="1"/>
  <c r="AC245" i="28" s="1"/>
  <c r="X824" i="28"/>
  <c r="Y824" i="28" s="1"/>
  <c r="AC824" i="28" s="1"/>
  <c r="X1028" i="28"/>
  <c r="Y1028" i="28" s="1"/>
  <c r="AC1028" i="28" s="1"/>
  <c r="X1157" i="28"/>
  <c r="Y1157" i="28" s="1"/>
  <c r="AC1157" i="28" s="1"/>
  <c r="W5" i="28"/>
  <c r="X5" i="28" s="1"/>
  <c r="Y5" i="28" s="1"/>
  <c r="AC5" i="28" s="1"/>
  <c r="W176" i="28"/>
  <c r="X176" i="28" s="1"/>
  <c r="Y176" i="28" s="1"/>
  <c r="AC176" i="28" s="1"/>
  <c r="W187" i="28"/>
  <c r="X187" i="28" s="1"/>
  <c r="Y187" i="28" s="1"/>
  <c r="AC187" i="28" s="1"/>
  <c r="W237" i="28"/>
  <c r="X237" i="28" s="1"/>
  <c r="Y237" i="28" s="1"/>
  <c r="AC237" i="28" s="1"/>
  <c r="W250" i="28"/>
  <c r="X250" i="28" s="1"/>
  <c r="Y250" i="28" s="1"/>
  <c r="AC250" i="28" s="1"/>
  <c r="W264" i="28"/>
  <c r="X264" i="28" s="1"/>
  <c r="Y264" i="28" s="1"/>
  <c r="AC264" i="28" s="1"/>
  <c r="W388" i="28"/>
  <c r="X388" i="28" s="1"/>
  <c r="Y388" i="28" s="1"/>
  <c r="AC388" i="28" s="1"/>
  <c r="W415" i="28"/>
  <c r="X415" i="28" s="1"/>
  <c r="Y415" i="28" s="1"/>
  <c r="AC415" i="28" s="1"/>
  <c r="X496" i="28"/>
  <c r="Y496" i="28" s="1"/>
  <c r="AC496" i="28" s="1"/>
  <c r="W548" i="28"/>
  <c r="X548" i="28" s="1"/>
  <c r="Y548" i="28" s="1"/>
  <c r="AC548" i="28" s="1"/>
  <c r="W564" i="28"/>
  <c r="X564" i="28" s="1"/>
  <c r="Y564" i="28" s="1"/>
  <c r="AC564" i="28" s="1"/>
  <c r="W687" i="28"/>
  <c r="X687" i="28" s="1"/>
  <c r="Y687" i="28" s="1"/>
  <c r="AC687" i="28" s="1"/>
  <c r="W1194" i="28"/>
  <c r="X1194" i="28" s="1"/>
  <c r="Y1194" i="28" s="1"/>
  <c r="AC1194" i="28" s="1"/>
  <c r="W1252" i="28"/>
  <c r="X1252" i="28" s="1"/>
  <c r="Y1252" i="28" s="1"/>
  <c r="AC1252" i="28" s="1"/>
  <c r="W1278" i="28"/>
  <c r="X1278" i="28" s="1"/>
  <c r="Y1278" i="28" s="1"/>
  <c r="AC1278" i="28" s="1"/>
  <c r="X1525" i="28"/>
  <c r="Y1525" i="28" s="1"/>
  <c r="AC1525" i="28" s="1"/>
  <c r="W731" i="28"/>
  <c r="X731" i="28" s="1"/>
  <c r="Y731" i="28" s="1"/>
  <c r="AC731" i="28" s="1"/>
  <c r="X12" i="28"/>
  <c r="Y12" i="28" s="1"/>
  <c r="AC12" i="28" s="1"/>
  <c r="W258" i="28"/>
  <c r="X258" i="28" s="1"/>
  <c r="Y258" i="28" s="1"/>
  <c r="AC258" i="28" s="1"/>
  <c r="W1119" i="28"/>
  <c r="X1119" i="28" s="1"/>
  <c r="Y1119" i="28" s="1"/>
  <c r="AC1119" i="28" s="1"/>
  <c r="W1405" i="28"/>
  <c r="X1405" i="28" s="1"/>
  <c r="Y1405" i="28" s="1"/>
  <c r="AC1405" i="28" s="1"/>
  <c r="X90" i="28"/>
  <c r="Y90" i="28" s="1"/>
  <c r="AC90" i="28" s="1"/>
  <c r="X236" i="28"/>
  <c r="Y236" i="28" s="1"/>
  <c r="AC236" i="28" s="1"/>
  <c r="X329" i="28"/>
  <c r="Y329" i="28" s="1"/>
  <c r="AC329" i="28" s="1"/>
  <c r="X1105" i="28"/>
  <c r="Y1105" i="28" s="1"/>
  <c r="AC1105" i="28" s="1"/>
  <c r="X261" i="28"/>
  <c r="Y261" i="28" s="1"/>
  <c r="AC261" i="28" s="1"/>
  <c r="X8" i="28"/>
  <c r="Y8" i="28" s="1"/>
  <c r="AC8" i="28" s="1"/>
  <c r="X30" i="28"/>
  <c r="Y30" i="28" s="1"/>
  <c r="AC30" i="28" s="1"/>
  <c r="W70" i="28"/>
  <c r="X70" i="28" s="1"/>
  <c r="Y70" i="28" s="1"/>
  <c r="AC70" i="28" s="1"/>
  <c r="W72" i="28"/>
  <c r="X72" i="28" s="1"/>
  <c r="Y72" i="28" s="1"/>
  <c r="AC72" i="28" s="1"/>
  <c r="W74" i="28"/>
  <c r="X74" i="28" s="1"/>
  <c r="Y74" i="28" s="1"/>
  <c r="AC74" i="28" s="1"/>
  <c r="W85" i="28"/>
  <c r="X85" i="28" s="1"/>
  <c r="Y85" i="28" s="1"/>
  <c r="AC85" i="28" s="1"/>
  <c r="W103" i="28"/>
  <c r="X103" i="28" s="1"/>
  <c r="Y103" i="28" s="1"/>
  <c r="AC103" i="28" s="1"/>
  <c r="X232" i="28"/>
  <c r="Y232" i="28" s="1"/>
  <c r="AC232" i="28" s="1"/>
  <c r="W248" i="28"/>
  <c r="X248" i="28" s="1"/>
  <c r="Y248" i="28" s="1"/>
  <c r="AC248" i="28" s="1"/>
  <c r="W267" i="28"/>
  <c r="X267" i="28" s="1"/>
  <c r="Y267" i="28" s="1"/>
  <c r="AC267" i="28" s="1"/>
  <c r="X339" i="28"/>
  <c r="Y339" i="28" s="1"/>
  <c r="AC339" i="28" s="1"/>
  <c r="W354" i="28"/>
  <c r="X354" i="28" s="1"/>
  <c r="Y354" i="28" s="1"/>
  <c r="AC354" i="28" s="1"/>
  <c r="W424" i="28"/>
  <c r="X424" i="28" s="1"/>
  <c r="Y424" i="28" s="1"/>
  <c r="AC424" i="28" s="1"/>
  <c r="X542" i="28"/>
  <c r="Y542" i="28" s="1"/>
  <c r="AC542" i="28" s="1"/>
  <c r="W560" i="28"/>
  <c r="X560" i="28" s="1"/>
  <c r="Y560" i="28" s="1"/>
  <c r="AC560" i="28" s="1"/>
  <c r="W575" i="28"/>
  <c r="X575" i="28" s="1"/>
  <c r="Y575" i="28" s="1"/>
  <c r="AC575" i="28" s="1"/>
  <c r="W578" i="28"/>
  <c r="X578" i="28" s="1"/>
  <c r="Y578" i="28" s="1"/>
  <c r="AC578" i="28" s="1"/>
  <c r="X702" i="28"/>
  <c r="Y702" i="28" s="1"/>
  <c r="AC702" i="28" s="1"/>
  <c r="W776" i="28"/>
  <c r="X776" i="28" s="1"/>
  <c r="Y776" i="28" s="1"/>
  <c r="AC776" i="28" s="1"/>
  <c r="W889" i="28"/>
  <c r="X889" i="28" s="1"/>
  <c r="Y889" i="28" s="1"/>
  <c r="AC889" i="28" s="1"/>
  <c r="W904" i="28"/>
  <c r="X904" i="28" s="1"/>
  <c r="Y904" i="28" s="1"/>
  <c r="AC904" i="28" s="1"/>
  <c r="W949" i="28"/>
  <c r="X949" i="28" s="1"/>
  <c r="Y949" i="28" s="1"/>
  <c r="AC949" i="28" s="1"/>
  <c r="W1019" i="28"/>
  <c r="X1019" i="28" s="1"/>
  <c r="Y1019" i="28" s="1"/>
  <c r="AC1019" i="28" s="1"/>
  <c r="X1163" i="28"/>
  <c r="Y1163" i="28" s="1"/>
  <c r="AC1163" i="28" s="1"/>
  <c r="W86" i="28"/>
  <c r="X86" i="28" s="1"/>
  <c r="Y86" i="28" s="1"/>
  <c r="AC86" i="28" s="1"/>
  <c r="X269" i="28"/>
  <c r="Y269" i="28" s="1"/>
  <c r="AC269" i="28" s="1"/>
  <c r="W1043" i="28"/>
  <c r="X1043" i="28" s="1"/>
  <c r="Y1043" i="28" s="1"/>
  <c r="AC1043" i="28" s="1"/>
  <c r="W335" i="28"/>
  <c r="X335" i="28" s="1"/>
  <c r="Y335" i="28" s="1"/>
  <c r="AC335" i="28" s="1"/>
  <c r="W659" i="28"/>
  <c r="X659" i="28" s="1"/>
  <c r="Y659" i="28" s="1"/>
  <c r="AC659" i="28" s="1"/>
  <c r="W808" i="28"/>
  <c r="X808" i="28" s="1"/>
  <c r="Y808" i="28" s="1"/>
  <c r="AC808" i="28" s="1"/>
  <c r="X83" i="28"/>
  <c r="Y83" i="28" s="1"/>
  <c r="AC83" i="28" s="1"/>
  <c r="W191" i="28"/>
  <c r="X191" i="28" s="1"/>
  <c r="Y191" i="28" s="1"/>
  <c r="AC191" i="28" s="1"/>
  <c r="W228" i="28"/>
  <c r="X228" i="28" s="1"/>
  <c r="Y228" i="28" s="1"/>
  <c r="AC228" i="28" s="1"/>
  <c r="X246" i="28"/>
  <c r="Y246" i="28" s="1"/>
  <c r="AC246" i="28" s="1"/>
  <c r="W380" i="28"/>
  <c r="X380" i="28" s="1"/>
  <c r="Y380" i="28" s="1"/>
  <c r="AC380" i="28" s="1"/>
  <c r="W431" i="28"/>
  <c r="X431" i="28" s="1"/>
  <c r="Y431" i="28" s="1"/>
  <c r="AC431" i="28" s="1"/>
  <c r="X477" i="28"/>
  <c r="Y477" i="28" s="1"/>
  <c r="AC477" i="28" s="1"/>
  <c r="X494" i="28"/>
  <c r="Y494" i="28" s="1"/>
  <c r="AC494" i="28" s="1"/>
  <c r="W796" i="28"/>
  <c r="X796" i="28" s="1"/>
  <c r="Y796" i="28" s="1"/>
  <c r="AC796" i="28" s="1"/>
  <c r="W1298" i="28"/>
  <c r="X1298" i="28" s="1"/>
  <c r="Y1298" i="28" s="1"/>
  <c r="AC1298" i="28" s="1"/>
  <c r="W1357" i="28"/>
  <c r="X1357" i="28" s="1"/>
  <c r="Y1357" i="28" s="1"/>
  <c r="AC1357" i="28" s="1"/>
  <c r="W1494" i="28"/>
  <c r="X1494" i="28" s="1"/>
  <c r="Y1494" i="28" s="1"/>
  <c r="AC1494" i="28" s="1"/>
  <c r="X14" i="28"/>
  <c r="Y14" i="28" s="1"/>
  <c r="AC14" i="28" s="1"/>
  <c r="W69" i="28"/>
  <c r="X69" i="28" s="1"/>
  <c r="Y69" i="28" s="1"/>
  <c r="AC69" i="28" s="1"/>
  <c r="X352" i="28"/>
  <c r="Y352" i="28" s="1"/>
  <c r="AC352" i="28" s="1"/>
  <c r="W774" i="28"/>
  <c r="X774" i="28" s="1"/>
  <c r="Y774" i="28" s="1"/>
  <c r="AC774" i="28" s="1"/>
  <c r="W880" i="28"/>
  <c r="X880" i="28" s="1"/>
  <c r="Y880" i="28" s="1"/>
  <c r="AC880" i="28" s="1"/>
  <c r="W1214" i="28"/>
  <c r="X1214" i="28" s="1"/>
  <c r="Y1214" i="28" s="1"/>
  <c r="AC1214" i="28" s="1"/>
  <c r="X29" i="28"/>
  <c r="Y29" i="28" s="1"/>
  <c r="AC29" i="28" s="1"/>
  <c r="X75" i="28"/>
  <c r="Y75" i="28" s="1"/>
  <c r="AC75" i="28" s="1"/>
  <c r="W88" i="28"/>
  <c r="X88" i="28" s="1"/>
  <c r="Y88" i="28" s="1"/>
  <c r="AC88" i="28" s="1"/>
  <c r="W502" i="28"/>
  <c r="X502" i="28" s="1"/>
  <c r="Y502" i="28" s="1"/>
  <c r="AC502" i="28" s="1"/>
  <c r="W1521" i="28"/>
  <c r="X1521" i="28" s="1"/>
  <c r="Y1521" i="28" s="1"/>
  <c r="AC1521" i="28" s="1"/>
  <c r="X21" i="28"/>
  <c r="Y21" i="28" s="1"/>
  <c r="AC21" i="28" s="1"/>
  <c r="X80" i="28"/>
  <c r="Y80" i="28" s="1"/>
  <c r="AC80" i="28" s="1"/>
  <c r="X96" i="28"/>
  <c r="Y96" i="28" s="1"/>
  <c r="AC96" i="28" s="1"/>
  <c r="X771" i="28"/>
  <c r="Y771" i="28" s="1"/>
  <c r="AC771" i="28" s="1"/>
  <c r="W815" i="28"/>
  <c r="X815" i="28" s="1"/>
  <c r="Y815" i="28" s="1"/>
  <c r="AC815" i="28" s="1"/>
  <c r="W1102" i="28"/>
  <c r="X1102" i="28" s="1"/>
  <c r="Y1102" i="28" s="1"/>
  <c r="AC1102" i="28" s="1"/>
  <c r="X256" i="28"/>
  <c r="Y256" i="28" s="1"/>
  <c r="AC256" i="28" s="1"/>
  <c r="X435" i="28"/>
  <c r="Y435" i="28" s="1"/>
  <c r="AC435" i="28" s="1"/>
  <c r="W1553" i="28"/>
  <c r="X1553" i="28" s="1"/>
  <c r="Y1553" i="28" s="1"/>
  <c r="AC1553" i="28" s="1"/>
  <c r="X1531" i="28"/>
  <c r="Y1531" i="28" s="1"/>
  <c r="AC1531" i="28" s="1"/>
  <c r="X234" i="28"/>
  <c r="Y234" i="28" s="1"/>
  <c r="AC234" i="28" s="1"/>
  <c r="W283" i="28"/>
  <c r="X283" i="28" s="1"/>
  <c r="Y283" i="28" s="1"/>
  <c r="AC283" i="28" s="1"/>
  <c r="X827" i="28"/>
  <c r="Y827" i="28" s="1"/>
  <c r="AC827" i="28" s="1"/>
  <c r="W1148" i="28"/>
  <c r="X1148" i="28" s="1"/>
  <c r="Y1148" i="28" s="1"/>
  <c r="AC1148" i="28" s="1"/>
  <c r="X1287" i="28"/>
  <c r="Y1287" i="28" s="1"/>
  <c r="AC1287" i="28" s="1"/>
  <c r="W1365" i="28"/>
  <c r="X1365" i="28" s="1"/>
  <c r="Y1365" i="28" s="1"/>
  <c r="AC1365" i="28" s="1"/>
  <c r="W271" i="28"/>
  <c r="X271" i="28" s="1"/>
  <c r="Y271" i="28" s="1"/>
  <c r="AC271" i="28" s="1"/>
  <c r="W552" i="28"/>
  <c r="X552" i="28" s="1"/>
  <c r="Y552" i="28" s="1"/>
  <c r="AC552" i="28" s="1"/>
  <c r="W20" i="28"/>
  <c r="X20" i="28" s="1"/>
  <c r="Y20" i="28" s="1"/>
  <c r="AC20" i="28" s="1"/>
  <c r="W79" i="28"/>
  <c r="X79" i="28" s="1"/>
  <c r="Y79" i="28" s="1"/>
  <c r="AC79" i="28" s="1"/>
  <c r="W95" i="28"/>
  <c r="X95" i="28" s="1"/>
  <c r="Y95" i="28" s="1"/>
  <c r="AC95" i="28" s="1"/>
  <c r="W221" i="28"/>
  <c r="X221" i="28" s="1"/>
  <c r="Y221" i="28" s="1"/>
  <c r="AC221" i="28" s="1"/>
  <c r="W226" i="28"/>
  <c r="X226" i="28" s="1"/>
  <c r="Y226" i="28" s="1"/>
  <c r="AC226" i="28" s="1"/>
  <c r="W238" i="28"/>
  <c r="X238" i="28" s="1"/>
  <c r="Y238" i="28" s="1"/>
  <c r="AC238" i="28" s="1"/>
  <c r="W242" i="28"/>
  <c r="X242" i="28" s="1"/>
  <c r="Y242" i="28" s="1"/>
  <c r="AC242" i="28" s="1"/>
  <c r="X244" i="28"/>
  <c r="Y244" i="28" s="1"/>
  <c r="AC244" i="28" s="1"/>
  <c r="W253" i="28"/>
  <c r="X253" i="28" s="1"/>
  <c r="Y253" i="28" s="1"/>
  <c r="AC253" i="28" s="1"/>
  <c r="W288" i="28"/>
  <c r="X288" i="28" s="1"/>
  <c r="Y288" i="28" s="1"/>
  <c r="AC288" i="28" s="1"/>
  <c r="W294" i="28"/>
  <c r="X294" i="28" s="1"/>
  <c r="Y294" i="28" s="1"/>
  <c r="AC294" i="28" s="1"/>
  <c r="W425" i="28"/>
  <c r="X425" i="28" s="1"/>
  <c r="Y425" i="28" s="1"/>
  <c r="AC425" i="28" s="1"/>
  <c r="X474" i="28"/>
  <c r="Y474" i="28" s="1"/>
  <c r="AC474" i="28" s="1"/>
  <c r="W486" i="28"/>
  <c r="X486" i="28" s="1"/>
  <c r="Y486" i="28" s="1"/>
  <c r="AC486" i="28" s="1"/>
  <c r="W594" i="28"/>
  <c r="X594" i="28" s="1"/>
  <c r="Y594" i="28" s="1"/>
  <c r="AC594" i="28" s="1"/>
  <c r="W1134" i="28"/>
  <c r="X1134" i="28" s="1"/>
  <c r="Y1134" i="28" s="1"/>
  <c r="AC1134" i="28" s="1"/>
  <c r="W1192" i="28"/>
  <c r="X1192" i="28" s="1"/>
  <c r="Y1192" i="28" s="1"/>
  <c r="AC1192" i="28" s="1"/>
  <c r="W1195" i="28"/>
  <c r="X1195" i="28" s="1"/>
  <c r="Y1195" i="28" s="1"/>
  <c r="AC1195" i="28" s="1"/>
  <c r="W1244" i="28"/>
  <c r="X1244" i="28" s="1"/>
  <c r="Y1244" i="28" s="1"/>
  <c r="AC1244" i="28" s="1"/>
  <c r="W1273" i="28"/>
  <c r="X1273" i="28" s="1"/>
  <c r="Y1273" i="28" s="1"/>
  <c r="AC1273" i="28" s="1"/>
  <c r="X1330" i="28"/>
  <c r="Y1330" i="28" s="1"/>
  <c r="AC1330" i="28" s="1"/>
  <c r="W77" i="28"/>
  <c r="X77" i="28" s="1"/>
  <c r="Y77" i="28" s="1"/>
  <c r="AC77" i="28" s="1"/>
  <c r="X186" i="28"/>
  <c r="Y186" i="28" s="1"/>
  <c r="AC186" i="28" s="1"/>
  <c r="X629" i="28"/>
  <c r="Y629" i="28" s="1"/>
  <c r="AC629" i="28" s="1"/>
  <c r="W655" i="28"/>
  <c r="X655" i="28" s="1"/>
  <c r="Y655" i="28" s="1"/>
  <c r="AC655" i="28" s="1"/>
  <c r="W891" i="28"/>
  <c r="X891" i="28" s="1"/>
  <c r="Y891" i="28" s="1"/>
  <c r="AC891" i="28" s="1"/>
  <c r="X254" i="28"/>
  <c r="Y254" i="28" s="1"/>
  <c r="AC254" i="28" s="1"/>
  <c r="W291" i="28"/>
  <c r="X291" i="28" s="1"/>
  <c r="Y291" i="28" s="1"/>
  <c r="AC291" i="28" s="1"/>
  <c r="X325" i="28"/>
  <c r="Y325" i="28" s="1"/>
  <c r="AC325" i="28" s="1"/>
  <c r="X638" i="28"/>
  <c r="Y638" i="28" s="1"/>
  <c r="AC638" i="28" s="1"/>
  <c r="W183" i="28"/>
  <c r="X183" i="28" s="1"/>
  <c r="Y183" i="28" s="1"/>
  <c r="AC183" i="28" s="1"/>
  <c r="W268" i="28"/>
  <c r="X268" i="28" s="1"/>
  <c r="Y268" i="28" s="1"/>
  <c r="AC268" i="28" s="1"/>
  <c r="X275" i="28"/>
  <c r="Y275" i="28" s="1"/>
  <c r="AC275" i="28" s="1"/>
  <c r="W278" i="28"/>
  <c r="X278" i="28" s="1"/>
  <c r="Y278" i="28" s="1"/>
  <c r="AC278" i="28" s="1"/>
  <c r="W489" i="28"/>
  <c r="X489" i="28" s="1"/>
  <c r="Y489" i="28" s="1"/>
  <c r="AC489" i="28" s="1"/>
  <c r="W537" i="28"/>
  <c r="X537" i="28" s="1"/>
  <c r="Y537" i="28" s="1"/>
  <c r="AC537" i="28" s="1"/>
  <c r="X543" i="28"/>
  <c r="Y543" i="28" s="1"/>
  <c r="AC543" i="28" s="1"/>
  <c r="X546" i="28"/>
  <c r="Y546" i="28" s="1"/>
  <c r="AC546" i="28" s="1"/>
  <c r="W957" i="28"/>
  <c r="X957" i="28" s="1"/>
  <c r="Y957" i="28" s="1"/>
  <c r="AC957" i="28" s="1"/>
  <c r="W1020" i="28"/>
  <c r="X1020" i="28" s="1"/>
  <c r="Y1020" i="28" s="1"/>
  <c r="AC1020" i="28" s="1"/>
  <c r="W1131" i="28"/>
  <c r="X1131" i="28" s="1"/>
  <c r="Y1131" i="28" s="1"/>
  <c r="AC1131" i="28" s="1"/>
  <c r="X1180" i="28"/>
  <c r="Y1180" i="28" s="1"/>
  <c r="AC1180" i="28" s="1"/>
  <c r="W1257" i="28"/>
  <c r="X1257" i="28" s="1"/>
  <c r="Y1257" i="28" s="1"/>
  <c r="AC1257" i="28" s="1"/>
  <c r="W1301" i="28"/>
  <c r="X1301" i="28" s="1"/>
  <c r="Y1301" i="28" s="1"/>
  <c r="AC1301" i="28" s="1"/>
  <c r="W1379" i="28"/>
  <c r="X1379" i="28" s="1"/>
  <c r="Y1379" i="28" s="1"/>
  <c r="AC1379" i="28" s="1"/>
  <c r="W1455" i="28"/>
  <c r="X1455" i="28" s="1"/>
  <c r="Y1455" i="28" s="1"/>
  <c r="AC1455" i="28" s="1"/>
  <c r="W334" i="28"/>
  <c r="X334" i="28" s="1"/>
  <c r="Y334" i="28" s="1"/>
  <c r="AC334" i="28" s="1"/>
  <c r="W722" i="28"/>
  <c r="X722" i="28" s="1"/>
  <c r="Y722" i="28" s="1"/>
  <c r="AC722" i="28" s="1"/>
  <c r="W902" i="28"/>
  <c r="X902" i="28" s="1"/>
  <c r="Y902" i="28" s="1"/>
  <c r="AC902" i="28" s="1"/>
  <c r="W1452" i="28"/>
  <c r="X1452" i="28" s="1"/>
  <c r="Y1452" i="28" s="1"/>
  <c r="AC1452" i="28" s="1"/>
  <c r="W1465" i="28"/>
  <c r="X1465" i="28" s="1"/>
  <c r="Y1465" i="28" s="1"/>
  <c r="AC1465" i="28" s="1"/>
  <c r="W1471" i="28"/>
  <c r="X1471" i="28" s="1"/>
  <c r="Y1471" i="28" s="1"/>
  <c r="AC1471" i="28" s="1"/>
  <c r="W1579" i="28"/>
  <c r="X1579" i="28" s="1"/>
  <c r="Y1579" i="28" s="1"/>
  <c r="AC1579" i="28" s="1"/>
  <c r="X342" i="28"/>
  <c r="Y342" i="28" s="1"/>
  <c r="AC342" i="28" s="1"/>
  <c r="X356" i="28"/>
  <c r="Y356" i="28" s="1"/>
  <c r="AC356" i="28" s="1"/>
  <c r="X416" i="28"/>
  <c r="Y416" i="28" s="1"/>
  <c r="AC416" i="28" s="1"/>
  <c r="X433" i="28"/>
  <c r="Y433" i="28" s="1"/>
  <c r="AC433" i="28" s="1"/>
  <c r="X711" i="28"/>
  <c r="Y711" i="28" s="1"/>
  <c r="AC711" i="28" s="1"/>
  <c r="X757" i="28"/>
  <c r="Y757" i="28" s="1"/>
  <c r="AC757" i="28" s="1"/>
  <c r="X788" i="28"/>
  <c r="Y788" i="28" s="1"/>
  <c r="AC788" i="28" s="1"/>
  <c r="X887" i="28"/>
  <c r="Y887" i="28" s="1"/>
  <c r="AC887" i="28" s="1"/>
  <c r="X896" i="28"/>
  <c r="Y896" i="28" s="1"/>
  <c r="AC896" i="28" s="1"/>
  <c r="W899" i="28"/>
  <c r="X899" i="28" s="1"/>
  <c r="Y899" i="28" s="1"/>
  <c r="AC899" i="28" s="1"/>
  <c r="W1035" i="28"/>
  <c r="X1035" i="28" s="1"/>
  <c r="Y1035" i="28" s="1"/>
  <c r="AC1035" i="28" s="1"/>
  <c r="W1149" i="28"/>
  <c r="X1149" i="28" s="1"/>
  <c r="Y1149" i="28" s="1"/>
  <c r="AC1149" i="28" s="1"/>
  <c r="W1158" i="28"/>
  <c r="X1158" i="28" s="1"/>
  <c r="Y1158" i="28" s="1"/>
  <c r="AC1158" i="28" s="1"/>
  <c r="W1167" i="28"/>
  <c r="X1167" i="28" s="1"/>
  <c r="Y1167" i="28" s="1"/>
  <c r="AC1167" i="28" s="1"/>
  <c r="X1282" i="28"/>
  <c r="Y1282" i="28" s="1"/>
  <c r="AC1282" i="28" s="1"/>
  <c r="W1383" i="28"/>
  <c r="X1383" i="28" s="1"/>
  <c r="Y1383" i="28" s="1"/>
  <c r="AC1383" i="28" s="1"/>
  <c r="W1440" i="28"/>
  <c r="X1440" i="28" s="1"/>
  <c r="Y1440" i="28" s="1"/>
  <c r="AC1440" i="28" s="1"/>
  <c r="W1507" i="28"/>
  <c r="X1507" i="28" s="1"/>
  <c r="Y1507" i="28" s="1"/>
  <c r="AC1507" i="28" s="1"/>
  <c r="W1032" i="28"/>
  <c r="X1032" i="28" s="1"/>
  <c r="Y1032" i="28" s="1"/>
  <c r="AC1032" i="28" s="1"/>
  <c r="X1114" i="28"/>
  <c r="Y1114" i="28" s="1"/>
  <c r="AC1114" i="28" s="1"/>
  <c r="W1176" i="28"/>
  <c r="X1176" i="28" s="1"/>
  <c r="Y1176" i="28" s="1"/>
  <c r="AC1176" i="28" s="1"/>
  <c r="W1279" i="28"/>
  <c r="X1279" i="28" s="1"/>
  <c r="Y1279" i="28" s="1"/>
  <c r="AC1279" i="28" s="1"/>
  <c r="X1312" i="28"/>
  <c r="Y1312" i="28" s="1"/>
  <c r="AC1312" i="28" s="1"/>
  <c r="W1325" i="28"/>
  <c r="X1325" i="28" s="1"/>
  <c r="Y1325" i="28" s="1"/>
  <c r="AC1325" i="28" s="1"/>
  <c r="W1370" i="28"/>
  <c r="X1370" i="28" s="1"/>
  <c r="Y1370" i="28" s="1"/>
  <c r="AC1370" i="28" s="1"/>
  <c r="W1390" i="28"/>
  <c r="X1390" i="28" s="1"/>
  <c r="Y1390" i="28" s="1"/>
  <c r="AC1390" i="28" s="1"/>
  <c r="X480" i="28"/>
  <c r="Y480" i="28" s="1"/>
  <c r="AC480" i="28" s="1"/>
  <c r="W533" i="28"/>
  <c r="X533" i="28" s="1"/>
  <c r="Y533" i="28" s="1"/>
  <c r="AC533" i="28" s="1"/>
  <c r="W556" i="28"/>
  <c r="X556" i="28" s="1"/>
  <c r="Y556" i="28" s="1"/>
  <c r="AC556" i="28" s="1"/>
  <c r="X643" i="28"/>
  <c r="Y643" i="28" s="1"/>
  <c r="AC643" i="28" s="1"/>
  <c r="X749" i="28"/>
  <c r="Y749" i="28" s="1"/>
  <c r="AC749" i="28" s="1"/>
  <c r="X810" i="28"/>
  <c r="Y810" i="28" s="1"/>
  <c r="AC810" i="28" s="1"/>
  <c r="W1039" i="28"/>
  <c r="X1039" i="28" s="1"/>
  <c r="Y1039" i="28" s="1"/>
  <c r="AC1039" i="28" s="1"/>
  <c r="X1091" i="28"/>
  <c r="Y1091" i="28" s="1"/>
  <c r="AC1091" i="28" s="1"/>
  <c r="W1097" i="28"/>
  <c r="X1097" i="28" s="1"/>
  <c r="Y1097" i="28" s="1"/>
  <c r="AC1097" i="28" s="1"/>
  <c r="W1138" i="28"/>
  <c r="X1138" i="28" s="1"/>
  <c r="Y1138" i="28" s="1"/>
  <c r="AC1138" i="28" s="1"/>
  <c r="W1218" i="28"/>
  <c r="X1218" i="28" s="1"/>
  <c r="Y1218" i="28" s="1"/>
  <c r="AC1218" i="28" s="1"/>
  <c r="W1338" i="28"/>
  <c r="X1338" i="28" s="1"/>
  <c r="Y1338" i="28" s="1"/>
  <c r="AC1338" i="28" s="1"/>
  <c r="X1358" i="28"/>
  <c r="Y1358" i="28" s="1"/>
  <c r="AC1358" i="28" s="1"/>
  <c r="W1367" i="28"/>
  <c r="X1367" i="28" s="1"/>
  <c r="Y1367" i="28" s="1"/>
  <c r="AC1367" i="28" s="1"/>
  <c r="W1387" i="28"/>
  <c r="X1387" i="28" s="1"/>
  <c r="Y1387" i="28" s="1"/>
  <c r="AC1387" i="28" s="1"/>
  <c r="W1570" i="28"/>
  <c r="X1570" i="28" s="1"/>
  <c r="Y1570" i="28" s="1"/>
  <c r="AC1570" i="28" s="1"/>
  <c r="W493" i="28"/>
  <c r="X493" i="28" s="1"/>
  <c r="Y493" i="28" s="1"/>
  <c r="AC493" i="28" s="1"/>
  <c r="W927" i="28"/>
  <c r="X927" i="28" s="1"/>
  <c r="Y927" i="28" s="1"/>
  <c r="AC927" i="28" s="1"/>
  <c r="W939" i="28"/>
  <c r="X939" i="28" s="1"/>
  <c r="Y939" i="28" s="1"/>
  <c r="AC939" i="28" s="1"/>
  <c r="W1088" i="28"/>
  <c r="X1088" i="28" s="1"/>
  <c r="Y1088" i="28" s="1"/>
  <c r="AC1088" i="28" s="1"/>
  <c r="W1441" i="28"/>
  <c r="X1441" i="28" s="1"/>
  <c r="Y1441" i="28" s="1"/>
  <c r="AC1441" i="28" s="1"/>
  <c r="W1609" i="28"/>
  <c r="X1609" i="28" s="1"/>
  <c r="Y1609" i="28" s="1"/>
  <c r="AC1609" i="28" s="1"/>
  <c r="X87" i="28"/>
  <c r="Y87" i="28" s="1"/>
  <c r="AC87" i="28" s="1"/>
  <c r="X276" i="28"/>
  <c r="Y276" i="28" s="1"/>
  <c r="AC276" i="28" s="1"/>
  <c r="X417" i="28"/>
  <c r="Y417" i="28" s="1"/>
  <c r="AC417" i="28" s="1"/>
  <c r="X511" i="28"/>
  <c r="Y511" i="28" s="1"/>
  <c r="AC511" i="28" s="1"/>
  <c r="X580" i="28"/>
  <c r="Y580" i="28" s="1"/>
  <c r="AC580" i="28" s="1"/>
  <c r="X829" i="28"/>
  <c r="Y829" i="28" s="1"/>
  <c r="AC829" i="28" s="1"/>
  <c r="W874" i="28"/>
  <c r="X874" i="28" s="1"/>
  <c r="Y874" i="28" s="1"/>
  <c r="AC874" i="28" s="1"/>
  <c r="W937" i="28"/>
  <c r="X937" i="28" s="1"/>
  <c r="Y937" i="28" s="1"/>
  <c r="AC937" i="28" s="1"/>
  <c r="X1082" i="28"/>
  <c r="Y1082" i="28" s="1"/>
  <c r="AC1082" i="28" s="1"/>
  <c r="W1112" i="28"/>
  <c r="X1112" i="28" s="1"/>
  <c r="Y1112" i="28" s="1"/>
  <c r="AC1112" i="28" s="1"/>
  <c r="W1127" i="28"/>
  <c r="X1127" i="28" s="1"/>
  <c r="Y1127" i="28" s="1"/>
  <c r="AC1127" i="28" s="1"/>
  <c r="X1141" i="28"/>
  <c r="Y1141" i="28" s="1"/>
  <c r="AC1141" i="28" s="1"/>
  <c r="W1234" i="28"/>
  <c r="X1234" i="28" s="1"/>
  <c r="Y1234" i="28" s="1"/>
  <c r="AC1234" i="28" s="1"/>
  <c r="W1371" i="28"/>
  <c r="X1371" i="28" s="1"/>
  <c r="Y1371" i="28" s="1"/>
  <c r="AC1371" i="28" s="1"/>
  <c r="W1478" i="28"/>
  <c r="X1478" i="28" s="1"/>
  <c r="Y1478" i="28" s="1"/>
  <c r="AC1478" i="28" s="1"/>
  <c r="X1543" i="28"/>
  <c r="Y1543" i="28" s="1"/>
  <c r="AC1543" i="28" s="1"/>
  <c r="W1574" i="28"/>
  <c r="X1574" i="28" s="1"/>
  <c r="Y1574" i="28" s="1"/>
  <c r="AC1574" i="28" s="1"/>
  <c r="X540" i="28"/>
  <c r="Y540" i="28" s="1"/>
  <c r="AC540" i="28" s="1"/>
  <c r="W576" i="28"/>
  <c r="X576" i="28" s="1"/>
  <c r="Y576" i="28" s="1"/>
  <c r="AC576" i="28" s="1"/>
  <c r="X627" i="28"/>
  <c r="Y627" i="28" s="1"/>
  <c r="AC627" i="28" s="1"/>
  <c r="W730" i="28"/>
  <c r="X730" i="28" s="1"/>
  <c r="Y730" i="28" s="1"/>
  <c r="AC730" i="28" s="1"/>
  <c r="X1070" i="28"/>
  <c r="Y1070" i="28" s="1"/>
  <c r="AC1070" i="28" s="1"/>
  <c r="W1132" i="28"/>
  <c r="X1132" i="28" s="1"/>
  <c r="Y1132" i="28" s="1"/>
  <c r="AC1132" i="28" s="1"/>
  <c r="W1408" i="28"/>
  <c r="X1408" i="28" s="1"/>
  <c r="Y1408" i="28" s="1"/>
  <c r="AC1408" i="28" s="1"/>
  <c r="W1599" i="28"/>
  <c r="X1599" i="28" s="1"/>
  <c r="Y1599" i="28" s="1"/>
  <c r="AC1599" i="28" s="1"/>
  <c r="X472" i="28"/>
  <c r="Y472" i="28" s="1"/>
  <c r="AC472" i="28" s="1"/>
  <c r="W630" i="28"/>
  <c r="X630" i="28" s="1"/>
  <c r="Y630" i="28" s="1"/>
  <c r="AC630" i="28" s="1"/>
  <c r="W724" i="28"/>
  <c r="X724" i="28" s="1"/>
  <c r="Y724" i="28" s="1"/>
  <c r="AC724" i="28" s="1"/>
  <c r="W793" i="28"/>
  <c r="X793" i="28" s="1"/>
  <c r="Y793" i="28" s="1"/>
  <c r="AC793" i="28" s="1"/>
  <c r="W1291" i="28"/>
  <c r="X1291" i="28" s="1"/>
  <c r="Y1291" i="28" s="1"/>
  <c r="AC1291" i="28" s="1"/>
  <c r="X1587" i="28"/>
  <c r="Y1587" i="28" s="1"/>
  <c r="AC1587" i="28" s="1"/>
  <c r="W1590" i="28"/>
  <c r="X1590" i="28" s="1"/>
  <c r="Y1590" i="28" s="1"/>
  <c r="AC1590" i="28" s="1"/>
  <c r="X420" i="28"/>
  <c r="Y420" i="28" s="1"/>
  <c r="AC420" i="28" s="1"/>
  <c r="X557" i="28"/>
  <c r="Y557" i="28" s="1"/>
  <c r="AC557" i="28" s="1"/>
  <c r="W1071" i="28"/>
  <c r="X1071" i="28" s="1"/>
  <c r="Y1071" i="28" s="1"/>
  <c r="AC1071" i="28" s="1"/>
  <c r="X1108" i="28"/>
  <c r="Y1108" i="28" s="1"/>
  <c r="AC1108" i="28" s="1"/>
  <c r="X1213" i="28"/>
  <c r="Y1213" i="28" s="1"/>
  <c r="AC1213" i="28" s="1"/>
  <c r="W1316" i="28"/>
  <c r="X1316" i="28" s="1"/>
  <c r="Y1316" i="28" s="1"/>
  <c r="AC1316" i="28" s="1"/>
  <c r="X1491" i="28"/>
  <c r="Y1491" i="28" s="1"/>
  <c r="AC1491" i="28" s="1"/>
  <c r="X1518" i="28"/>
  <c r="Y1518" i="28" s="1"/>
  <c r="AC1518" i="28" s="1"/>
  <c r="W1533" i="28"/>
  <c r="X1533" i="28" s="1"/>
  <c r="Y1533" i="28" s="1"/>
  <c r="AC1533" i="28" s="1"/>
  <c r="W1569" i="28"/>
  <c r="X1569" i="28" s="1"/>
  <c r="Y1569" i="28" s="1"/>
  <c r="AC1569" i="28" s="1"/>
  <c r="W1585" i="28"/>
  <c r="X1585" i="28" s="1"/>
  <c r="Y1585" i="28" s="1"/>
  <c r="AC1585" i="28" s="1"/>
  <c r="X686" i="28"/>
  <c r="Y686" i="28" s="1"/>
  <c r="AC686" i="28" s="1"/>
  <c r="X823" i="28"/>
  <c r="Y823" i="28" s="1"/>
  <c r="AC823" i="28" s="1"/>
  <c r="W969" i="28"/>
  <c r="X969" i="28" s="1"/>
  <c r="Y969" i="28" s="1"/>
  <c r="AC969" i="28" s="1"/>
  <c r="W1051" i="28"/>
  <c r="X1051" i="28" s="1"/>
  <c r="Y1051" i="28" s="1"/>
  <c r="AC1051" i="28" s="1"/>
  <c r="X1130" i="28"/>
  <c r="Y1130" i="28" s="1"/>
  <c r="AC1130" i="28" s="1"/>
  <c r="W1200" i="28"/>
  <c r="X1200" i="28" s="1"/>
  <c r="Y1200" i="28" s="1"/>
  <c r="AC1200" i="28" s="1"/>
  <c r="W1306" i="28"/>
  <c r="X1306" i="28" s="1"/>
  <c r="Y1306" i="28" s="1"/>
  <c r="AC1306" i="28" s="1"/>
  <c r="W1464" i="28"/>
  <c r="X1464" i="28" s="1"/>
  <c r="Y1464" i="28" s="1"/>
  <c r="AC1464" i="28" s="1"/>
  <c r="X1503" i="28"/>
  <c r="Y1503" i="28" s="1"/>
  <c r="AC1503" i="28" s="1"/>
  <c r="W1576" i="28"/>
  <c r="X1576" i="28" s="1"/>
  <c r="Y1576" i="28" s="1"/>
  <c r="AC1576" i="28" s="1"/>
  <c r="X1586" i="28"/>
  <c r="Y1586" i="28" s="1"/>
  <c r="AC1586" i="28" s="1"/>
  <c r="W834" i="28"/>
  <c r="X834" i="28" s="1"/>
  <c r="Y834" i="28" s="1"/>
  <c r="AC834" i="28" s="1"/>
  <c r="W987" i="28"/>
  <c r="X987" i="28" s="1"/>
  <c r="Y987" i="28" s="1"/>
  <c r="AC987" i="28" s="1"/>
  <c r="X1122" i="28"/>
  <c r="Y1122" i="28" s="1"/>
  <c r="AC1122" i="28" s="1"/>
  <c r="W1146" i="28"/>
  <c r="X1146" i="28" s="1"/>
  <c r="Y1146" i="28" s="1"/>
  <c r="AC1146" i="28" s="1"/>
  <c r="X1221" i="28"/>
  <c r="Y1221" i="28" s="1"/>
  <c r="AC1221" i="28" s="1"/>
  <c r="W1466" i="28"/>
  <c r="X1466" i="28" s="1"/>
  <c r="Y1466" i="28" s="1"/>
  <c r="AC1466" i="28" s="1"/>
  <c r="X1551" i="28"/>
  <c r="Y1551" i="28" s="1"/>
  <c r="AC1551" i="28" s="1"/>
  <c r="W1605" i="28"/>
  <c r="X1605" i="28" s="1"/>
  <c r="Y1605" i="28" s="1"/>
  <c r="AC1605" i="28" s="1"/>
  <c r="X1350" i="28"/>
  <c r="Y1350" i="28" s="1"/>
  <c r="AC1350" i="28" s="1"/>
  <c r="X1552" i="28"/>
  <c r="Y1552" i="28" s="1"/>
  <c r="AC1552" i="28" s="1"/>
  <c r="X1611" i="28"/>
  <c r="Y1611" i="28" s="1"/>
  <c r="AC1611" i="28" s="1"/>
  <c r="X16" i="28"/>
  <c r="Y16" i="28" s="1"/>
  <c r="AC16" i="28" s="1"/>
  <c r="W3" i="28"/>
  <c r="X3" i="28" s="1"/>
  <c r="Y3" i="28" s="1"/>
  <c r="AC3" i="28" s="1"/>
  <c r="X26" i="28"/>
  <c r="Y26" i="28" s="1"/>
  <c r="AC26" i="28" s="1"/>
  <c r="X32" i="28"/>
  <c r="Y32" i="28" s="1"/>
  <c r="AC32" i="28" s="1"/>
  <c r="W197" i="28"/>
  <c r="X197" i="28" s="1"/>
  <c r="Y197" i="28" s="1"/>
  <c r="AC197" i="28" s="1"/>
  <c r="X11" i="28"/>
  <c r="Y11" i="28" s="1"/>
  <c r="AC11" i="28" s="1"/>
  <c r="X15" i="28"/>
  <c r="Y15" i="28" s="1"/>
  <c r="AC15" i="28" s="1"/>
  <c r="W2" i="28"/>
  <c r="X2" i="28" s="1"/>
  <c r="Y2" i="28" s="1"/>
  <c r="AC2" i="28" s="1"/>
  <c r="X25" i="28"/>
  <c r="Y25" i="28" s="1"/>
  <c r="AC25" i="28" s="1"/>
  <c r="X31" i="28"/>
  <c r="Y31" i="28" s="1"/>
  <c r="AC31" i="28" s="1"/>
  <c r="W116" i="28"/>
  <c r="X116" i="28" s="1"/>
  <c r="Y116" i="28" s="1"/>
  <c r="AC116" i="28" s="1"/>
  <c r="W125" i="28"/>
  <c r="X125" i="28" s="1"/>
  <c r="Y125" i="28" s="1"/>
  <c r="AC125" i="28" s="1"/>
  <c r="X194" i="28"/>
  <c r="Y194" i="28" s="1"/>
  <c r="AC194" i="28" s="1"/>
  <c r="X202" i="28"/>
  <c r="Y202" i="28" s="1"/>
  <c r="AC202" i="28" s="1"/>
  <c r="X216" i="28"/>
  <c r="Y216" i="28" s="1"/>
  <c r="AC216" i="28" s="1"/>
  <c r="W113" i="28"/>
  <c r="X113" i="28" s="1"/>
  <c r="Y113" i="28" s="1"/>
  <c r="AC113" i="28" s="1"/>
  <c r="X169" i="28"/>
  <c r="Y169" i="28" s="1"/>
  <c r="AC169" i="28" s="1"/>
  <c r="W270" i="28"/>
  <c r="X270" i="28" s="1"/>
  <c r="Y270" i="28" s="1"/>
  <c r="AC270" i="28" s="1"/>
  <c r="W7" i="28"/>
  <c r="X7" i="28" s="1"/>
  <c r="Y7" i="28" s="1"/>
  <c r="AC7" i="28" s="1"/>
  <c r="W210" i="28"/>
  <c r="X210" i="28" s="1"/>
  <c r="Y210" i="28" s="1"/>
  <c r="AC210" i="28" s="1"/>
  <c r="W218" i="28"/>
  <c r="X218" i="28" s="1"/>
  <c r="Y218" i="28" s="1"/>
  <c r="AC218" i="28" s="1"/>
  <c r="X19" i="28"/>
  <c r="Y19" i="28" s="1"/>
  <c r="AC19" i="28" s="1"/>
  <c r="W18" i="28"/>
  <c r="X18" i="28" s="1"/>
  <c r="Y18" i="28" s="1"/>
  <c r="AC18" i="28" s="1"/>
  <c r="W121" i="28"/>
  <c r="X121" i="28" s="1"/>
  <c r="Y121" i="28" s="1"/>
  <c r="AC121" i="28" s="1"/>
  <c r="X130" i="28"/>
  <c r="Y130" i="28" s="1"/>
  <c r="AC130" i="28" s="1"/>
  <c r="X135" i="28"/>
  <c r="Y135" i="28" s="1"/>
  <c r="AC135" i="28" s="1"/>
  <c r="W138" i="28"/>
  <c r="X138" i="28" s="1"/>
  <c r="Y138" i="28" s="1"/>
  <c r="AC138" i="28" s="1"/>
  <c r="W143" i="28"/>
  <c r="X143" i="28" s="1"/>
  <c r="Y143" i="28" s="1"/>
  <c r="AC143" i="28" s="1"/>
  <c r="X157" i="28"/>
  <c r="Y157" i="28" s="1"/>
  <c r="AC157" i="28" s="1"/>
  <c r="W163" i="28"/>
  <c r="X163" i="28" s="1"/>
  <c r="Y163" i="28" s="1"/>
  <c r="AC163" i="28" s="1"/>
  <c r="X151" i="28"/>
  <c r="Y151" i="28" s="1"/>
  <c r="AC151" i="28" s="1"/>
  <c r="X193" i="28"/>
  <c r="Y193" i="28" s="1"/>
  <c r="AC193" i="28" s="1"/>
  <c r="X220" i="28"/>
  <c r="Y220" i="28" s="1"/>
  <c r="AC220" i="28" s="1"/>
  <c r="W286" i="28"/>
  <c r="X286" i="28" s="1"/>
  <c r="Y286" i="28" s="1"/>
  <c r="AC286" i="28" s="1"/>
  <c r="W112" i="28"/>
  <c r="X112" i="28" s="1"/>
  <c r="Y112" i="28" s="1"/>
  <c r="AC112" i="28" s="1"/>
  <c r="W115" i="28"/>
  <c r="X115" i="28" s="1"/>
  <c r="Y115" i="28" s="1"/>
  <c r="AC115" i="28" s="1"/>
  <c r="W23" i="28"/>
  <c r="X23" i="28" s="1"/>
  <c r="Y23" i="28" s="1"/>
  <c r="AC23" i="28" s="1"/>
  <c r="X28" i="28"/>
  <c r="Y28" i="28" s="1"/>
  <c r="AC28" i="28" s="1"/>
  <c r="X34" i="28"/>
  <c r="Y34" i="28" s="1"/>
  <c r="AC34" i="28" s="1"/>
  <c r="X117" i="28"/>
  <c r="Y117" i="28" s="1"/>
  <c r="AC117" i="28" s="1"/>
  <c r="W126" i="28"/>
  <c r="X126" i="28" s="1"/>
  <c r="Y126" i="28" s="1"/>
  <c r="AC126" i="28" s="1"/>
  <c r="X168" i="28"/>
  <c r="Y168" i="28" s="1"/>
  <c r="AC168" i="28" s="1"/>
  <c r="W179" i="28"/>
  <c r="X179" i="28" s="1"/>
  <c r="Y179" i="28" s="1"/>
  <c r="AC179" i="28" s="1"/>
  <c r="W190" i="28"/>
  <c r="X190" i="28" s="1"/>
  <c r="Y190" i="28" s="1"/>
  <c r="AC190" i="28" s="1"/>
  <c r="X198" i="28"/>
  <c r="Y198" i="28" s="1"/>
  <c r="AC198" i="28" s="1"/>
  <c r="W284" i="28"/>
  <c r="X284" i="28" s="1"/>
  <c r="Y284" i="28" s="1"/>
  <c r="AC284" i="28" s="1"/>
  <c r="W173" i="28"/>
  <c r="X173" i="28" s="1"/>
  <c r="Y173" i="28" s="1"/>
  <c r="AC173" i="28" s="1"/>
  <c r="W262" i="28"/>
  <c r="X262" i="28" s="1"/>
  <c r="Y262" i="28" s="1"/>
  <c r="AC262" i="28" s="1"/>
  <c r="W265" i="28"/>
  <c r="X265" i="28" s="1"/>
  <c r="Y265" i="28" s="1"/>
  <c r="AC265" i="28" s="1"/>
  <c r="X27" i="28"/>
  <c r="Y27" i="28" s="1"/>
  <c r="AC27" i="28" s="1"/>
  <c r="X33" i="28"/>
  <c r="Y33" i="28" s="1"/>
  <c r="AC33" i="28" s="1"/>
  <c r="X120" i="28"/>
  <c r="Y120" i="28" s="1"/>
  <c r="AC120" i="28" s="1"/>
  <c r="X142" i="28"/>
  <c r="Y142" i="28" s="1"/>
  <c r="AC142" i="28" s="1"/>
  <c r="X147" i="28"/>
  <c r="Y147" i="28" s="1"/>
  <c r="AC147" i="28" s="1"/>
  <c r="X156" i="28"/>
  <c r="Y156" i="28" s="1"/>
  <c r="AC156" i="28" s="1"/>
  <c r="X164" i="28"/>
  <c r="Y164" i="28" s="1"/>
  <c r="AC164" i="28" s="1"/>
  <c r="W170" i="28"/>
  <c r="X170" i="28" s="1"/>
  <c r="Y170" i="28" s="1"/>
  <c r="AC170" i="28" s="1"/>
  <c r="W203" i="28"/>
  <c r="X203" i="28" s="1"/>
  <c r="Y203" i="28" s="1"/>
  <c r="AC203" i="28" s="1"/>
  <c r="W206" i="28"/>
  <c r="X206" i="28" s="1"/>
  <c r="Y206" i="28" s="1"/>
  <c r="AC206" i="28" s="1"/>
  <c r="W211" i="28"/>
  <c r="X211" i="28" s="1"/>
  <c r="Y211" i="28" s="1"/>
  <c r="AC211" i="28" s="1"/>
  <c r="W274" i="28"/>
  <c r="X274" i="28" s="1"/>
  <c r="Y274" i="28" s="1"/>
  <c r="AC274" i="28" s="1"/>
  <c r="X131" i="28"/>
  <c r="Y131" i="28" s="1"/>
  <c r="AC131" i="28" s="1"/>
  <c r="X158" i="28"/>
  <c r="Y158" i="28" s="1"/>
  <c r="AC158" i="28" s="1"/>
  <c r="W214" i="28"/>
  <c r="X214" i="28" s="1"/>
  <c r="Y214" i="28" s="1"/>
  <c r="AC214" i="28" s="1"/>
  <c r="X139" i="28"/>
  <c r="Y139" i="28" s="1"/>
  <c r="AC139" i="28" s="1"/>
  <c r="X162" i="28"/>
  <c r="Y162" i="28" s="1"/>
  <c r="AC162" i="28" s="1"/>
  <c r="W152" i="28"/>
  <c r="X152" i="28" s="1"/>
  <c r="Y152" i="28" s="1"/>
  <c r="AC152" i="28" s="1"/>
  <c r="X129" i="28"/>
  <c r="Y129" i="28" s="1"/>
  <c r="AC129" i="28" s="1"/>
  <c r="X133" i="28"/>
  <c r="Y133" i="28" s="1"/>
  <c r="AC133" i="28" s="1"/>
  <c r="X145" i="28"/>
  <c r="Y145" i="28" s="1"/>
  <c r="AC145" i="28" s="1"/>
  <c r="X155" i="28"/>
  <c r="Y155" i="28" s="1"/>
  <c r="AC155" i="28" s="1"/>
  <c r="X161" i="28"/>
  <c r="Y161" i="28" s="1"/>
  <c r="AC161" i="28" s="1"/>
  <c r="X167" i="28"/>
  <c r="Y167" i="28" s="1"/>
  <c r="AC167" i="28" s="1"/>
  <c r="X184" i="28"/>
  <c r="Y184" i="28" s="1"/>
  <c r="AC184" i="28" s="1"/>
  <c r="X273" i="28"/>
  <c r="Y273" i="28" s="1"/>
  <c r="AC273" i="28" s="1"/>
  <c r="X280" i="28"/>
  <c r="Y280" i="28" s="1"/>
  <c r="AC280" i="28" s="1"/>
  <c r="W289" i="28"/>
  <c r="X289" i="28" s="1"/>
  <c r="Y289" i="28" s="1"/>
  <c r="AC289" i="28" s="1"/>
  <c r="W307" i="28"/>
  <c r="X307" i="28" s="1"/>
  <c r="Y307" i="28" s="1"/>
  <c r="AC307" i="28" s="1"/>
  <c r="W377" i="28"/>
  <c r="X377" i="28" s="1"/>
  <c r="Y377" i="28" s="1"/>
  <c r="AC377" i="28" s="1"/>
  <c r="W277" i="28"/>
  <c r="X277" i="28" s="1"/>
  <c r="Y277" i="28" s="1"/>
  <c r="AC277" i="28" s="1"/>
  <c r="X301" i="28"/>
  <c r="Y301" i="28" s="1"/>
  <c r="AC301" i="28" s="1"/>
  <c r="W369" i="28"/>
  <c r="X369" i="28" s="1"/>
  <c r="Y369" i="28" s="1"/>
  <c r="AC369" i="28" s="1"/>
  <c r="W390" i="28"/>
  <c r="X390" i="28" s="1"/>
  <c r="Y390" i="28" s="1"/>
  <c r="AC390" i="28" s="1"/>
  <c r="W124" i="28"/>
  <c r="X124" i="28" s="1"/>
  <c r="Y124" i="28" s="1"/>
  <c r="AC124" i="28" s="1"/>
  <c r="W141" i="28"/>
  <c r="X141" i="28" s="1"/>
  <c r="Y141" i="28" s="1"/>
  <c r="AC141" i="28" s="1"/>
  <c r="W178" i="28"/>
  <c r="X178" i="28" s="1"/>
  <c r="Y178" i="28" s="1"/>
  <c r="AC178" i="28" s="1"/>
  <c r="W209" i="28"/>
  <c r="X209" i="28" s="1"/>
  <c r="Y209" i="28" s="1"/>
  <c r="AC209" i="28" s="1"/>
  <c r="X222" i="28"/>
  <c r="Y222" i="28" s="1"/>
  <c r="AC222" i="28" s="1"/>
  <c r="W22" i="28"/>
  <c r="X22" i="28" s="1"/>
  <c r="Y22" i="28" s="1"/>
  <c r="AC22" i="28" s="1"/>
  <c r="X123" i="28"/>
  <c r="Y123" i="28" s="1"/>
  <c r="AC123" i="28" s="1"/>
  <c r="X149" i="28"/>
  <c r="Y149" i="28" s="1"/>
  <c r="AC149" i="28" s="1"/>
  <c r="X192" i="28"/>
  <c r="Y192" i="28" s="1"/>
  <c r="AC192" i="28" s="1"/>
  <c r="W200" i="28"/>
  <c r="X200" i="28" s="1"/>
  <c r="Y200" i="28" s="1"/>
  <c r="AC200" i="28" s="1"/>
  <c r="W217" i="28"/>
  <c r="X217" i="28" s="1"/>
  <c r="Y217" i="28" s="1"/>
  <c r="AC217" i="28" s="1"/>
  <c r="X266" i="28"/>
  <c r="Y266" i="28" s="1"/>
  <c r="AC266" i="28" s="1"/>
  <c r="W272" i="28"/>
  <c r="X272" i="28" s="1"/>
  <c r="Y272" i="28" s="1"/>
  <c r="AC272" i="28" s="1"/>
  <c r="W279" i="28"/>
  <c r="X279" i="28" s="1"/>
  <c r="Y279" i="28" s="1"/>
  <c r="AC279" i="28" s="1"/>
  <c r="X282" i="28"/>
  <c r="Y282" i="28" s="1"/>
  <c r="AC282" i="28" s="1"/>
  <c r="X285" i="28"/>
  <c r="Y285" i="28" s="1"/>
  <c r="AC285" i="28" s="1"/>
  <c r="X303" i="28"/>
  <c r="Y303" i="28" s="1"/>
  <c r="AC303" i="28" s="1"/>
  <c r="W114" i="28"/>
  <c r="X114" i="28" s="1"/>
  <c r="Y114" i="28" s="1"/>
  <c r="AC114" i="28" s="1"/>
  <c r="W119" i="28"/>
  <c r="X119" i="28" s="1"/>
  <c r="Y119" i="28" s="1"/>
  <c r="AC119" i="28" s="1"/>
  <c r="W137" i="28"/>
  <c r="X137" i="28" s="1"/>
  <c r="Y137" i="28" s="1"/>
  <c r="AC137" i="28" s="1"/>
  <c r="X154" i="28"/>
  <c r="Y154" i="28" s="1"/>
  <c r="AC154" i="28" s="1"/>
  <c r="X160" i="28"/>
  <c r="Y160" i="28" s="1"/>
  <c r="AC160" i="28" s="1"/>
  <c r="X166" i="28"/>
  <c r="Y166" i="28" s="1"/>
  <c r="AC166" i="28" s="1"/>
  <c r="X172" i="28"/>
  <c r="Y172" i="28" s="1"/>
  <c r="AC172" i="28" s="1"/>
  <c r="X196" i="28"/>
  <c r="Y196" i="28" s="1"/>
  <c r="AC196" i="28" s="1"/>
  <c r="X118" i="28"/>
  <c r="Y118" i="28" s="1"/>
  <c r="AC118" i="28" s="1"/>
  <c r="X127" i="28"/>
  <c r="Y127" i="28" s="1"/>
  <c r="AC127" i="28" s="1"/>
  <c r="W132" i="28"/>
  <c r="X132" i="28" s="1"/>
  <c r="Y132" i="28" s="1"/>
  <c r="AC132" i="28" s="1"/>
  <c r="X136" i="28"/>
  <c r="Y136" i="28" s="1"/>
  <c r="AC136" i="28" s="1"/>
  <c r="W144" i="28"/>
  <c r="X144" i="28" s="1"/>
  <c r="Y144" i="28" s="1"/>
  <c r="AC144" i="28" s="1"/>
  <c r="X153" i="28"/>
  <c r="Y153" i="28" s="1"/>
  <c r="AC153" i="28" s="1"/>
  <c r="X159" i="28"/>
  <c r="Y159" i="28" s="1"/>
  <c r="AC159" i="28" s="1"/>
  <c r="X165" i="28"/>
  <c r="Y165" i="28" s="1"/>
  <c r="AC165" i="28" s="1"/>
  <c r="X171" i="28"/>
  <c r="Y171" i="28" s="1"/>
  <c r="AC171" i="28" s="1"/>
  <c r="X177" i="28"/>
  <c r="Y177" i="28" s="1"/>
  <c r="AC177" i="28" s="1"/>
  <c r="X208" i="28"/>
  <c r="Y208" i="28" s="1"/>
  <c r="AC208" i="28" s="1"/>
  <c r="X297" i="28"/>
  <c r="Y297" i="28" s="1"/>
  <c r="AC297" i="28" s="1"/>
  <c r="W361" i="28"/>
  <c r="X361" i="28" s="1"/>
  <c r="Y361" i="28" s="1"/>
  <c r="AC361" i="28" s="1"/>
  <c r="X378" i="28"/>
  <c r="Y378" i="28" s="1"/>
  <c r="AC378" i="28" s="1"/>
  <c r="X308" i="28"/>
  <c r="Y308" i="28" s="1"/>
  <c r="AC308" i="28" s="1"/>
  <c r="W312" i="28"/>
  <c r="X312" i="28" s="1"/>
  <c r="Y312" i="28" s="1"/>
  <c r="AC312" i="28" s="1"/>
  <c r="X315" i="28"/>
  <c r="Y315" i="28" s="1"/>
  <c r="AC315" i="28" s="1"/>
  <c r="W357" i="28"/>
  <c r="X357" i="28" s="1"/>
  <c r="Y357" i="28" s="1"/>
  <c r="AC357" i="28" s="1"/>
  <c r="X374" i="28"/>
  <c r="Y374" i="28" s="1"/>
  <c r="AC374" i="28" s="1"/>
  <c r="X412" i="28"/>
  <c r="Y412" i="28" s="1"/>
  <c r="AC412" i="28" s="1"/>
  <c r="W370" i="28"/>
  <c r="X370" i="28" s="1"/>
  <c r="Y370" i="28" s="1"/>
  <c r="AC370" i="28" s="1"/>
  <c r="W372" i="28"/>
  <c r="X372" i="28" s="1"/>
  <c r="Y372" i="28" s="1"/>
  <c r="AC372" i="28" s="1"/>
  <c r="W401" i="28"/>
  <c r="X401" i="28" s="1"/>
  <c r="Y401" i="28" s="1"/>
  <c r="AC401" i="28" s="1"/>
  <c r="X314" i="28"/>
  <c r="Y314" i="28" s="1"/>
  <c r="AC314" i="28" s="1"/>
  <c r="W281" i="28"/>
  <c r="X281" i="28" s="1"/>
  <c r="Y281" i="28" s="1"/>
  <c r="AC281" i="28" s="1"/>
  <c r="W290" i="28"/>
  <c r="X290" i="28" s="1"/>
  <c r="Y290" i="28" s="1"/>
  <c r="AC290" i="28" s="1"/>
  <c r="W300" i="28"/>
  <c r="X300" i="28" s="1"/>
  <c r="Y300" i="28" s="1"/>
  <c r="AC300" i="28" s="1"/>
  <c r="X366" i="28"/>
  <c r="Y366" i="28" s="1"/>
  <c r="AC366" i="28" s="1"/>
  <c r="W368" i="28"/>
  <c r="X368" i="28" s="1"/>
  <c r="Y368" i="28" s="1"/>
  <c r="AC368" i="28" s="1"/>
  <c r="W302" i="28"/>
  <c r="X302" i="28" s="1"/>
  <c r="Y302" i="28" s="1"/>
  <c r="AC302" i="28" s="1"/>
  <c r="W364" i="28"/>
  <c r="X364" i="28" s="1"/>
  <c r="Y364" i="28" s="1"/>
  <c r="AC364" i="28" s="1"/>
  <c r="W358" i="28"/>
  <c r="X358" i="28" s="1"/>
  <c r="Y358" i="28" s="1"/>
  <c r="AC358" i="28" s="1"/>
  <c r="W404" i="28"/>
  <c r="X404" i="28" s="1"/>
  <c r="Y404" i="28" s="1"/>
  <c r="AC404" i="28" s="1"/>
  <c r="W445" i="28"/>
  <c r="X445" i="28" s="1"/>
  <c r="Y445" i="28" s="1"/>
  <c r="AC445" i="28" s="1"/>
  <c r="W501" i="28"/>
  <c r="X501" i="28" s="1"/>
  <c r="Y501" i="28" s="1"/>
  <c r="AC501" i="28" s="1"/>
  <c r="W379" i="28"/>
  <c r="X379" i="28" s="1"/>
  <c r="Y379" i="28" s="1"/>
  <c r="AC379" i="28" s="1"/>
  <c r="W402" i="28"/>
  <c r="X402" i="28" s="1"/>
  <c r="Y402" i="28" s="1"/>
  <c r="AC402" i="28" s="1"/>
  <c r="W458" i="28"/>
  <c r="X458" i="28" s="1"/>
  <c r="Y458" i="28" s="1"/>
  <c r="AC458" i="28" s="1"/>
  <c r="W504" i="28"/>
  <c r="X504" i="28" s="1"/>
  <c r="Y504" i="28" s="1"/>
  <c r="AC504" i="28" s="1"/>
  <c r="W360" i="28"/>
  <c r="X360" i="28" s="1"/>
  <c r="Y360" i="28" s="1"/>
  <c r="AC360" i="28" s="1"/>
  <c r="W409" i="28"/>
  <c r="X409" i="28" s="1"/>
  <c r="Y409" i="28" s="1"/>
  <c r="AC409" i="28" s="1"/>
  <c r="X296" i="28"/>
  <c r="Y296" i="28" s="1"/>
  <c r="AC296" i="28" s="1"/>
  <c r="X304" i="28"/>
  <c r="Y304" i="28" s="1"/>
  <c r="AC304" i="28" s="1"/>
  <c r="X316" i="28"/>
  <c r="Y316" i="28" s="1"/>
  <c r="AC316" i="28" s="1"/>
  <c r="W362" i="28"/>
  <c r="X362" i="28" s="1"/>
  <c r="Y362" i="28" s="1"/>
  <c r="AC362" i="28" s="1"/>
  <c r="W373" i="28"/>
  <c r="X373" i="28" s="1"/>
  <c r="Y373" i="28" s="1"/>
  <c r="AC373" i="28" s="1"/>
  <c r="X383" i="28"/>
  <c r="Y383" i="28" s="1"/>
  <c r="AC383" i="28" s="1"/>
  <c r="W395" i="28"/>
  <c r="X395" i="28" s="1"/>
  <c r="Y395" i="28" s="1"/>
  <c r="AC395" i="28" s="1"/>
  <c r="X398" i="28"/>
  <c r="Y398" i="28" s="1"/>
  <c r="AC398" i="28" s="1"/>
  <c r="W432" i="28"/>
  <c r="X432" i="28" s="1"/>
  <c r="Y432" i="28" s="1"/>
  <c r="AC432" i="28" s="1"/>
  <c r="W550" i="28"/>
  <c r="X550" i="28" s="1"/>
  <c r="Y550" i="28" s="1"/>
  <c r="AC550" i="28" s="1"/>
  <c r="W389" i="28"/>
  <c r="X389" i="28" s="1"/>
  <c r="Y389" i="28" s="1"/>
  <c r="AC389" i="28" s="1"/>
  <c r="X392" i="28"/>
  <c r="Y392" i="28" s="1"/>
  <c r="AC392" i="28" s="1"/>
  <c r="W520" i="28"/>
  <c r="X520" i="28" s="1"/>
  <c r="Y520" i="28" s="1"/>
  <c r="AC520" i="28" s="1"/>
  <c r="W583" i="28"/>
  <c r="X583" i="28" s="1"/>
  <c r="Y583" i="28" s="1"/>
  <c r="AC583" i="28" s="1"/>
  <c r="W408" i="28"/>
  <c r="X408" i="28" s="1"/>
  <c r="Y408" i="28" s="1"/>
  <c r="AC408" i="28" s="1"/>
  <c r="W657" i="28"/>
  <c r="X657" i="28" s="1"/>
  <c r="Y657" i="28" s="1"/>
  <c r="AC657" i="28" s="1"/>
  <c r="X405" i="28"/>
  <c r="Y405" i="28" s="1"/>
  <c r="AC405" i="28" s="1"/>
  <c r="W438" i="28"/>
  <c r="X438" i="28" s="1"/>
  <c r="Y438" i="28" s="1"/>
  <c r="AC438" i="28" s="1"/>
  <c r="W459" i="28"/>
  <c r="X459" i="28" s="1"/>
  <c r="Y459" i="28" s="1"/>
  <c r="AC459" i="28" s="1"/>
  <c r="W577" i="28"/>
  <c r="X577" i="28" s="1"/>
  <c r="Y577" i="28" s="1"/>
  <c r="AC577" i="28" s="1"/>
  <c r="W461" i="28"/>
  <c r="X461" i="28" s="1"/>
  <c r="Y461" i="28" s="1"/>
  <c r="AC461" i="28" s="1"/>
  <c r="W463" i="28"/>
  <c r="X463" i="28" s="1"/>
  <c r="Y463" i="28" s="1"/>
  <c r="AC463" i="28" s="1"/>
  <c r="W426" i="28"/>
  <c r="X426" i="28" s="1"/>
  <c r="Y426" i="28" s="1"/>
  <c r="AC426" i="28" s="1"/>
  <c r="W428" i="28"/>
  <c r="X428" i="28" s="1"/>
  <c r="Y428" i="28" s="1"/>
  <c r="AC428" i="28" s="1"/>
  <c r="X122" i="28"/>
  <c r="Y122" i="28" s="1"/>
  <c r="AC122" i="28" s="1"/>
  <c r="X128" i="28"/>
  <c r="Y128" i="28" s="1"/>
  <c r="AC128" i="28" s="1"/>
  <c r="X134" i="28"/>
  <c r="Y134" i="28" s="1"/>
  <c r="AC134" i="28" s="1"/>
  <c r="X140" i="28"/>
  <c r="Y140" i="28" s="1"/>
  <c r="AC140" i="28" s="1"/>
  <c r="X146" i="28"/>
  <c r="Y146" i="28" s="1"/>
  <c r="AC146" i="28" s="1"/>
  <c r="X309" i="28"/>
  <c r="Y309" i="28" s="1"/>
  <c r="AC309" i="28" s="1"/>
  <c r="W396" i="28"/>
  <c r="X396" i="28" s="1"/>
  <c r="Y396" i="28" s="1"/>
  <c r="AC396" i="28" s="1"/>
  <c r="W399" i="28"/>
  <c r="X399" i="28" s="1"/>
  <c r="Y399" i="28" s="1"/>
  <c r="AC399" i="28" s="1"/>
  <c r="W410" i="28"/>
  <c r="X410" i="28" s="1"/>
  <c r="Y410" i="28" s="1"/>
  <c r="AC410" i="28" s="1"/>
  <c r="W418" i="28"/>
  <c r="X418" i="28" s="1"/>
  <c r="Y418" i="28" s="1"/>
  <c r="AC418" i="28" s="1"/>
  <c r="W521" i="28"/>
  <c r="X521" i="28" s="1"/>
  <c r="Y521" i="28" s="1"/>
  <c r="AC521" i="28" s="1"/>
  <c r="W600" i="28"/>
  <c r="X600" i="28" s="1"/>
  <c r="Y600" i="28" s="1"/>
  <c r="AC600" i="28" s="1"/>
  <c r="X313" i="28"/>
  <c r="Y313" i="28" s="1"/>
  <c r="AC313" i="28" s="1"/>
  <c r="W365" i="28"/>
  <c r="X365" i="28" s="1"/>
  <c r="Y365" i="28" s="1"/>
  <c r="AC365" i="28" s="1"/>
  <c r="X381" i="28"/>
  <c r="Y381" i="28" s="1"/>
  <c r="AC381" i="28" s="1"/>
  <c r="X393" i="28"/>
  <c r="Y393" i="28" s="1"/>
  <c r="AC393" i="28" s="1"/>
  <c r="W407" i="28"/>
  <c r="X407" i="28" s="1"/>
  <c r="Y407" i="28" s="1"/>
  <c r="AC407" i="28" s="1"/>
  <c r="V561" i="28"/>
  <c r="Z561" i="28"/>
  <c r="X298" i="28"/>
  <c r="Y298" i="28" s="1"/>
  <c r="AC298" i="28" s="1"/>
  <c r="X310" i="28"/>
  <c r="Y310" i="28" s="1"/>
  <c r="AC310" i="28" s="1"/>
  <c r="W434" i="28"/>
  <c r="X434" i="28" s="1"/>
  <c r="Y434" i="28" s="1"/>
  <c r="AC434" i="28" s="1"/>
  <c r="W443" i="28"/>
  <c r="X443" i="28" s="1"/>
  <c r="Y443" i="28" s="1"/>
  <c r="AC443" i="28" s="1"/>
  <c r="W449" i="28"/>
  <c r="X449" i="28" s="1"/>
  <c r="Y449" i="28" s="1"/>
  <c r="AC449" i="28" s="1"/>
  <c r="X498" i="28"/>
  <c r="Y498" i="28" s="1"/>
  <c r="AC498" i="28" s="1"/>
  <c r="W509" i="28"/>
  <c r="X509" i="28" s="1"/>
  <c r="Y509" i="28" s="1"/>
  <c r="AC509" i="28" s="1"/>
  <c r="W526" i="28"/>
  <c r="X526" i="28" s="1"/>
  <c r="Y526" i="28" s="1"/>
  <c r="AC526" i="28" s="1"/>
  <c r="X547" i="28"/>
  <c r="Y547" i="28" s="1"/>
  <c r="AC547" i="28" s="1"/>
  <c r="W644" i="28"/>
  <c r="X644" i="28" s="1"/>
  <c r="Y644" i="28" s="1"/>
  <c r="AC644" i="28" s="1"/>
  <c r="W646" i="28"/>
  <c r="X646" i="28" s="1"/>
  <c r="Y646" i="28" s="1"/>
  <c r="AC646" i="28" s="1"/>
  <c r="W451" i="28"/>
  <c r="X451" i="28" s="1"/>
  <c r="Y451" i="28" s="1"/>
  <c r="AC451" i="28" s="1"/>
  <c r="W455" i="28"/>
  <c r="X455" i="28" s="1"/>
  <c r="Y455" i="28" s="1"/>
  <c r="AC455" i="28" s="1"/>
  <c r="W503" i="28"/>
  <c r="X503" i="28" s="1"/>
  <c r="Y503" i="28" s="1"/>
  <c r="AC503" i="28" s="1"/>
  <c r="W512" i="28"/>
  <c r="X512" i="28" s="1"/>
  <c r="Y512" i="28" s="1"/>
  <c r="AC512" i="28" s="1"/>
  <c r="X534" i="28"/>
  <c r="Y534" i="28" s="1"/>
  <c r="AC534" i="28" s="1"/>
  <c r="W549" i="28"/>
  <c r="X549" i="28" s="1"/>
  <c r="Y549" i="28" s="1"/>
  <c r="AC549" i="28" s="1"/>
  <c r="W581" i="28"/>
  <c r="X581" i="28" s="1"/>
  <c r="Y581" i="28" s="1"/>
  <c r="AC581" i="28" s="1"/>
  <c r="W632" i="28"/>
  <c r="X632" i="28" s="1"/>
  <c r="Y632" i="28" s="1"/>
  <c r="AC632" i="28" s="1"/>
  <c r="W497" i="28"/>
  <c r="X497" i="28" s="1"/>
  <c r="Y497" i="28" s="1"/>
  <c r="AC497" i="28" s="1"/>
  <c r="W514" i="28"/>
  <c r="X514" i="28" s="1"/>
  <c r="Y514" i="28" s="1"/>
  <c r="AC514" i="28" s="1"/>
  <c r="X306" i="28"/>
  <c r="Y306" i="28" s="1"/>
  <c r="AC306" i="28" s="1"/>
  <c r="X359" i="28"/>
  <c r="Y359" i="28" s="1"/>
  <c r="AC359" i="28" s="1"/>
  <c r="X363" i="28"/>
  <c r="Y363" i="28" s="1"/>
  <c r="AC363" i="28" s="1"/>
  <c r="X367" i="28"/>
  <c r="Y367" i="28" s="1"/>
  <c r="AC367" i="28" s="1"/>
  <c r="X371" i="28"/>
  <c r="Y371" i="28" s="1"/>
  <c r="AC371" i="28" s="1"/>
  <c r="X375" i="28"/>
  <c r="Y375" i="28" s="1"/>
  <c r="AC375" i="28" s="1"/>
  <c r="W491" i="28"/>
  <c r="X491" i="28" s="1"/>
  <c r="Y491" i="28" s="1"/>
  <c r="AC491" i="28" s="1"/>
  <c r="W528" i="28"/>
  <c r="X528" i="28" s="1"/>
  <c r="Y528" i="28" s="1"/>
  <c r="AC528" i="28" s="1"/>
  <c r="X541" i="28"/>
  <c r="Y541" i="28" s="1"/>
  <c r="AC541" i="28" s="1"/>
  <c r="W544" i="28"/>
  <c r="X544" i="28" s="1"/>
  <c r="Y544" i="28" s="1"/>
  <c r="AC544" i="28" s="1"/>
  <c r="X554" i="28"/>
  <c r="Y554" i="28" s="1"/>
  <c r="AC554" i="28" s="1"/>
  <c r="W562" i="28"/>
  <c r="X562" i="28" s="1"/>
  <c r="Y562" i="28" s="1"/>
  <c r="AC562" i="28" s="1"/>
  <c r="W592" i="28"/>
  <c r="X592" i="28" s="1"/>
  <c r="Y592" i="28" s="1"/>
  <c r="AC592" i="28" s="1"/>
  <c r="X619" i="28"/>
  <c r="Y619" i="28" s="1"/>
  <c r="AC619" i="28" s="1"/>
  <c r="X305" i="28"/>
  <c r="Y305" i="28" s="1"/>
  <c r="AC305" i="28" s="1"/>
  <c r="X317" i="28"/>
  <c r="Y317" i="28" s="1"/>
  <c r="AC317" i="28" s="1"/>
  <c r="X394" i="28"/>
  <c r="Y394" i="28" s="1"/>
  <c r="AC394" i="28" s="1"/>
  <c r="X400" i="28"/>
  <c r="Y400" i="28" s="1"/>
  <c r="AC400" i="28" s="1"/>
  <c r="X406" i="28"/>
  <c r="Y406" i="28" s="1"/>
  <c r="AC406" i="28" s="1"/>
  <c r="W457" i="28"/>
  <c r="X457" i="28" s="1"/>
  <c r="Y457" i="28" s="1"/>
  <c r="AC457" i="28" s="1"/>
  <c r="Z562" i="28"/>
  <c r="W617" i="28"/>
  <c r="X617" i="28" s="1"/>
  <c r="Y617" i="28" s="1"/>
  <c r="AC617" i="28" s="1"/>
  <c r="W625" i="28"/>
  <c r="X625" i="28" s="1"/>
  <c r="Y625" i="28" s="1"/>
  <c r="AC625" i="28" s="1"/>
  <c r="X447" i="28"/>
  <c r="Y447" i="28" s="1"/>
  <c r="AC447" i="28" s="1"/>
  <c r="W516" i="28"/>
  <c r="X516" i="28" s="1"/>
  <c r="Y516" i="28" s="1"/>
  <c r="AC516" i="28" s="1"/>
  <c r="X527" i="28"/>
  <c r="Y527" i="28" s="1"/>
  <c r="AC527" i="28" s="1"/>
  <c r="X538" i="28"/>
  <c r="Y538" i="28" s="1"/>
  <c r="AC538" i="28" s="1"/>
  <c r="W603" i="28"/>
  <c r="X603" i="28" s="1"/>
  <c r="Y603" i="28" s="1"/>
  <c r="AC603" i="28" s="1"/>
  <c r="W608" i="28"/>
  <c r="X608" i="28" s="1"/>
  <c r="Y608" i="28" s="1"/>
  <c r="AC608" i="28" s="1"/>
  <c r="W623" i="28"/>
  <c r="X623" i="28" s="1"/>
  <c r="Y623" i="28" s="1"/>
  <c r="AC623" i="28" s="1"/>
  <c r="X641" i="28"/>
  <c r="Y641" i="28" s="1"/>
  <c r="AC641" i="28" s="1"/>
  <c r="X535" i="28"/>
  <c r="Y535" i="28" s="1"/>
  <c r="AC535" i="28" s="1"/>
  <c r="W589" i="28"/>
  <c r="X589" i="28" s="1"/>
  <c r="Y589" i="28" s="1"/>
  <c r="AC589" i="28" s="1"/>
  <c r="W637" i="28"/>
  <c r="X637" i="28" s="1"/>
  <c r="Y637" i="28" s="1"/>
  <c r="AC637" i="28" s="1"/>
  <c r="W656" i="28"/>
  <c r="X656" i="28" s="1"/>
  <c r="Y656" i="28" s="1"/>
  <c r="AC656" i="28" s="1"/>
  <c r="W679" i="28"/>
  <c r="X679" i="28" s="1"/>
  <c r="Y679" i="28" s="1"/>
  <c r="AC679" i="28" s="1"/>
  <c r="W614" i="28"/>
  <c r="X614" i="28" s="1"/>
  <c r="Y614" i="28" s="1"/>
  <c r="AC614" i="28" s="1"/>
  <c r="W650" i="28"/>
  <c r="X650" i="28" s="1"/>
  <c r="Y650" i="28" s="1"/>
  <c r="AC650" i="28" s="1"/>
  <c r="W654" i="28"/>
  <c r="X654" i="28" s="1"/>
  <c r="Y654" i="28" s="1"/>
  <c r="AC654" i="28" s="1"/>
  <c r="X299" i="28"/>
  <c r="Y299" i="28" s="1"/>
  <c r="AC299" i="28" s="1"/>
  <c r="X311" i="28"/>
  <c r="Y311" i="28" s="1"/>
  <c r="AC311" i="28" s="1"/>
  <c r="X391" i="28"/>
  <c r="Y391" i="28" s="1"/>
  <c r="AC391" i="28" s="1"/>
  <c r="X397" i="28"/>
  <c r="Y397" i="28" s="1"/>
  <c r="AC397" i="28" s="1"/>
  <c r="X403" i="28"/>
  <c r="Y403" i="28" s="1"/>
  <c r="AC403" i="28" s="1"/>
  <c r="W440" i="28"/>
  <c r="X440" i="28" s="1"/>
  <c r="Y440" i="28" s="1"/>
  <c r="AC440" i="28" s="1"/>
  <c r="X446" i="28"/>
  <c r="Y446" i="28" s="1"/>
  <c r="AC446" i="28" s="1"/>
  <c r="X452" i="28"/>
  <c r="Y452" i="28" s="1"/>
  <c r="AC452" i="28" s="1"/>
  <c r="W515" i="28"/>
  <c r="X515" i="28" s="1"/>
  <c r="Y515" i="28" s="1"/>
  <c r="AC515" i="28" s="1"/>
  <c r="W524" i="28"/>
  <c r="X524" i="28" s="1"/>
  <c r="Y524" i="28" s="1"/>
  <c r="AC524" i="28" s="1"/>
  <c r="X532" i="28"/>
  <c r="Y532" i="28" s="1"/>
  <c r="AC532" i="28" s="1"/>
  <c r="X558" i="28"/>
  <c r="Y558" i="28" s="1"/>
  <c r="AC558" i="28" s="1"/>
  <c r="X453" i="28"/>
  <c r="Y453" i="28" s="1"/>
  <c r="AC453" i="28" s="1"/>
  <c r="X500" i="28"/>
  <c r="Y500" i="28" s="1"/>
  <c r="AC500" i="28" s="1"/>
  <c r="X522" i="28"/>
  <c r="Y522" i="28" s="1"/>
  <c r="AC522" i="28" s="1"/>
  <c r="X582" i="28"/>
  <c r="Y582" i="28" s="1"/>
  <c r="AC582" i="28" s="1"/>
  <c r="W587" i="28"/>
  <c r="X587" i="28" s="1"/>
  <c r="Y587" i="28" s="1"/>
  <c r="AC587" i="28" s="1"/>
  <c r="W598" i="28"/>
  <c r="X598" i="28" s="1"/>
  <c r="Y598" i="28" s="1"/>
  <c r="AC598" i="28" s="1"/>
  <c r="X604" i="28"/>
  <c r="Y604" i="28" s="1"/>
  <c r="AC604" i="28" s="1"/>
  <c r="X615" i="28"/>
  <c r="Y615" i="28" s="1"/>
  <c r="AC615" i="28" s="1"/>
  <c r="X624" i="28"/>
  <c r="Y624" i="28" s="1"/>
  <c r="AC624" i="28" s="1"/>
  <c r="X634" i="28"/>
  <c r="Y634" i="28" s="1"/>
  <c r="AC634" i="28" s="1"/>
  <c r="X642" i="28"/>
  <c r="Y642" i="28" s="1"/>
  <c r="AC642" i="28" s="1"/>
  <c r="X697" i="28"/>
  <c r="Y697" i="28" s="1"/>
  <c r="AC697" i="28" s="1"/>
  <c r="W712" i="28"/>
  <c r="X712" i="28" s="1"/>
  <c r="Y712" i="28" s="1"/>
  <c r="AC712" i="28" s="1"/>
  <c r="X740" i="28"/>
  <c r="Y740" i="28" s="1"/>
  <c r="AC740" i="28" s="1"/>
  <c r="X746" i="28"/>
  <c r="Y746" i="28" s="1"/>
  <c r="AC746" i="28" s="1"/>
  <c r="W748" i="28"/>
  <c r="X748" i="28" s="1"/>
  <c r="Y748" i="28" s="1"/>
  <c r="AC748" i="28" s="1"/>
  <c r="W799" i="28"/>
  <c r="X799" i="28" s="1"/>
  <c r="Y799" i="28" s="1"/>
  <c r="AC799" i="28" s="1"/>
  <c r="X450" i="28"/>
  <c r="Y450" i="28" s="1"/>
  <c r="AC450" i="28" s="1"/>
  <c r="X462" i="28"/>
  <c r="Y462" i="28" s="1"/>
  <c r="AC462" i="28" s="1"/>
  <c r="X519" i="28"/>
  <c r="Y519" i="28" s="1"/>
  <c r="AC519" i="28" s="1"/>
  <c r="X531" i="28"/>
  <c r="Y531" i="28" s="1"/>
  <c r="AC531" i="28" s="1"/>
  <c r="X596" i="28"/>
  <c r="Y596" i="28" s="1"/>
  <c r="AC596" i="28" s="1"/>
  <c r="X607" i="28"/>
  <c r="Y607" i="28" s="1"/>
  <c r="AC607" i="28" s="1"/>
  <c r="X626" i="28"/>
  <c r="Y626" i="28" s="1"/>
  <c r="AC626" i="28" s="1"/>
  <c r="X666" i="28"/>
  <c r="Y666" i="28" s="1"/>
  <c r="AC666" i="28" s="1"/>
  <c r="X728" i="28"/>
  <c r="Y728" i="28" s="1"/>
  <c r="AC728" i="28" s="1"/>
  <c r="W795" i="28"/>
  <c r="X795" i="28" s="1"/>
  <c r="Y795" i="28" s="1"/>
  <c r="AC795" i="28" s="1"/>
  <c r="W674" i="28"/>
  <c r="X674" i="28" s="1"/>
  <c r="Y674" i="28" s="1"/>
  <c r="AC674" i="28" s="1"/>
  <c r="W696" i="28"/>
  <c r="X696" i="28" s="1"/>
  <c r="Y696" i="28" s="1"/>
  <c r="AC696" i="28" s="1"/>
  <c r="W751" i="28"/>
  <c r="X751" i="28" s="1"/>
  <c r="Y751" i="28" s="1"/>
  <c r="AC751" i="28" s="1"/>
  <c r="X448" i="28"/>
  <c r="Y448" i="28" s="1"/>
  <c r="AC448" i="28" s="1"/>
  <c r="X460" i="28"/>
  <c r="Y460" i="28" s="1"/>
  <c r="AC460" i="28" s="1"/>
  <c r="X495" i="28"/>
  <c r="Y495" i="28" s="1"/>
  <c r="AC495" i="28" s="1"/>
  <c r="X507" i="28"/>
  <c r="Y507" i="28" s="1"/>
  <c r="AC507" i="28" s="1"/>
  <c r="X517" i="28"/>
  <c r="Y517" i="28" s="1"/>
  <c r="AC517" i="28" s="1"/>
  <c r="W518" i="28"/>
  <c r="X518" i="28" s="1"/>
  <c r="Y518" i="28" s="1"/>
  <c r="AC518" i="28" s="1"/>
  <c r="X529" i="28"/>
  <c r="Y529" i="28" s="1"/>
  <c r="AC529" i="28" s="1"/>
  <c r="W530" i="28"/>
  <c r="X530" i="28" s="1"/>
  <c r="Y530" i="28" s="1"/>
  <c r="AC530" i="28" s="1"/>
  <c r="X579" i="28"/>
  <c r="Y579" i="28" s="1"/>
  <c r="AC579" i="28" s="1"/>
  <c r="X591" i="28"/>
  <c r="Y591" i="28" s="1"/>
  <c r="AC591" i="28" s="1"/>
  <c r="W602" i="28"/>
  <c r="X602" i="28" s="1"/>
  <c r="Y602" i="28" s="1"/>
  <c r="AC602" i="28" s="1"/>
  <c r="W613" i="28"/>
  <c r="X613" i="28" s="1"/>
  <c r="Y613" i="28" s="1"/>
  <c r="AC613" i="28" s="1"/>
  <c r="W618" i="28"/>
  <c r="X618" i="28" s="1"/>
  <c r="Y618" i="28" s="1"/>
  <c r="AC618" i="28" s="1"/>
  <c r="W662" i="28"/>
  <c r="X662" i="28" s="1"/>
  <c r="Y662" i="28" s="1"/>
  <c r="AC662" i="28" s="1"/>
  <c r="W671" i="28"/>
  <c r="X671" i="28" s="1"/>
  <c r="Y671" i="28" s="1"/>
  <c r="AC671" i="28" s="1"/>
  <c r="X763" i="28"/>
  <c r="Y763" i="28" s="1"/>
  <c r="AC763" i="28" s="1"/>
  <c r="X601" i="28"/>
  <c r="Y601" i="28" s="1"/>
  <c r="AC601" i="28" s="1"/>
  <c r="X606" i="28"/>
  <c r="Y606" i="28" s="1"/>
  <c r="AC606" i="28" s="1"/>
  <c r="W612" i="28"/>
  <c r="X612" i="28" s="1"/>
  <c r="Y612" i="28" s="1"/>
  <c r="AC612" i="28" s="1"/>
  <c r="X622" i="28"/>
  <c r="Y622" i="28" s="1"/>
  <c r="AC622" i="28" s="1"/>
  <c r="X636" i="28"/>
  <c r="Y636" i="28" s="1"/>
  <c r="AC636" i="28" s="1"/>
  <c r="X668" i="28"/>
  <c r="Y668" i="28" s="1"/>
  <c r="AC668" i="28" s="1"/>
  <c r="W680" i="28"/>
  <c r="X680" i="28" s="1"/>
  <c r="Y680" i="28" s="1"/>
  <c r="AC680" i="28" s="1"/>
  <c r="W753" i="28"/>
  <c r="X753" i="28" s="1"/>
  <c r="Y753" i="28" s="1"/>
  <c r="AC753" i="28" s="1"/>
  <c r="W785" i="28"/>
  <c r="X785" i="28" s="1"/>
  <c r="Y785" i="28" s="1"/>
  <c r="AC785" i="28" s="1"/>
  <c r="W691" i="28"/>
  <c r="X691" i="28" s="1"/>
  <c r="Y691" i="28" s="1"/>
  <c r="AC691" i="28" s="1"/>
  <c r="W682" i="28"/>
  <c r="X682" i="28" s="1"/>
  <c r="Y682" i="28" s="1"/>
  <c r="AC682" i="28" s="1"/>
  <c r="X739" i="28"/>
  <c r="Y739" i="28" s="1"/>
  <c r="AC739" i="28" s="1"/>
  <c r="W772" i="28"/>
  <c r="X772" i="28" s="1"/>
  <c r="Y772" i="28" s="1"/>
  <c r="AC772" i="28" s="1"/>
  <c r="W783" i="28"/>
  <c r="X783" i="28" s="1"/>
  <c r="Y783" i="28" s="1"/>
  <c r="AC783" i="28" s="1"/>
  <c r="X444" i="28"/>
  <c r="Y444" i="28" s="1"/>
  <c r="AC444" i="28" s="1"/>
  <c r="X456" i="28"/>
  <c r="Y456" i="28" s="1"/>
  <c r="AC456" i="28" s="1"/>
  <c r="X513" i="28"/>
  <c r="Y513" i="28" s="1"/>
  <c r="AC513" i="28" s="1"/>
  <c r="X525" i="28"/>
  <c r="Y525" i="28" s="1"/>
  <c r="AC525" i="28" s="1"/>
  <c r="X553" i="28"/>
  <c r="Y553" i="28" s="1"/>
  <c r="AC553" i="28" s="1"/>
  <c r="X605" i="28"/>
  <c r="Y605" i="28" s="1"/>
  <c r="AC605" i="28" s="1"/>
  <c r="X628" i="28"/>
  <c r="Y628" i="28" s="1"/>
  <c r="AC628" i="28" s="1"/>
  <c r="X661" i="28"/>
  <c r="Y661" i="28" s="1"/>
  <c r="AC661" i="28" s="1"/>
  <c r="W673" i="28"/>
  <c r="X673" i="28" s="1"/>
  <c r="Y673" i="28" s="1"/>
  <c r="AC673" i="28" s="1"/>
  <c r="W693" i="28"/>
  <c r="X693" i="28" s="1"/>
  <c r="Y693" i="28" s="1"/>
  <c r="AC693" i="28" s="1"/>
  <c r="W610" i="28"/>
  <c r="X610" i="28" s="1"/>
  <c r="Y610" i="28" s="1"/>
  <c r="AC610" i="28" s="1"/>
  <c r="X442" i="28"/>
  <c r="Y442" i="28" s="1"/>
  <c r="AC442" i="28" s="1"/>
  <c r="X454" i="28"/>
  <c r="Y454" i="28" s="1"/>
  <c r="AC454" i="28" s="1"/>
  <c r="X523" i="28"/>
  <c r="Y523" i="28" s="1"/>
  <c r="AC523" i="28" s="1"/>
  <c r="W616" i="28"/>
  <c r="X616" i="28" s="1"/>
  <c r="Y616" i="28" s="1"/>
  <c r="AC616" i="28" s="1"/>
  <c r="X631" i="28"/>
  <c r="Y631" i="28" s="1"/>
  <c r="AC631" i="28" s="1"/>
  <c r="X648" i="28"/>
  <c r="Y648" i="28" s="1"/>
  <c r="AC648" i="28" s="1"/>
  <c r="W718" i="28"/>
  <c r="X718" i="28" s="1"/>
  <c r="Y718" i="28" s="1"/>
  <c r="AC718" i="28" s="1"/>
  <c r="W727" i="28"/>
  <c r="X727" i="28" s="1"/>
  <c r="Y727" i="28" s="1"/>
  <c r="AC727" i="28" s="1"/>
  <c r="W665" i="28"/>
  <c r="X665" i="28" s="1"/>
  <c r="Y665" i="28" s="1"/>
  <c r="AC665" i="28" s="1"/>
  <c r="W741" i="28"/>
  <c r="X741" i="28" s="1"/>
  <c r="Y741" i="28" s="1"/>
  <c r="AC741" i="28" s="1"/>
  <c r="W726" i="28"/>
  <c r="X726" i="28" s="1"/>
  <c r="Y726" i="28" s="1"/>
  <c r="AC726" i="28" s="1"/>
  <c r="W812" i="28"/>
  <c r="X812" i="28" s="1"/>
  <c r="Y812" i="28" s="1"/>
  <c r="AC812" i="28" s="1"/>
  <c r="W872" i="28"/>
  <c r="X872" i="28" s="1"/>
  <c r="Y872" i="28" s="1"/>
  <c r="AC872" i="28" s="1"/>
  <c r="X677" i="28"/>
  <c r="Y677" i="28" s="1"/>
  <c r="AC677" i="28" s="1"/>
  <c r="X692" i="28"/>
  <c r="Y692" i="28" s="1"/>
  <c r="AC692" i="28" s="1"/>
  <c r="W755" i="28"/>
  <c r="X755" i="28" s="1"/>
  <c r="Y755" i="28" s="1"/>
  <c r="AC755" i="28" s="1"/>
  <c r="W857" i="28"/>
  <c r="X857" i="28" s="1"/>
  <c r="Y857" i="28" s="1"/>
  <c r="AC857" i="28" s="1"/>
  <c r="X720" i="28"/>
  <c r="Y720" i="28" s="1"/>
  <c r="AC720" i="28" s="1"/>
  <c r="W733" i="28"/>
  <c r="X733" i="28" s="1"/>
  <c r="Y733" i="28" s="1"/>
  <c r="AC733" i="28" s="1"/>
  <c r="W745" i="28"/>
  <c r="X745" i="28" s="1"/>
  <c r="Y745" i="28" s="1"/>
  <c r="AC745" i="28" s="1"/>
  <c r="W750" i="28"/>
  <c r="X750" i="28" s="1"/>
  <c r="Y750" i="28" s="1"/>
  <c r="AC750" i="28" s="1"/>
  <c r="W798" i="28"/>
  <c r="X798" i="28" s="1"/>
  <c r="Y798" i="28" s="1"/>
  <c r="AC798" i="28" s="1"/>
  <c r="X807" i="28"/>
  <c r="Y807" i="28" s="1"/>
  <c r="AC807" i="28" s="1"/>
  <c r="W868" i="28"/>
  <c r="X868" i="28" s="1"/>
  <c r="Y868" i="28" s="1"/>
  <c r="AC868" i="28" s="1"/>
  <c r="W897" i="28"/>
  <c r="X897" i="28" s="1"/>
  <c r="Y897" i="28" s="1"/>
  <c r="AC897" i="28" s="1"/>
  <c r="W800" i="28"/>
  <c r="X800" i="28" s="1"/>
  <c r="Y800" i="28" s="1"/>
  <c r="AC800" i="28" s="1"/>
  <c r="X599" i="28"/>
  <c r="Y599" i="28" s="1"/>
  <c r="AC599" i="28" s="1"/>
  <c r="X611" i="28"/>
  <c r="Y611" i="28" s="1"/>
  <c r="AC611" i="28" s="1"/>
  <c r="X640" i="28"/>
  <c r="Y640" i="28" s="1"/>
  <c r="AC640" i="28" s="1"/>
  <c r="X759" i="28"/>
  <c r="Y759" i="28" s="1"/>
  <c r="AC759" i="28" s="1"/>
  <c r="W764" i="28"/>
  <c r="X764" i="28" s="1"/>
  <c r="Y764" i="28" s="1"/>
  <c r="AC764" i="28" s="1"/>
  <c r="W877" i="28"/>
  <c r="X877" i="28" s="1"/>
  <c r="Y877" i="28" s="1"/>
  <c r="AC877" i="28" s="1"/>
  <c r="X912" i="28"/>
  <c r="Y912" i="28" s="1"/>
  <c r="AC912" i="28" s="1"/>
  <c r="W676" i="28"/>
  <c r="X676" i="28" s="1"/>
  <c r="Y676" i="28" s="1"/>
  <c r="AC676" i="28" s="1"/>
  <c r="W725" i="28"/>
  <c r="X725" i="28" s="1"/>
  <c r="Y725" i="28" s="1"/>
  <c r="AC725" i="28" s="1"/>
  <c r="W822" i="28"/>
  <c r="X822" i="28" s="1"/>
  <c r="Y822" i="28" s="1"/>
  <c r="AC822" i="28" s="1"/>
  <c r="X597" i="28"/>
  <c r="Y597" i="28" s="1"/>
  <c r="AC597" i="28" s="1"/>
  <c r="X609" i="28"/>
  <c r="Y609" i="28" s="1"/>
  <c r="AC609" i="28" s="1"/>
  <c r="X716" i="28"/>
  <c r="Y716" i="28" s="1"/>
  <c r="AC716" i="28" s="1"/>
  <c r="X732" i="28"/>
  <c r="Y732" i="28" s="1"/>
  <c r="AC732" i="28" s="1"/>
  <c r="X744" i="28"/>
  <c r="Y744" i="28" s="1"/>
  <c r="AC744" i="28" s="1"/>
  <c r="W766" i="28"/>
  <c r="X766" i="28" s="1"/>
  <c r="Y766" i="28" s="1"/>
  <c r="AC766" i="28" s="1"/>
  <c r="W773" i="28"/>
  <c r="X773" i="28" s="1"/>
  <c r="Y773" i="28" s="1"/>
  <c r="AC773" i="28" s="1"/>
  <c r="W775" i="28"/>
  <c r="X775" i="28" s="1"/>
  <c r="Y775" i="28" s="1"/>
  <c r="AC775" i="28" s="1"/>
  <c r="W885" i="28"/>
  <c r="X885" i="28" s="1"/>
  <c r="Y885" i="28" s="1"/>
  <c r="AC885" i="28" s="1"/>
  <c r="W869" i="28"/>
  <c r="X869" i="28" s="1"/>
  <c r="Y869" i="28" s="1"/>
  <c r="AC869" i="28" s="1"/>
  <c r="W923" i="28"/>
  <c r="X923" i="28" s="1"/>
  <c r="Y923" i="28" s="1"/>
  <c r="AC923" i="28" s="1"/>
  <c r="W856" i="28"/>
  <c r="X856" i="28" s="1"/>
  <c r="Y856" i="28" s="1"/>
  <c r="AC856" i="28" s="1"/>
  <c r="W817" i="28"/>
  <c r="X817" i="28" s="1"/>
  <c r="Y817" i="28" s="1"/>
  <c r="AC817" i="28" s="1"/>
  <c r="W831" i="28"/>
  <c r="X831" i="28" s="1"/>
  <c r="Y831" i="28" s="1"/>
  <c r="AC831" i="28" s="1"/>
  <c r="W852" i="28"/>
  <c r="X852" i="28" s="1"/>
  <c r="Y852" i="28" s="1"/>
  <c r="AC852" i="28" s="1"/>
  <c r="W888" i="28"/>
  <c r="X888" i="28" s="1"/>
  <c r="Y888" i="28" s="1"/>
  <c r="AC888" i="28" s="1"/>
  <c r="X738" i="28"/>
  <c r="Y738" i="28" s="1"/>
  <c r="AC738" i="28" s="1"/>
  <c r="X754" i="28"/>
  <c r="Y754" i="28" s="1"/>
  <c r="AC754" i="28" s="1"/>
  <c r="X761" i="28"/>
  <c r="Y761" i="28" s="1"/>
  <c r="AC761" i="28" s="1"/>
  <c r="X782" i="28"/>
  <c r="Y782" i="28" s="1"/>
  <c r="AC782" i="28" s="1"/>
  <c r="X848" i="28"/>
  <c r="Y848" i="28" s="1"/>
  <c r="AC848" i="28" s="1"/>
  <c r="W778" i="28"/>
  <c r="X778" i="28" s="1"/>
  <c r="Y778" i="28" s="1"/>
  <c r="AC778" i="28" s="1"/>
  <c r="X818" i="28"/>
  <c r="Y818" i="28" s="1"/>
  <c r="AC818" i="28" s="1"/>
  <c r="X833" i="28"/>
  <c r="Y833" i="28" s="1"/>
  <c r="AC833" i="28" s="1"/>
  <c r="W894" i="28"/>
  <c r="X894" i="28" s="1"/>
  <c r="Y894" i="28" s="1"/>
  <c r="AC894" i="28" s="1"/>
  <c r="W935" i="28"/>
  <c r="X935" i="28" s="1"/>
  <c r="Y935" i="28" s="1"/>
  <c r="AC935" i="28" s="1"/>
  <c r="W713" i="28"/>
  <c r="X713" i="28" s="1"/>
  <c r="Y713" i="28" s="1"/>
  <c r="AC713" i="28" s="1"/>
  <c r="W781" i="28"/>
  <c r="X781" i="28" s="1"/>
  <c r="Y781" i="28" s="1"/>
  <c r="AC781" i="28" s="1"/>
  <c r="W847" i="28"/>
  <c r="X847" i="28" s="1"/>
  <c r="Y847" i="28" s="1"/>
  <c r="AC847" i="28" s="1"/>
  <c r="X689" i="28"/>
  <c r="Y689" i="28" s="1"/>
  <c r="AC689" i="28" s="1"/>
  <c r="X760" i="28"/>
  <c r="Y760" i="28" s="1"/>
  <c r="AC760" i="28" s="1"/>
  <c r="X784" i="28"/>
  <c r="Y784" i="28" s="1"/>
  <c r="AC784" i="28" s="1"/>
  <c r="X791" i="28"/>
  <c r="Y791" i="28" s="1"/>
  <c r="AC791" i="28" s="1"/>
  <c r="W862" i="28"/>
  <c r="X862" i="28" s="1"/>
  <c r="Y862" i="28" s="1"/>
  <c r="AC862" i="28" s="1"/>
  <c r="X911" i="28"/>
  <c r="Y911" i="28" s="1"/>
  <c r="AC911" i="28" s="1"/>
  <c r="X924" i="28"/>
  <c r="Y924" i="28" s="1"/>
  <c r="AC924" i="28" s="1"/>
  <c r="W906" i="28"/>
  <c r="X906" i="28" s="1"/>
  <c r="Y906" i="28" s="1"/>
  <c r="AC906" i="28" s="1"/>
  <c r="X794" i="28"/>
  <c r="Y794" i="28" s="1"/>
  <c r="AC794" i="28" s="1"/>
  <c r="X900" i="28"/>
  <c r="Y900" i="28" s="1"/>
  <c r="AC900" i="28" s="1"/>
  <c r="X936" i="28"/>
  <c r="Y936" i="28" s="1"/>
  <c r="AC936" i="28" s="1"/>
  <c r="W953" i="28"/>
  <c r="X953" i="28" s="1"/>
  <c r="Y953" i="28" s="1"/>
  <c r="AC953" i="28" s="1"/>
  <c r="X876" i="28"/>
  <c r="Y876" i="28" s="1"/>
  <c r="AC876" i="28" s="1"/>
  <c r="W719" i="28"/>
  <c r="X719" i="28" s="1"/>
  <c r="Y719" i="28" s="1"/>
  <c r="AC719" i="28" s="1"/>
  <c r="X723" i="28"/>
  <c r="Y723" i="28" s="1"/>
  <c r="AC723" i="28" s="1"/>
  <c r="W803" i="28"/>
  <c r="X803" i="28" s="1"/>
  <c r="Y803" i="28" s="1"/>
  <c r="AC803" i="28" s="1"/>
  <c r="X825" i="28"/>
  <c r="Y825" i="28" s="1"/>
  <c r="AC825" i="28" s="1"/>
  <c r="X851" i="28"/>
  <c r="Y851" i="28" s="1"/>
  <c r="AC851" i="28" s="1"/>
  <c r="W863" i="28"/>
  <c r="X863" i="28" s="1"/>
  <c r="Y863" i="28" s="1"/>
  <c r="AC863" i="28" s="1"/>
  <c r="W882" i="28"/>
  <c r="X882" i="28" s="1"/>
  <c r="Y882" i="28" s="1"/>
  <c r="AC882" i="28" s="1"/>
  <c r="X828" i="28"/>
  <c r="Y828" i="28" s="1"/>
  <c r="AC828" i="28" s="1"/>
  <c r="X845" i="28"/>
  <c r="Y845" i="28" s="1"/>
  <c r="AC845" i="28" s="1"/>
  <c r="X873" i="28"/>
  <c r="Y873" i="28" s="1"/>
  <c r="AC873" i="28" s="1"/>
  <c r="X769" i="28"/>
  <c r="Y769" i="28" s="1"/>
  <c r="AC769" i="28" s="1"/>
  <c r="X779" i="28"/>
  <c r="Y779" i="28" s="1"/>
  <c r="AC779" i="28" s="1"/>
  <c r="W844" i="28"/>
  <c r="X844" i="28" s="1"/>
  <c r="Y844" i="28" s="1"/>
  <c r="AC844" i="28" s="1"/>
  <c r="X850" i="28"/>
  <c r="Y850" i="28" s="1"/>
  <c r="AC850" i="28" s="1"/>
  <c r="X861" i="28"/>
  <c r="Y861" i="28" s="1"/>
  <c r="AC861" i="28" s="1"/>
  <c r="X866" i="28"/>
  <c r="Y866" i="28" s="1"/>
  <c r="AC866" i="28" s="1"/>
  <c r="X909" i="28"/>
  <c r="Y909" i="28" s="1"/>
  <c r="AC909" i="28" s="1"/>
  <c r="X920" i="28"/>
  <c r="Y920" i="28" s="1"/>
  <c r="AC920" i="28" s="1"/>
  <c r="X932" i="28"/>
  <c r="Y932" i="28" s="1"/>
  <c r="AC932" i="28" s="1"/>
  <c r="X955" i="28"/>
  <c r="Y955" i="28" s="1"/>
  <c r="AC955" i="28" s="1"/>
  <c r="W965" i="28"/>
  <c r="X965" i="28" s="1"/>
  <c r="Y965" i="28" s="1"/>
  <c r="AC965" i="28" s="1"/>
  <c r="X968" i="28"/>
  <c r="Y968" i="28" s="1"/>
  <c r="AC968" i="28" s="1"/>
  <c r="X971" i="28"/>
  <c r="Y971" i="28" s="1"/>
  <c r="AC971" i="28" s="1"/>
  <c r="X990" i="28"/>
  <c r="Y990" i="28" s="1"/>
  <c r="AC990" i="28" s="1"/>
  <c r="W1022" i="28"/>
  <c r="X1022" i="28" s="1"/>
  <c r="Y1022" i="28" s="1"/>
  <c r="AC1022" i="28" s="1"/>
  <c r="W1026" i="28"/>
  <c r="X1026" i="28" s="1"/>
  <c r="Y1026" i="28" s="1"/>
  <c r="AC1026" i="28" s="1"/>
  <c r="W1004" i="28"/>
  <c r="X1004" i="28" s="1"/>
  <c r="Y1004" i="28" s="1"/>
  <c r="AC1004" i="28" s="1"/>
  <c r="W917" i="28"/>
  <c r="X917" i="28" s="1"/>
  <c r="Y917" i="28" s="1"/>
  <c r="AC917" i="28" s="1"/>
  <c r="W929" i="28"/>
  <c r="X929" i="28" s="1"/>
  <c r="Y929" i="28" s="1"/>
  <c r="AC929" i="28" s="1"/>
  <c r="W940" i="28"/>
  <c r="X940" i="28" s="1"/>
  <c r="Y940" i="28" s="1"/>
  <c r="AC940" i="28" s="1"/>
  <c r="W946" i="28"/>
  <c r="X946" i="28" s="1"/>
  <c r="Y946" i="28" s="1"/>
  <c r="AC946" i="28" s="1"/>
  <c r="W976" i="28"/>
  <c r="X976" i="28" s="1"/>
  <c r="Y976" i="28" s="1"/>
  <c r="AC976" i="28" s="1"/>
  <c r="W992" i="28"/>
  <c r="X992" i="28" s="1"/>
  <c r="Y992" i="28" s="1"/>
  <c r="AC992" i="28" s="1"/>
  <c r="W995" i="28"/>
  <c r="X995" i="28" s="1"/>
  <c r="Y995" i="28" s="1"/>
  <c r="AC995" i="28" s="1"/>
  <c r="W1024" i="28"/>
  <c r="X1024" i="28" s="1"/>
  <c r="Y1024" i="28" s="1"/>
  <c r="AC1024" i="28" s="1"/>
  <c r="X805" i="28"/>
  <c r="Y805" i="28" s="1"/>
  <c r="AC805" i="28" s="1"/>
  <c r="X816" i="28"/>
  <c r="Y816" i="28" s="1"/>
  <c r="AC816" i="28" s="1"/>
  <c r="W849" i="28"/>
  <c r="X849" i="28" s="1"/>
  <c r="Y849" i="28" s="1"/>
  <c r="AC849" i="28" s="1"/>
  <c r="W854" i="28"/>
  <c r="X854" i="28" s="1"/>
  <c r="Y854" i="28" s="1"/>
  <c r="AC854" i="28" s="1"/>
  <c r="X860" i="28"/>
  <c r="Y860" i="28" s="1"/>
  <c r="AC860" i="28" s="1"/>
  <c r="W865" i="28"/>
  <c r="X865" i="28" s="1"/>
  <c r="Y865" i="28" s="1"/>
  <c r="AC865" i="28" s="1"/>
  <c r="W871" i="28"/>
  <c r="X871" i="28" s="1"/>
  <c r="Y871" i="28" s="1"/>
  <c r="W881" i="28"/>
  <c r="X881" i="28" s="1"/>
  <c r="Y881" i="28" s="1"/>
  <c r="AC881" i="28" s="1"/>
  <c r="W893" i="28"/>
  <c r="X893" i="28" s="1"/>
  <c r="Y893" i="28" s="1"/>
  <c r="AC893" i="28" s="1"/>
  <c r="W950" i="28"/>
  <c r="X950" i="28" s="1"/>
  <c r="Y950" i="28" s="1"/>
  <c r="AC950" i="28" s="1"/>
  <c r="X961" i="28"/>
  <c r="Y961" i="28" s="1"/>
  <c r="AC961" i="28" s="1"/>
  <c r="W981" i="28"/>
  <c r="X981" i="28" s="1"/>
  <c r="Y981" i="28" s="1"/>
  <c r="AC981" i="28" s="1"/>
  <c r="W984" i="28"/>
  <c r="X984" i="28" s="1"/>
  <c r="Y984" i="28" s="1"/>
  <c r="AC984" i="28" s="1"/>
  <c r="W1001" i="28"/>
  <c r="X1001" i="28" s="1"/>
  <c r="Y1001" i="28" s="1"/>
  <c r="AC1001" i="28" s="1"/>
  <c r="W1006" i="28"/>
  <c r="X1006" i="28" s="1"/>
  <c r="Y1006" i="28" s="1"/>
  <c r="AC1006" i="28" s="1"/>
  <c r="W1038" i="28"/>
  <c r="X1038" i="28" s="1"/>
  <c r="Y1038" i="28" s="1"/>
  <c r="AC1038" i="28" s="1"/>
  <c r="X853" i="28"/>
  <c r="Y853" i="28" s="1"/>
  <c r="AC853" i="28" s="1"/>
  <c r="X970" i="28"/>
  <c r="Y970" i="28" s="1"/>
  <c r="AC970" i="28" s="1"/>
  <c r="W978" i="28"/>
  <c r="X978" i="28" s="1"/>
  <c r="Y978" i="28" s="1"/>
  <c r="AC978" i="28" s="1"/>
  <c r="W1021" i="28"/>
  <c r="X1021" i="28" s="1"/>
  <c r="Y1021" i="28" s="1"/>
  <c r="AC1021" i="28" s="1"/>
  <c r="W1027" i="28"/>
  <c r="X1027" i="28" s="1"/>
  <c r="Y1027" i="28" s="1"/>
  <c r="AC1027" i="28" s="1"/>
  <c r="W1058" i="28"/>
  <c r="X1058" i="28" s="1"/>
  <c r="Y1058" i="28" s="1"/>
  <c r="AC1058" i="28" s="1"/>
  <c r="W859" i="28"/>
  <c r="X859" i="28" s="1"/>
  <c r="Y859" i="28" s="1"/>
  <c r="AC859" i="28" s="1"/>
  <c r="X864" i="28"/>
  <c r="Y864" i="28" s="1"/>
  <c r="AC864" i="28" s="1"/>
  <c r="W1003" i="28"/>
  <c r="X1003" i="28" s="1"/>
  <c r="Y1003" i="28" s="1"/>
  <c r="AC1003" i="28" s="1"/>
  <c r="W1018" i="28"/>
  <c r="X1018" i="28" s="1"/>
  <c r="Y1018" i="28" s="1"/>
  <c r="AC1018" i="28" s="1"/>
  <c r="W1086" i="28"/>
  <c r="X1086" i="28" s="1"/>
  <c r="Y1086" i="28" s="1"/>
  <c r="AC1086" i="28" s="1"/>
  <c r="W975" i="28"/>
  <c r="X975" i="28" s="1"/>
  <c r="Y975" i="28" s="1"/>
  <c r="AC975" i="28" s="1"/>
  <c r="W994" i="28"/>
  <c r="X994" i="28" s="1"/>
  <c r="Y994" i="28" s="1"/>
  <c r="AC994" i="28" s="1"/>
  <c r="W972" i="28"/>
  <c r="X972" i="28" s="1"/>
  <c r="Y972" i="28" s="1"/>
  <c r="AC972" i="28" s="1"/>
  <c r="W991" i="28"/>
  <c r="X991" i="28" s="1"/>
  <c r="Y991" i="28" s="1"/>
  <c r="AC991" i="28" s="1"/>
  <c r="X1023" i="28"/>
  <c r="Y1023" i="28" s="1"/>
  <c r="AC1023" i="28" s="1"/>
  <c r="W1025" i="28"/>
  <c r="X1025" i="28" s="1"/>
  <c r="Y1025" i="28" s="1"/>
  <c r="AC1025" i="28" s="1"/>
  <c r="W943" i="28"/>
  <c r="X943" i="28" s="1"/>
  <c r="Y943" i="28" s="1"/>
  <c r="AC943" i="28" s="1"/>
  <c r="W956" i="28"/>
  <c r="X956" i="28" s="1"/>
  <c r="Y956" i="28" s="1"/>
  <c r="AC956" i="28" s="1"/>
  <c r="W980" i="28"/>
  <c r="X980" i="28" s="1"/>
  <c r="Y980" i="28" s="1"/>
  <c r="AC980" i="28" s="1"/>
  <c r="W1013" i="28"/>
  <c r="X1013" i="28" s="1"/>
  <c r="Y1013" i="28" s="1"/>
  <c r="AC1013" i="28" s="1"/>
  <c r="W1055" i="28"/>
  <c r="X1055" i="28" s="1"/>
  <c r="Y1055" i="28" s="1"/>
  <c r="AC1055" i="28" s="1"/>
  <c r="X813" i="28"/>
  <c r="Y813" i="28" s="1"/>
  <c r="AC813" i="28" s="1"/>
  <c r="W922" i="28"/>
  <c r="X922" i="28" s="1"/>
  <c r="Y922" i="28" s="1"/>
  <c r="AC922" i="28" s="1"/>
  <c r="W934" i="28"/>
  <c r="X934" i="28" s="1"/>
  <c r="Y934" i="28" s="1"/>
  <c r="AC934" i="28" s="1"/>
  <c r="X977" i="28"/>
  <c r="Y977" i="28" s="1"/>
  <c r="AC977" i="28" s="1"/>
  <c r="W988" i="28"/>
  <c r="X988" i="28" s="1"/>
  <c r="Y988" i="28" s="1"/>
  <c r="AC988" i="28" s="1"/>
  <c r="W1037" i="28"/>
  <c r="X1037" i="28" s="1"/>
  <c r="Y1037" i="28" s="1"/>
  <c r="AC1037" i="28" s="1"/>
  <c r="X962" i="28"/>
  <c r="Y962" i="28" s="1"/>
  <c r="AC962" i="28" s="1"/>
  <c r="W974" i="28"/>
  <c r="X974" i="28" s="1"/>
  <c r="Y974" i="28" s="1"/>
  <c r="AC974" i="28" s="1"/>
  <c r="W982" i="28"/>
  <c r="X982" i="28" s="1"/>
  <c r="Y982" i="28" s="1"/>
  <c r="AC982" i="28" s="1"/>
  <c r="W999" i="28"/>
  <c r="X999" i="28" s="1"/>
  <c r="Y999" i="28" s="1"/>
  <c r="AC999" i="28" s="1"/>
  <c r="X846" i="28"/>
  <c r="Y846" i="28" s="1"/>
  <c r="AC846" i="28" s="1"/>
  <c r="X858" i="28"/>
  <c r="Y858" i="28" s="1"/>
  <c r="AC858" i="28" s="1"/>
  <c r="X870" i="28"/>
  <c r="Y870" i="28" s="1"/>
  <c r="AC870" i="28" s="1"/>
  <c r="W998" i="28"/>
  <c r="X998" i="28" s="1"/>
  <c r="Y998" i="28" s="1"/>
  <c r="AC998" i="28" s="1"/>
  <c r="X1030" i="28"/>
  <c r="Y1030" i="28" s="1"/>
  <c r="AC1030" i="28" s="1"/>
  <c r="X1063" i="28"/>
  <c r="Y1063" i="28" s="1"/>
  <c r="AC1063" i="28" s="1"/>
  <c r="W1067" i="28"/>
  <c r="X1067" i="28" s="1"/>
  <c r="Y1067" i="28" s="1"/>
  <c r="AC1067" i="28" s="1"/>
  <c r="X1072" i="28"/>
  <c r="Y1072" i="28" s="1"/>
  <c r="AC1072" i="28" s="1"/>
  <c r="W1075" i="28"/>
  <c r="X1075" i="28" s="1"/>
  <c r="Y1075" i="28" s="1"/>
  <c r="AC1075" i="28" s="1"/>
  <c r="W1183" i="28"/>
  <c r="X1183" i="28" s="1"/>
  <c r="Y1183" i="28" s="1"/>
  <c r="AC1183" i="28" s="1"/>
  <c r="W1089" i="28"/>
  <c r="X1089" i="28" s="1"/>
  <c r="Y1089" i="28" s="1"/>
  <c r="AC1089" i="28" s="1"/>
  <c r="X1129" i="28"/>
  <c r="Y1129" i="28" s="1"/>
  <c r="AC1129" i="28" s="1"/>
  <c r="W1171" i="28"/>
  <c r="X1171" i="28" s="1"/>
  <c r="Y1171" i="28" s="1"/>
  <c r="AC1171" i="28" s="1"/>
  <c r="X843" i="28"/>
  <c r="Y843" i="28" s="1"/>
  <c r="AC843" i="28" s="1"/>
  <c r="X855" i="28"/>
  <c r="Y855" i="28" s="1"/>
  <c r="AC855" i="28" s="1"/>
  <c r="X867" i="28"/>
  <c r="Y867" i="28" s="1"/>
  <c r="AC867" i="28" s="1"/>
  <c r="X973" i="28"/>
  <c r="Y973" i="28" s="1"/>
  <c r="AC973" i="28" s="1"/>
  <c r="X979" i="28"/>
  <c r="Y979" i="28" s="1"/>
  <c r="AC979" i="28" s="1"/>
  <c r="W996" i="28"/>
  <c r="X996" i="28" s="1"/>
  <c r="Y996" i="28" s="1"/>
  <c r="AC996" i="28" s="1"/>
  <c r="W1002" i="28"/>
  <c r="X1002" i="28" s="1"/>
  <c r="Y1002" i="28" s="1"/>
  <c r="AC1002" i="28" s="1"/>
  <c r="W1007" i="28"/>
  <c r="X1007" i="28" s="1"/>
  <c r="Y1007" i="28" s="1"/>
  <c r="AC1007" i="28" s="1"/>
  <c r="X1012" i="28"/>
  <c r="Y1012" i="28" s="1"/>
  <c r="AC1012" i="28" s="1"/>
  <c r="X1016" i="28"/>
  <c r="Y1016" i="28" s="1"/>
  <c r="AC1016" i="28" s="1"/>
  <c r="W1033" i="28"/>
  <c r="X1033" i="28" s="1"/>
  <c r="Y1033" i="28" s="1"/>
  <c r="AC1033" i="28" s="1"/>
  <c r="X1054" i="28"/>
  <c r="Y1054" i="28" s="1"/>
  <c r="AC1054" i="28" s="1"/>
  <c r="X1077" i="28"/>
  <c r="Y1077" i="28" s="1"/>
  <c r="AC1077" i="28" s="1"/>
  <c r="X1098" i="28"/>
  <c r="Y1098" i="28" s="1"/>
  <c r="AC1098" i="28" s="1"/>
  <c r="W1103" i="28"/>
  <c r="X1103" i="28" s="1"/>
  <c r="Y1103" i="28" s="1"/>
  <c r="AC1103" i="28" s="1"/>
  <c r="X1121" i="28"/>
  <c r="Y1121" i="28" s="1"/>
  <c r="AC1121" i="28" s="1"/>
  <c r="W1150" i="28"/>
  <c r="X1150" i="28" s="1"/>
  <c r="Y1150" i="28" s="1"/>
  <c r="AC1150" i="28" s="1"/>
  <c r="W1161" i="28"/>
  <c r="X1161" i="28" s="1"/>
  <c r="Y1161" i="28" s="1"/>
  <c r="AC1161" i="28" s="1"/>
  <c r="W1029" i="28"/>
  <c r="X1029" i="28" s="1"/>
  <c r="Y1029" i="28" s="1"/>
  <c r="AC1029" i="28" s="1"/>
  <c r="W1118" i="28"/>
  <c r="X1118" i="28" s="1"/>
  <c r="Y1118" i="28" s="1"/>
  <c r="AC1118" i="28" s="1"/>
  <c r="W1125" i="28"/>
  <c r="X1125" i="28" s="1"/>
  <c r="Y1125" i="28" s="1"/>
  <c r="AC1125" i="28" s="1"/>
  <c r="W1065" i="28"/>
  <c r="X1065" i="28" s="1"/>
  <c r="Y1065" i="28" s="1"/>
  <c r="AC1065" i="28" s="1"/>
  <c r="X989" i="28"/>
  <c r="Y989" i="28" s="1"/>
  <c r="AC989" i="28" s="1"/>
  <c r="X1000" i="28"/>
  <c r="Y1000" i="28" s="1"/>
  <c r="AC1000" i="28" s="1"/>
  <c r="X1011" i="28"/>
  <c r="Y1011" i="28" s="1"/>
  <c r="AC1011" i="28" s="1"/>
  <c r="X1015" i="28"/>
  <c r="Y1015" i="28" s="1"/>
  <c r="AC1015" i="28" s="1"/>
  <c r="W1059" i="28"/>
  <c r="X1059" i="28" s="1"/>
  <c r="Y1059" i="28" s="1"/>
  <c r="AC1059" i="28" s="1"/>
  <c r="W1062" i="28"/>
  <c r="X1062" i="28" s="1"/>
  <c r="Y1062" i="28" s="1"/>
  <c r="AC1062" i="28" s="1"/>
  <c r="X1068" i="28"/>
  <c r="Y1068" i="28" s="1"/>
  <c r="AC1068" i="28" s="1"/>
  <c r="X1147" i="28"/>
  <c r="Y1147" i="28" s="1"/>
  <c r="AC1147" i="28" s="1"/>
  <c r="X1120" i="28"/>
  <c r="Y1120" i="28" s="1"/>
  <c r="AC1120" i="28" s="1"/>
  <c r="W1010" i="28"/>
  <c r="X1010" i="28" s="1"/>
  <c r="Y1010" i="28" s="1"/>
  <c r="AC1010" i="28" s="1"/>
  <c r="X1014" i="28"/>
  <c r="Y1014" i="28" s="1"/>
  <c r="AC1014" i="28" s="1"/>
  <c r="W1084" i="28"/>
  <c r="X1084" i="28" s="1"/>
  <c r="Y1084" i="28" s="1"/>
  <c r="AC1084" i="28" s="1"/>
  <c r="W1087" i="28"/>
  <c r="X1087" i="28" s="1"/>
  <c r="Y1087" i="28" s="1"/>
  <c r="AC1087" i="28" s="1"/>
  <c r="X1090" i="28"/>
  <c r="Y1090" i="28" s="1"/>
  <c r="AC1090" i="28" s="1"/>
  <c r="X1093" i="28"/>
  <c r="Y1093" i="28" s="1"/>
  <c r="AC1093" i="28" s="1"/>
  <c r="W1096" i="28"/>
  <c r="X1096" i="28" s="1"/>
  <c r="Y1096" i="28" s="1"/>
  <c r="AC1096" i="28" s="1"/>
  <c r="W1099" i="28"/>
  <c r="X1099" i="28" s="1"/>
  <c r="Y1099" i="28" s="1"/>
  <c r="AC1099" i="28" s="1"/>
  <c r="X1104" i="28"/>
  <c r="Y1104" i="28" s="1"/>
  <c r="AC1104" i="28" s="1"/>
  <c r="X1153" i="28"/>
  <c r="Y1153" i="28" s="1"/>
  <c r="AC1153" i="28" s="1"/>
  <c r="X1142" i="28"/>
  <c r="Y1142" i="28" s="1"/>
  <c r="AC1142" i="28" s="1"/>
  <c r="X1008" i="28"/>
  <c r="Y1008" i="28" s="1"/>
  <c r="AC1008" i="28" s="1"/>
  <c r="X1066" i="28"/>
  <c r="Y1066" i="28" s="1"/>
  <c r="AC1066" i="28" s="1"/>
  <c r="X1092" i="28"/>
  <c r="Y1092" i="28" s="1"/>
  <c r="AC1092" i="28" s="1"/>
  <c r="X1113" i="28"/>
  <c r="Y1113" i="28" s="1"/>
  <c r="AC1113" i="28" s="1"/>
  <c r="W1199" i="28"/>
  <c r="X1199" i="28" s="1"/>
  <c r="Y1199" i="28" s="1"/>
  <c r="AC1199" i="28" s="1"/>
  <c r="W1189" i="28"/>
  <c r="X1189" i="28" s="1"/>
  <c r="Y1189" i="28" s="1"/>
  <c r="AC1189" i="28" s="1"/>
  <c r="X993" i="28"/>
  <c r="Y993" i="28" s="1"/>
  <c r="AC993" i="28" s="1"/>
  <c r="X1005" i="28"/>
  <c r="Y1005" i="28" s="1"/>
  <c r="AC1005" i="28" s="1"/>
  <c r="X1017" i="28"/>
  <c r="Y1017" i="28" s="1"/>
  <c r="AC1017" i="28" s="1"/>
  <c r="X1056" i="28"/>
  <c r="Y1056" i="28" s="1"/>
  <c r="AC1056" i="28" s="1"/>
  <c r="X1078" i="28"/>
  <c r="Y1078" i="28" s="1"/>
  <c r="AC1078" i="28" s="1"/>
  <c r="X1191" i="28"/>
  <c r="Y1191" i="28" s="1"/>
  <c r="AC1191" i="28" s="1"/>
  <c r="W1196" i="28"/>
  <c r="X1196" i="28" s="1"/>
  <c r="Y1196" i="28" s="1"/>
  <c r="AC1196" i="28" s="1"/>
  <c r="W1205" i="28"/>
  <c r="X1205" i="28" s="1"/>
  <c r="Y1205" i="28" s="1"/>
  <c r="AC1205" i="28" s="1"/>
  <c r="W1230" i="28"/>
  <c r="X1230" i="28" s="1"/>
  <c r="Y1230" i="28" s="1"/>
  <c r="AC1230" i="28" s="1"/>
  <c r="X1135" i="28"/>
  <c r="Y1135" i="28" s="1"/>
  <c r="AC1135" i="28" s="1"/>
  <c r="X1152" i="28"/>
  <c r="Y1152" i="28" s="1"/>
  <c r="AC1152" i="28" s="1"/>
  <c r="W1186" i="28"/>
  <c r="X1186" i="28" s="1"/>
  <c r="Y1186" i="28" s="1"/>
  <c r="AC1186" i="28" s="1"/>
  <c r="W1198" i="28"/>
  <c r="X1198" i="28" s="1"/>
  <c r="Y1198" i="28" s="1"/>
  <c r="AC1198" i="28" s="1"/>
  <c r="X1080" i="28"/>
  <c r="Y1080" i="28" s="1"/>
  <c r="AC1080" i="28" s="1"/>
  <c r="X1110" i="28"/>
  <c r="Y1110" i="28" s="1"/>
  <c r="AC1110" i="28" s="1"/>
  <c r="W1166" i="28"/>
  <c r="X1166" i="28" s="1"/>
  <c r="Y1166" i="28" s="1"/>
  <c r="AC1166" i="28" s="1"/>
  <c r="X997" i="28"/>
  <c r="Y997" i="28" s="1"/>
  <c r="AC997" i="28" s="1"/>
  <c r="X1009" i="28"/>
  <c r="Y1009" i="28" s="1"/>
  <c r="AC1009" i="28" s="1"/>
  <c r="X1101" i="28"/>
  <c r="Y1101" i="28" s="1"/>
  <c r="AC1101" i="28" s="1"/>
  <c r="X1137" i="28"/>
  <c r="Y1137" i="28" s="1"/>
  <c r="AC1137" i="28" s="1"/>
  <c r="W1151" i="28"/>
  <c r="X1151" i="28" s="1"/>
  <c r="Y1151" i="28" s="1"/>
  <c r="AC1151" i="28" s="1"/>
  <c r="W1160" i="28"/>
  <c r="X1160" i="28" s="1"/>
  <c r="Y1160" i="28" s="1"/>
  <c r="AC1160" i="28" s="1"/>
  <c r="X1168" i="28"/>
  <c r="Y1168" i="28" s="1"/>
  <c r="AC1168" i="28" s="1"/>
  <c r="W1206" i="28"/>
  <c r="X1206" i="28" s="1"/>
  <c r="Y1206" i="28" s="1"/>
  <c r="AC1206" i="28" s="1"/>
  <c r="X1133" i="28"/>
  <c r="Y1133" i="28" s="1"/>
  <c r="AC1133" i="28" s="1"/>
  <c r="X1145" i="28"/>
  <c r="Y1145" i="28" s="1"/>
  <c r="AC1145" i="28" s="1"/>
  <c r="X1162" i="28"/>
  <c r="Y1162" i="28" s="1"/>
  <c r="AC1162" i="28" s="1"/>
  <c r="X1184" i="28"/>
  <c r="Y1184" i="28" s="1"/>
  <c r="AC1184" i="28" s="1"/>
  <c r="W1229" i="28"/>
  <c r="X1229" i="28" s="1"/>
  <c r="Y1229" i="28" s="1"/>
  <c r="AC1229" i="28" s="1"/>
  <c r="X1117" i="28"/>
  <c r="Y1117" i="28" s="1"/>
  <c r="AC1117" i="28" s="1"/>
  <c r="W1144" i="28"/>
  <c r="X1144" i="28" s="1"/>
  <c r="Y1144" i="28" s="1"/>
  <c r="AC1144" i="28" s="1"/>
  <c r="X1207" i="28"/>
  <c r="Y1207" i="28" s="1"/>
  <c r="AC1207" i="28" s="1"/>
  <c r="W1212" i="28"/>
  <c r="X1212" i="28" s="1"/>
  <c r="Y1212" i="28" s="1"/>
  <c r="AC1212" i="28" s="1"/>
  <c r="W1237" i="28"/>
  <c r="X1237" i="28" s="1"/>
  <c r="Y1237" i="28" s="1"/>
  <c r="AC1237" i="28" s="1"/>
  <c r="W1177" i="28"/>
  <c r="X1177" i="28" s="1"/>
  <c r="Y1177" i="28" s="1"/>
  <c r="AC1177" i="28" s="1"/>
  <c r="X1216" i="28"/>
  <c r="Y1216" i="28" s="1"/>
  <c r="AC1216" i="28" s="1"/>
  <c r="W1242" i="28"/>
  <c r="X1242" i="28" s="1"/>
  <c r="Y1242" i="28" s="1"/>
  <c r="AC1242" i="28" s="1"/>
  <c r="W1292" i="28"/>
  <c r="X1292" i="28" s="1"/>
  <c r="Y1292" i="28" s="1"/>
  <c r="AC1292" i="28" s="1"/>
  <c r="W1251" i="28"/>
  <c r="X1251" i="28" s="1"/>
  <c r="Y1251" i="28" s="1"/>
  <c r="AC1251" i="28" s="1"/>
  <c r="X1156" i="28"/>
  <c r="Y1156" i="28" s="1"/>
  <c r="AC1156" i="28" s="1"/>
  <c r="W1182" i="28"/>
  <c r="X1182" i="28" s="1"/>
  <c r="Y1182" i="28" s="1"/>
  <c r="AC1182" i="28" s="1"/>
  <c r="X1187" i="28"/>
  <c r="Y1187" i="28" s="1"/>
  <c r="AC1187" i="28" s="1"/>
  <c r="X1190" i="28"/>
  <c r="Y1190" i="28" s="1"/>
  <c r="AC1190" i="28" s="1"/>
  <c r="X1227" i="28"/>
  <c r="Y1227" i="28" s="1"/>
  <c r="AC1227" i="28" s="1"/>
  <c r="W1258" i="28"/>
  <c r="X1258" i="28" s="1"/>
  <c r="Y1258" i="28" s="1"/>
  <c r="AC1258" i="28" s="1"/>
  <c r="W1267" i="28"/>
  <c r="X1267" i="28" s="1"/>
  <c r="Y1267" i="28" s="1"/>
  <c r="AC1267" i="28" s="1"/>
  <c r="X1173" i="28"/>
  <c r="Y1173" i="28" s="1"/>
  <c r="AC1173" i="28" s="1"/>
  <c r="W1236" i="28"/>
  <c r="X1236" i="28" s="1"/>
  <c r="Y1236" i="28" s="1"/>
  <c r="AC1236" i="28" s="1"/>
  <c r="W1238" i="28"/>
  <c r="X1238" i="28" s="1"/>
  <c r="Y1238" i="28" s="1"/>
  <c r="AC1238" i="28" s="1"/>
  <c r="W1262" i="28"/>
  <c r="X1262" i="28" s="1"/>
  <c r="Y1262" i="28" s="1"/>
  <c r="AC1262" i="28" s="1"/>
  <c r="W1254" i="28"/>
  <c r="X1254" i="28" s="1"/>
  <c r="Y1254" i="28" s="1"/>
  <c r="AC1254" i="28" s="1"/>
  <c r="X1165" i="28"/>
  <c r="Y1165" i="28" s="1"/>
  <c r="AC1165" i="28" s="1"/>
  <c r="X1203" i="28"/>
  <c r="Y1203" i="28" s="1"/>
  <c r="AC1203" i="28" s="1"/>
  <c r="X1215" i="28"/>
  <c r="Y1215" i="28" s="1"/>
  <c r="AC1215" i="28" s="1"/>
  <c r="W1220" i="28"/>
  <c r="X1220" i="28" s="1"/>
  <c r="Y1220" i="28" s="1"/>
  <c r="AC1220" i="28" s="1"/>
  <c r="X1240" i="28"/>
  <c r="Y1240" i="28" s="1"/>
  <c r="AC1240" i="28" s="1"/>
  <c r="X1277" i="28"/>
  <c r="Y1277" i="28" s="1"/>
  <c r="AC1277" i="28" s="1"/>
  <c r="W1280" i="28"/>
  <c r="X1280" i="28" s="1"/>
  <c r="Y1280" i="28" s="1"/>
  <c r="AC1280" i="28" s="1"/>
  <c r="W1296" i="28"/>
  <c r="X1296" i="28" s="1"/>
  <c r="Y1296" i="28" s="1"/>
  <c r="AC1296" i="28" s="1"/>
  <c r="W1247" i="28"/>
  <c r="X1247" i="28" s="1"/>
  <c r="Y1247" i="28" s="1"/>
  <c r="AC1247" i="28" s="1"/>
  <c r="X1274" i="28"/>
  <c r="Y1274" i="28" s="1"/>
  <c r="AC1274" i="28" s="1"/>
  <c r="X1284" i="28"/>
  <c r="Y1284" i="28" s="1"/>
  <c r="AC1284" i="28" s="1"/>
  <c r="W1303" i="28"/>
  <c r="X1303" i="28" s="1"/>
  <c r="Y1303" i="28" s="1"/>
  <c r="AC1303" i="28" s="1"/>
  <c r="W1307" i="28"/>
  <c r="X1307" i="28" s="1"/>
  <c r="Y1307" i="28" s="1"/>
  <c r="AC1307" i="28" s="1"/>
  <c r="W1314" i="28"/>
  <c r="X1314" i="28" s="1"/>
  <c r="Y1314" i="28" s="1"/>
  <c r="AC1314" i="28" s="1"/>
  <c r="W1318" i="28"/>
  <c r="X1318" i="28" s="1"/>
  <c r="Y1318" i="28" s="1"/>
  <c r="AC1318" i="28" s="1"/>
  <c r="X1253" i="28"/>
  <c r="Y1253" i="28" s="1"/>
  <c r="AC1253" i="28" s="1"/>
  <c r="W1260" i="28"/>
  <c r="X1260" i="28" s="1"/>
  <c r="Y1260" i="28" s="1"/>
  <c r="AC1260" i="28" s="1"/>
  <c r="W1328" i="28"/>
  <c r="X1328" i="28" s="1"/>
  <c r="Y1328" i="28" s="1"/>
  <c r="AC1328" i="28" s="1"/>
  <c r="W1245" i="28"/>
  <c r="X1245" i="28" s="1"/>
  <c r="Y1245" i="28" s="1"/>
  <c r="AC1245" i="28" s="1"/>
  <c r="W1256" i="28"/>
  <c r="X1256" i="28" s="1"/>
  <c r="Y1256" i="28" s="1"/>
  <c r="AC1256" i="28" s="1"/>
  <c r="W1295" i="28"/>
  <c r="X1295" i="28" s="1"/>
  <c r="Y1295" i="28" s="1"/>
  <c r="AC1295" i="28" s="1"/>
  <c r="X1222" i="28"/>
  <c r="Y1222" i="28" s="1"/>
  <c r="AC1222" i="28" s="1"/>
  <c r="X1226" i="28"/>
  <c r="Y1226" i="28" s="1"/>
  <c r="AC1226" i="28" s="1"/>
  <c r="X1233" i="28"/>
  <c r="Y1233" i="28" s="1"/>
  <c r="AC1233" i="28" s="1"/>
  <c r="X1241" i="28"/>
  <c r="Y1241" i="28" s="1"/>
  <c r="AC1241" i="28" s="1"/>
  <c r="X1259" i="28"/>
  <c r="Y1259" i="28" s="1"/>
  <c r="AC1259" i="28" s="1"/>
  <c r="X1270" i="28"/>
  <c r="Y1270" i="28" s="1"/>
  <c r="AC1270" i="28" s="1"/>
  <c r="W1302" i="28"/>
  <c r="X1302" i="28" s="1"/>
  <c r="Y1302" i="28" s="1"/>
  <c r="AC1302" i="28" s="1"/>
  <c r="W1319" i="28"/>
  <c r="X1319" i="28" s="1"/>
  <c r="Y1319" i="28" s="1"/>
  <c r="AC1319" i="28" s="1"/>
  <c r="X1248" i="28"/>
  <c r="Y1248" i="28" s="1"/>
  <c r="AC1248" i="28" s="1"/>
  <c r="X1272" i="28"/>
  <c r="Y1272" i="28" s="1"/>
  <c r="AC1272" i="28" s="1"/>
  <c r="W1313" i="28"/>
  <c r="X1313" i="28" s="1"/>
  <c r="Y1313" i="28" s="1"/>
  <c r="AC1313" i="28" s="1"/>
  <c r="W1321" i="28"/>
  <c r="X1321" i="28" s="1"/>
  <c r="Y1321" i="28" s="1"/>
  <c r="AC1321" i="28" s="1"/>
  <c r="X1343" i="28"/>
  <c r="Y1343" i="28" s="1"/>
  <c r="AC1343" i="28" s="1"/>
  <c r="X1268" i="28"/>
  <c r="Y1268" i="28" s="1"/>
  <c r="AC1268" i="28" s="1"/>
  <c r="X1289" i="28"/>
  <c r="Y1289" i="28" s="1"/>
  <c r="AC1289" i="28" s="1"/>
  <c r="X1322" i="28"/>
  <c r="Y1322" i="28" s="1"/>
  <c r="AC1322" i="28" s="1"/>
  <c r="W1375" i="28"/>
  <c r="X1375" i="28" s="1"/>
  <c r="Y1375" i="28" s="1"/>
  <c r="AC1375" i="28" s="1"/>
  <c r="W1385" i="28"/>
  <c r="X1385" i="28" s="1"/>
  <c r="Y1385" i="28" s="1"/>
  <c r="AC1385" i="28" s="1"/>
  <c r="X1211" i="28"/>
  <c r="Y1211" i="28" s="1"/>
  <c r="AC1211" i="28" s="1"/>
  <c r="X1223" i="28"/>
  <c r="Y1223" i="28" s="1"/>
  <c r="AC1223" i="28" s="1"/>
  <c r="X1271" i="28"/>
  <c r="Y1271" i="28" s="1"/>
  <c r="AC1271" i="28" s="1"/>
  <c r="X1275" i="28"/>
  <c r="Y1275" i="28" s="1"/>
  <c r="AC1275" i="28" s="1"/>
  <c r="X1311" i="28"/>
  <c r="Y1311" i="28" s="1"/>
  <c r="AC1311" i="28" s="1"/>
  <c r="W1347" i="28"/>
  <c r="X1347" i="28" s="1"/>
  <c r="Y1347" i="28" s="1"/>
  <c r="AC1347" i="28" s="1"/>
  <c r="W1403" i="28"/>
  <c r="X1403" i="28" s="1"/>
  <c r="Y1403" i="28" s="1"/>
  <c r="AC1403" i="28" s="1"/>
  <c r="W1355" i="28"/>
  <c r="X1355" i="28" s="1"/>
  <c r="Y1355" i="28" s="1"/>
  <c r="AC1355" i="28" s="1"/>
  <c r="W1333" i="28"/>
  <c r="X1333" i="28" s="1"/>
  <c r="Y1333" i="28" s="1"/>
  <c r="AC1333" i="28" s="1"/>
  <c r="W1411" i="28"/>
  <c r="X1411" i="28" s="1"/>
  <c r="Y1411" i="28" s="1"/>
  <c r="AC1411" i="28" s="1"/>
  <c r="W1368" i="28"/>
  <c r="X1368" i="28" s="1"/>
  <c r="Y1368" i="28" s="1"/>
  <c r="AC1368" i="28" s="1"/>
  <c r="W1424" i="28"/>
  <c r="X1424" i="28" s="1"/>
  <c r="Y1424" i="28" s="1"/>
  <c r="AC1424" i="28" s="1"/>
  <c r="X1283" i="28"/>
  <c r="Y1283" i="28" s="1"/>
  <c r="AC1283" i="28" s="1"/>
  <c r="W1304" i="28"/>
  <c r="X1304" i="28" s="1"/>
  <c r="Y1304" i="28" s="1"/>
  <c r="AC1304" i="28" s="1"/>
  <c r="X1352" i="28"/>
  <c r="Y1352" i="28" s="1"/>
  <c r="AC1352" i="28" s="1"/>
  <c r="X1362" i="28"/>
  <c r="Y1362" i="28" s="1"/>
  <c r="AC1362" i="28" s="1"/>
  <c r="X1326" i="28"/>
  <c r="Y1326" i="28" s="1"/>
  <c r="AC1326" i="28" s="1"/>
  <c r="X1361" i="28"/>
  <c r="Y1361" i="28" s="1"/>
  <c r="AC1361" i="28" s="1"/>
  <c r="W1431" i="28"/>
  <c r="X1431" i="28" s="1"/>
  <c r="Y1431" i="28" s="1"/>
  <c r="AC1431" i="28" s="1"/>
  <c r="W1447" i="28"/>
  <c r="X1447" i="28" s="1"/>
  <c r="Y1447" i="28" s="1"/>
  <c r="AC1447" i="28" s="1"/>
  <c r="W1386" i="28"/>
  <c r="X1386" i="28" s="1"/>
  <c r="Y1386" i="28" s="1"/>
  <c r="AC1386" i="28" s="1"/>
  <c r="W1479" i="28"/>
  <c r="X1479" i="28" s="1"/>
  <c r="Y1479" i="28" s="1"/>
  <c r="AC1479" i="28" s="1"/>
  <c r="W1335" i="28"/>
  <c r="X1335" i="28" s="1"/>
  <c r="Y1335" i="28" s="1"/>
  <c r="AC1335" i="28" s="1"/>
  <c r="W1340" i="28"/>
  <c r="X1340" i="28" s="1"/>
  <c r="Y1340" i="28" s="1"/>
  <c r="AC1340" i="28" s="1"/>
  <c r="X1349" i="28"/>
  <c r="Y1349" i="28" s="1"/>
  <c r="AC1349" i="28" s="1"/>
  <c r="W1353" i="28"/>
  <c r="X1353" i="28" s="1"/>
  <c r="Y1353" i="28" s="1"/>
  <c r="AC1353" i="28" s="1"/>
  <c r="W1356" i="28"/>
  <c r="X1356" i="28" s="1"/>
  <c r="Y1356" i="28" s="1"/>
  <c r="AC1356" i="28" s="1"/>
  <c r="W1363" i="28"/>
  <c r="X1363" i="28" s="1"/>
  <c r="Y1363" i="28" s="1"/>
  <c r="AC1363" i="28" s="1"/>
  <c r="W1369" i="28"/>
  <c r="X1369" i="28" s="1"/>
  <c r="Y1369" i="28" s="1"/>
  <c r="AC1369" i="28" s="1"/>
  <c r="X1380" i="28"/>
  <c r="Y1380" i="28" s="1"/>
  <c r="AC1380" i="28" s="1"/>
  <c r="X1391" i="28"/>
  <c r="Y1391" i="28" s="1"/>
  <c r="AC1391" i="28" s="1"/>
  <c r="X1334" i="28"/>
  <c r="Y1334" i="28" s="1"/>
  <c r="AC1334" i="28" s="1"/>
  <c r="W1398" i="28"/>
  <c r="X1398" i="28" s="1"/>
  <c r="Y1398" i="28" s="1"/>
  <c r="AC1398" i="28" s="1"/>
  <c r="X1374" i="28"/>
  <c r="Y1374" i="28" s="1"/>
  <c r="AC1374" i="28" s="1"/>
  <c r="X1377" i="28"/>
  <c r="Y1377" i="28" s="1"/>
  <c r="AC1377" i="28" s="1"/>
  <c r="W1414" i="28"/>
  <c r="X1414" i="28" s="1"/>
  <c r="Y1414" i="28" s="1"/>
  <c r="AC1414" i="28" s="1"/>
  <c r="W1418" i="28"/>
  <c r="X1418" i="28" s="1"/>
  <c r="Y1418" i="28" s="1"/>
  <c r="AC1418" i="28" s="1"/>
  <c r="X1310" i="28"/>
  <c r="Y1310" i="28" s="1"/>
  <c r="AC1310" i="28" s="1"/>
  <c r="X1395" i="28"/>
  <c r="Y1395" i="28" s="1"/>
  <c r="AC1395" i="28" s="1"/>
  <c r="W1428" i="28"/>
  <c r="X1428" i="28" s="1"/>
  <c r="Y1428" i="28" s="1"/>
  <c r="AC1428" i="28" s="1"/>
  <c r="W1430" i="28"/>
  <c r="X1430" i="28" s="1"/>
  <c r="Y1430" i="28" s="1"/>
  <c r="AC1430" i="28" s="1"/>
  <c r="W1346" i="28"/>
  <c r="X1346" i="28" s="1"/>
  <c r="Y1346" i="28" s="1"/>
  <c r="AC1346" i="28" s="1"/>
  <c r="X1351" i="28"/>
  <c r="Y1351" i="28" s="1"/>
  <c r="AC1351" i="28" s="1"/>
  <c r="X1397" i="28"/>
  <c r="Y1397" i="28" s="1"/>
  <c r="AC1397" i="28" s="1"/>
  <c r="W1487" i="28"/>
  <c r="X1487" i="28" s="1"/>
  <c r="Y1487" i="28" s="1"/>
  <c r="AC1487" i="28" s="1"/>
  <c r="W1454" i="28"/>
  <c r="X1454" i="28" s="1"/>
  <c r="Y1454" i="28" s="1"/>
  <c r="AC1454" i="28" s="1"/>
  <c r="W1485" i="28"/>
  <c r="X1485" i="28" s="1"/>
  <c r="Y1485" i="28" s="1"/>
  <c r="AC1485" i="28" s="1"/>
  <c r="W1449" i="28"/>
  <c r="X1449" i="28" s="1"/>
  <c r="Y1449" i="28" s="1"/>
  <c r="AC1449" i="28" s="1"/>
  <c r="X1384" i="28"/>
  <c r="Y1384" i="28" s="1"/>
  <c r="AC1384" i="28" s="1"/>
  <c r="X1402" i="28"/>
  <c r="Y1402" i="28" s="1"/>
  <c r="AC1402" i="28" s="1"/>
  <c r="W1420" i="28"/>
  <c r="X1420" i="28" s="1"/>
  <c r="Y1420" i="28" s="1"/>
  <c r="AC1420" i="28" s="1"/>
  <c r="W1426" i="28"/>
  <c r="X1426" i="28" s="1"/>
  <c r="Y1426" i="28" s="1"/>
  <c r="AC1426" i="28" s="1"/>
  <c r="X1461" i="28"/>
  <c r="Y1461" i="28" s="1"/>
  <c r="AC1461" i="28" s="1"/>
  <c r="W1470" i="28"/>
  <c r="X1470" i="28" s="1"/>
  <c r="Y1470" i="28" s="1"/>
  <c r="AC1470" i="28" s="1"/>
  <c r="W1505" i="28"/>
  <c r="X1505" i="28" s="1"/>
  <c r="Y1505" i="28" s="1"/>
  <c r="AC1505" i="28" s="1"/>
  <c r="W1446" i="28"/>
  <c r="X1446" i="28" s="1"/>
  <c r="Y1446" i="28" s="1"/>
  <c r="AC1446" i="28" s="1"/>
  <c r="X1372" i="28"/>
  <c r="Y1372" i="28" s="1"/>
  <c r="AC1372" i="28" s="1"/>
  <c r="X1392" i="28"/>
  <c r="Y1392" i="28" s="1"/>
  <c r="AC1392" i="28" s="1"/>
  <c r="X1401" i="28"/>
  <c r="Y1401" i="28" s="1"/>
  <c r="AC1401" i="28" s="1"/>
  <c r="W1413" i="28"/>
  <c r="X1413" i="28" s="1"/>
  <c r="Y1413" i="28" s="1"/>
  <c r="AC1413" i="28" s="1"/>
  <c r="W1438" i="28"/>
  <c r="X1438" i="28" s="1"/>
  <c r="Y1438" i="28" s="1"/>
  <c r="AC1438" i="28" s="1"/>
  <c r="W1492" i="28"/>
  <c r="X1492" i="28" s="1"/>
  <c r="Y1492" i="28" s="1"/>
  <c r="AC1492" i="28" s="1"/>
  <c r="X1360" i="28"/>
  <c r="Y1360" i="28" s="1"/>
  <c r="AC1360" i="28" s="1"/>
  <c r="X1396" i="28"/>
  <c r="Y1396" i="28" s="1"/>
  <c r="AC1396" i="28" s="1"/>
  <c r="X1415" i="28"/>
  <c r="Y1415" i="28" s="1"/>
  <c r="AC1415" i="28" s="1"/>
  <c r="W1499" i="28"/>
  <c r="X1499" i="28" s="1"/>
  <c r="Y1499" i="28" s="1"/>
  <c r="AC1499" i="28" s="1"/>
  <c r="W1423" i="28"/>
  <c r="X1423" i="28" s="1"/>
  <c r="Y1423" i="28" s="1"/>
  <c r="AC1423" i="28" s="1"/>
  <c r="X1517" i="28"/>
  <c r="Y1517" i="28" s="1"/>
  <c r="AC1517" i="28" s="1"/>
  <c r="W1538" i="28"/>
  <c r="X1538" i="28" s="1"/>
  <c r="Y1538" i="28" s="1"/>
  <c r="AC1538" i="28" s="1"/>
  <c r="W1477" i="28"/>
  <c r="X1477" i="28" s="1"/>
  <c r="Y1477" i="28" s="1"/>
  <c r="AC1477" i="28" s="1"/>
  <c r="W1526" i="28"/>
  <c r="X1526" i="28" s="1"/>
  <c r="Y1526" i="28" s="1"/>
  <c r="AC1526" i="28" s="1"/>
  <c r="W1567" i="28"/>
  <c r="X1567" i="28" s="1"/>
  <c r="Y1567" i="28" s="1"/>
  <c r="AC1567" i="28" s="1"/>
  <c r="X1412" i="28"/>
  <c r="Y1412" i="28" s="1"/>
  <c r="AC1412" i="28" s="1"/>
  <c r="X1436" i="28"/>
  <c r="Y1436" i="28" s="1"/>
  <c r="AC1436" i="28" s="1"/>
  <c r="X1459" i="28"/>
  <c r="Y1459" i="28" s="1"/>
  <c r="AC1459" i="28" s="1"/>
  <c r="W1571" i="28"/>
  <c r="X1571" i="28" s="1"/>
  <c r="Y1571" i="28" s="1"/>
  <c r="AC1571" i="28" s="1"/>
  <c r="W1486" i="28"/>
  <c r="X1486" i="28" s="1"/>
  <c r="Y1486" i="28" s="1"/>
  <c r="AC1486" i="28" s="1"/>
  <c r="X1493" i="28"/>
  <c r="Y1493" i="28" s="1"/>
  <c r="AC1493" i="28" s="1"/>
  <c r="W1500" i="28"/>
  <c r="X1500" i="28" s="1"/>
  <c r="Y1500" i="28" s="1"/>
  <c r="AC1500" i="28" s="1"/>
  <c r="W1561" i="28"/>
  <c r="X1561" i="28" s="1"/>
  <c r="Y1561" i="28" s="1"/>
  <c r="AC1561" i="28" s="1"/>
  <c r="W1516" i="28"/>
  <c r="X1516" i="28" s="1"/>
  <c r="Y1516" i="28" s="1"/>
  <c r="AC1516" i="28" s="1"/>
  <c r="W1523" i="28"/>
  <c r="X1523" i="28" s="1"/>
  <c r="Y1523" i="28" s="1"/>
  <c r="AC1523" i="28" s="1"/>
  <c r="W1435" i="28"/>
  <c r="X1435" i="28" s="1"/>
  <c r="Y1435" i="28" s="1"/>
  <c r="AC1435" i="28" s="1"/>
  <c r="W1458" i="28"/>
  <c r="X1458" i="28" s="1"/>
  <c r="Y1458" i="28" s="1"/>
  <c r="AC1458" i="28" s="1"/>
  <c r="W1490" i="28"/>
  <c r="X1490" i="28" s="1"/>
  <c r="Y1490" i="28" s="1"/>
  <c r="AC1490" i="28" s="1"/>
  <c r="W1527" i="28"/>
  <c r="X1527" i="28" s="1"/>
  <c r="Y1527" i="28" s="1"/>
  <c r="AC1527" i="28" s="1"/>
  <c r="X1530" i="28"/>
  <c r="Y1530" i="28" s="1"/>
  <c r="AC1530" i="28" s="1"/>
  <c r="W1469" i="28"/>
  <c r="X1469" i="28" s="1"/>
  <c r="Y1469" i="28" s="1"/>
  <c r="AC1469" i="28" s="1"/>
  <c r="X1564" i="28"/>
  <c r="Y1564" i="28" s="1"/>
  <c r="AC1564" i="28" s="1"/>
  <c r="W1535" i="28"/>
  <c r="X1535" i="28" s="1"/>
  <c r="Y1535" i="28" s="1"/>
  <c r="AC1535" i="28" s="1"/>
  <c r="X1549" i="28"/>
  <c r="Y1549" i="28" s="1"/>
  <c r="AC1549" i="28" s="1"/>
  <c r="X1555" i="28"/>
  <c r="Y1555" i="28" s="1"/>
  <c r="AC1555" i="28" s="1"/>
  <c r="X1577" i="28"/>
  <c r="Y1577" i="28" s="1"/>
  <c r="AC1577" i="28" s="1"/>
  <c r="X1511" i="28"/>
  <c r="Y1511" i="28" s="1"/>
  <c r="AC1511" i="28" s="1"/>
  <c r="X1598" i="28"/>
  <c r="Y1598" i="28" s="1"/>
  <c r="AC1598" i="28" s="1"/>
  <c r="W1434" i="28"/>
  <c r="X1434" i="28" s="1"/>
  <c r="Y1434" i="28" s="1"/>
  <c r="AC1434" i="28" s="1"/>
  <c r="W1445" i="28"/>
  <c r="X1445" i="28" s="1"/>
  <c r="Y1445" i="28" s="1"/>
  <c r="AC1445" i="28" s="1"/>
  <c r="W1457" i="28"/>
  <c r="X1457" i="28" s="1"/>
  <c r="Y1457" i="28" s="1"/>
  <c r="AC1457" i="28" s="1"/>
  <c r="W1476" i="28"/>
  <c r="X1476" i="28" s="1"/>
  <c r="Y1476" i="28" s="1"/>
  <c r="AC1476" i="28" s="1"/>
  <c r="W1504" i="28"/>
  <c r="X1504" i="28" s="1"/>
  <c r="Y1504" i="28" s="1"/>
  <c r="AC1504" i="28" s="1"/>
  <c r="W1510" i="28"/>
  <c r="X1510" i="28" s="1"/>
  <c r="Y1510" i="28" s="1"/>
  <c r="AC1510" i="28" s="1"/>
  <c r="W1529" i="28"/>
  <c r="X1529" i="28" s="1"/>
  <c r="Y1529" i="28" s="1"/>
  <c r="AC1529" i="28" s="1"/>
  <c r="X1537" i="28"/>
  <c r="Y1537" i="28" s="1"/>
  <c r="AC1537" i="28" s="1"/>
  <c r="W1583" i="28"/>
  <c r="X1583" i="28" s="1"/>
  <c r="Y1583" i="28" s="1"/>
  <c r="AC1583" i="28" s="1"/>
  <c r="W1498" i="28"/>
  <c r="X1498" i="28" s="1"/>
  <c r="Y1498" i="28" s="1"/>
  <c r="AC1498" i="28" s="1"/>
  <c r="W1547" i="28"/>
  <c r="X1547" i="28" s="1"/>
  <c r="Y1547" i="28" s="1"/>
  <c r="AC1547" i="28" s="1"/>
  <c r="X1550" i="28"/>
  <c r="Y1550" i="28" s="1"/>
  <c r="AC1550" i="28" s="1"/>
  <c r="W1474" i="28"/>
  <c r="X1474" i="28" s="1"/>
  <c r="Y1474" i="28" s="1"/>
  <c r="AC1474" i="28" s="1"/>
  <c r="W1481" i="28"/>
  <c r="X1481" i="28" s="1"/>
  <c r="Y1481" i="28" s="1"/>
  <c r="AC1481" i="28" s="1"/>
  <c r="W1489" i="28"/>
  <c r="X1489" i="28" s="1"/>
  <c r="Y1489" i="28" s="1"/>
  <c r="AC1489" i="28" s="1"/>
  <c r="W1514" i="28"/>
  <c r="X1514" i="28" s="1"/>
  <c r="Y1514" i="28" s="1"/>
  <c r="AC1514" i="28" s="1"/>
  <c r="W1519" i="28"/>
  <c r="X1519" i="28" s="1"/>
  <c r="Y1519" i="28" s="1"/>
  <c r="AC1519" i="28" s="1"/>
  <c r="W1528" i="28"/>
  <c r="X1528" i="28" s="1"/>
  <c r="Y1528" i="28" s="1"/>
  <c r="AC1528" i="28" s="1"/>
  <c r="W1559" i="28"/>
  <c r="X1559" i="28" s="1"/>
  <c r="Y1559" i="28" s="1"/>
  <c r="AC1559" i="28" s="1"/>
  <c r="X1562" i="28"/>
  <c r="Y1562" i="28" s="1"/>
  <c r="AC1562" i="28" s="1"/>
  <c r="W1565" i="28"/>
  <c r="X1565" i="28" s="1"/>
  <c r="Y1565" i="28" s="1"/>
  <c r="AC1565" i="28" s="1"/>
  <c r="W1591" i="28"/>
  <c r="X1591" i="28" s="1"/>
  <c r="Y1591" i="28" s="1"/>
  <c r="AC1591" i="28" s="1"/>
  <c r="W1597" i="28"/>
  <c r="X1597" i="28" s="1"/>
  <c r="Y1597" i="28" s="1"/>
  <c r="AC1597" i="28" s="1"/>
  <c r="W1603" i="28"/>
  <c r="X1603" i="28" s="1"/>
  <c r="Y1603" i="28" s="1"/>
  <c r="AC1603" i="28" s="1"/>
  <c r="X1522" i="28"/>
  <c r="Y1522" i="28" s="1"/>
  <c r="AC1522" i="28" s="1"/>
  <c r="X1534" i="28"/>
  <c r="Y1534" i="28" s="1"/>
  <c r="AC1534" i="28" s="1"/>
  <c r="X1546" i="28"/>
  <c r="Y1546" i="28" s="1"/>
  <c r="AC1546" i="28" s="1"/>
  <c r="X1558" i="28"/>
  <c r="Y1558" i="28" s="1"/>
  <c r="AC1558" i="28" s="1"/>
  <c r="X1582" i="28"/>
  <c r="Y1582" i="28" s="1"/>
  <c r="AC1582" i="28" s="1"/>
  <c r="X1594" i="28"/>
  <c r="Y1594" i="28" s="1"/>
  <c r="AC1594" i="28" s="1"/>
  <c r="X1606" i="28"/>
  <c r="Y1606" i="28" s="1"/>
  <c r="AC1606" i="28" s="1"/>
  <c r="W1602" i="28"/>
  <c r="X1602" i="28" s="1"/>
  <c r="Y1602" i="28" s="1"/>
  <c r="AC1602" i="28" s="1"/>
  <c r="W1601" i="28"/>
  <c r="X1601" i="28" s="1"/>
  <c r="Y1601" i="28" s="1"/>
  <c r="AC1601" i="28" s="1"/>
  <c r="W1610" i="28"/>
  <c r="X1610" i="28" s="1"/>
  <c r="Y1610" i="28" s="1"/>
  <c r="AC1610" i="28" s="1"/>
  <c r="W1608" i="28"/>
  <c r="X1608" i="28" s="1"/>
  <c r="Y1608" i="28" s="1"/>
  <c r="AC1608" i="28" s="1"/>
  <c r="W1595" i="28"/>
  <c r="X1595" i="28" s="1"/>
  <c r="Y1595" i="28" s="1"/>
  <c r="AC1595" i="28" s="1"/>
  <c r="AD1907" i="28" l="1"/>
  <c r="AE1907" i="28" s="1"/>
  <c r="AD1906" i="28"/>
  <c r="AE1906" i="28" s="1"/>
  <c r="AD1913" i="28"/>
  <c r="AE1913" i="28" s="1"/>
  <c r="AD1944" i="28"/>
  <c r="AE1944" i="28" s="1"/>
  <c r="AD1966" i="28"/>
  <c r="AE1966" i="28" s="1"/>
  <c r="AD1948" i="28"/>
  <c r="AE1948" i="28" s="1"/>
  <c r="AD1987" i="28"/>
  <c r="AE1987" i="28" s="1"/>
  <c r="AD1956" i="28"/>
  <c r="AE1956" i="28" s="1"/>
  <c r="AD1992" i="28"/>
  <c r="AE1992" i="28" s="1"/>
  <c r="AD1981" i="28"/>
  <c r="AE1981" i="28" s="1"/>
  <c r="AD1953" i="28"/>
  <c r="AE1953" i="28" s="1"/>
  <c r="AD1950" i="28"/>
  <c r="AE1950" i="28" s="1"/>
  <c r="AD1977" i="28"/>
  <c r="AE1977" i="28" s="1"/>
  <c r="AD1939" i="28"/>
  <c r="AE1939" i="28" s="1"/>
  <c r="AD1962" i="28"/>
  <c r="AE1962" i="28" s="1"/>
  <c r="AD1947" i="28"/>
  <c r="AE1947" i="28" s="1"/>
  <c r="AD1920" i="28"/>
  <c r="AE1920" i="28" s="1"/>
  <c r="AD1958" i="28"/>
  <c r="AE1958" i="28" s="1"/>
  <c r="AD1928" i="28"/>
  <c r="AE1928" i="28" s="1"/>
  <c r="AD1972" i="28"/>
  <c r="AE1972" i="28" s="1"/>
  <c r="AD1979" i="28"/>
  <c r="AE1979" i="28" s="1"/>
  <c r="AD1935" i="28"/>
  <c r="AE1935" i="28" s="1"/>
  <c r="AD1973" i="28"/>
  <c r="AE1973" i="28" s="1"/>
  <c r="AD1990" i="28"/>
  <c r="AE1990" i="28" s="1"/>
  <c r="AD1983" i="28"/>
  <c r="AE1983" i="28" s="1"/>
  <c r="AD1911" i="28"/>
  <c r="AE1911" i="28" s="1"/>
  <c r="AD1986" i="28"/>
  <c r="AE1986" i="28" s="1"/>
  <c r="AD1909" i="28"/>
  <c r="AE1909" i="28" s="1"/>
  <c r="AD1963" i="28"/>
  <c r="AE1963" i="28" s="1"/>
  <c r="AD1945" i="28"/>
  <c r="AE1945" i="28" s="1"/>
  <c r="AD1997" i="28"/>
  <c r="AE1997" i="28" s="1"/>
  <c r="AD1915" i="28"/>
  <c r="AE1915" i="28" s="1"/>
  <c r="AD1925" i="28"/>
  <c r="AE1925" i="28" s="1"/>
  <c r="AD1951" i="28"/>
  <c r="AE1951" i="28" s="1"/>
  <c r="AD1991" i="28"/>
  <c r="AE1991" i="28" s="1"/>
  <c r="AD1999" i="28"/>
  <c r="AE1999" i="28" s="1"/>
  <c r="AD1978" i="28"/>
  <c r="AE1978" i="28" s="1"/>
  <c r="AD1938" i="28"/>
  <c r="AE1938" i="28" s="1"/>
  <c r="AD1910" i="28"/>
  <c r="AE1910" i="28" s="1"/>
  <c r="AD1946" i="28"/>
  <c r="AE1946" i="28" s="1"/>
  <c r="AD1924" i="28"/>
  <c r="AE1924" i="28" s="1"/>
  <c r="AD1933" i="28"/>
  <c r="AE1933" i="28" s="1"/>
  <c r="AD1980" i="28"/>
  <c r="AE1980" i="28" s="1"/>
  <c r="AD1971" i="28"/>
  <c r="AE1971" i="28" s="1"/>
  <c r="AD1961" i="28"/>
  <c r="AE1961" i="28" s="1"/>
  <c r="AD1943" i="28"/>
  <c r="AE1943" i="28" s="1"/>
  <c r="AD1923" i="28"/>
  <c r="AE1923" i="28" s="1"/>
  <c r="AD1930" i="28"/>
  <c r="AE1930" i="28" s="1"/>
  <c r="AD1982" i="28"/>
  <c r="AE1982" i="28" s="1"/>
  <c r="AD1985" i="28"/>
  <c r="AE1985" i="28" s="1"/>
  <c r="AD1914" i="28"/>
  <c r="AE1914" i="28" s="1"/>
  <c r="AD1949" i="28"/>
  <c r="AE1949" i="28" s="1"/>
  <c r="AD1965" i="28"/>
  <c r="AE1965" i="28" s="1"/>
  <c r="AD1955" i="28"/>
  <c r="AE1955" i="28" s="1"/>
  <c r="AD1937" i="28"/>
  <c r="AE1937" i="28" s="1"/>
  <c r="AD1989" i="28"/>
  <c r="AE1989" i="28" s="1"/>
  <c r="AD1959" i="28"/>
  <c r="AE1959" i="28" s="1"/>
  <c r="AD1993" i="28"/>
  <c r="AE1993" i="28" s="1"/>
  <c r="AD1974" i="28"/>
  <c r="AE1974" i="28" s="1"/>
  <c r="AD1994" i="28"/>
  <c r="AE1994" i="28" s="1"/>
  <c r="AD1975" i="28"/>
  <c r="AE1975" i="28" s="1"/>
  <c r="AD1942" i="28"/>
  <c r="AE1942" i="28" s="1"/>
  <c r="AD1934" i="28"/>
  <c r="AE1934" i="28" s="1"/>
  <c r="AD1968" i="28"/>
  <c r="AE1968" i="28" s="1"/>
  <c r="AD1998" i="28"/>
  <c r="AE1998" i="28" s="1"/>
  <c r="AD1912" i="28"/>
  <c r="AE1912" i="28" s="1"/>
  <c r="AD1926" i="28"/>
  <c r="AE1926" i="28" s="1"/>
  <c r="AD1908" i="28"/>
  <c r="AE1908" i="28" s="1"/>
  <c r="AD1988" i="28"/>
  <c r="AE1988" i="28" s="1"/>
  <c r="AD1976" i="28"/>
  <c r="AE1976" i="28" s="1"/>
  <c r="AD1964" i="28"/>
  <c r="AE1964" i="28" s="1"/>
  <c r="AD1921" i="28"/>
  <c r="AE1921" i="28" s="1"/>
  <c r="AD1916" i="28"/>
  <c r="AE1916" i="28" s="1"/>
  <c r="AD1936" i="28"/>
  <c r="AE1936" i="28" s="1"/>
  <c r="AD1996" i="28"/>
  <c r="AE1996" i="28" s="1"/>
  <c r="AD1927" i="28"/>
  <c r="AE1927" i="28" s="1"/>
  <c r="AD1954" i="28"/>
  <c r="AE1954" i="28" s="1"/>
  <c r="AD1952" i="28"/>
  <c r="AE1952" i="28" s="1"/>
  <c r="AD1967" i="28"/>
  <c r="AE1967" i="28" s="1"/>
  <c r="AD1970" i="28"/>
  <c r="AE1970" i="28" s="1"/>
  <c r="AD1960" i="28"/>
  <c r="AE1960" i="28" s="1"/>
  <c r="AD1995" i="28"/>
  <c r="AE1995" i="28" s="1"/>
  <c r="AD1941" i="28"/>
  <c r="AE1941" i="28" s="1"/>
  <c r="AD1922" i="28"/>
  <c r="AE1922" i="28" s="1"/>
  <c r="AD2000" i="28"/>
  <c r="AE2000" i="28" s="1"/>
  <c r="AD1969" i="28"/>
  <c r="AE1969" i="28" s="1"/>
  <c r="AD1932" i="28"/>
  <c r="AE1932" i="28" s="1"/>
  <c r="AD1929" i="28"/>
  <c r="AE1929" i="28" s="1"/>
  <c r="AD1919" i="28"/>
  <c r="AE1919" i="28" s="1"/>
  <c r="AD1984" i="28"/>
  <c r="AE1984" i="28" s="1"/>
  <c r="AD1940" i="28"/>
  <c r="AE1940" i="28" s="1"/>
  <c r="AD1957" i="28"/>
  <c r="AE1957" i="28" s="1"/>
  <c r="AD1917" i="28"/>
  <c r="AE1917" i="28" s="1"/>
  <c r="AD1918" i="28"/>
  <c r="AE1918" i="28" s="1"/>
  <c r="AD1931" i="28"/>
  <c r="AE1931" i="28" s="1"/>
  <c r="AD1884" i="28"/>
  <c r="AE1884" i="28" s="1"/>
  <c r="AD1845" i="28"/>
  <c r="AE1845" i="28" s="1"/>
  <c r="AD1849" i="28"/>
  <c r="AE1849" i="28" s="1"/>
  <c r="AD1893" i="28"/>
  <c r="AE1893" i="28" s="1"/>
  <c r="AD1787" i="28"/>
  <c r="AE1787" i="28" s="1"/>
  <c r="AD1873" i="28"/>
  <c r="AE1873" i="28" s="1"/>
  <c r="AD1879" i="28"/>
  <c r="AE1879" i="28" s="1"/>
  <c r="AD1875" i="28"/>
  <c r="AE1875" i="28" s="1"/>
  <c r="AD1858" i="28"/>
  <c r="AE1858" i="28" s="1"/>
  <c r="AD1840" i="28"/>
  <c r="AE1840" i="28" s="1"/>
  <c r="AD1865" i="28"/>
  <c r="AE1865" i="28" s="1"/>
  <c r="AD1883" i="28"/>
  <c r="AE1883" i="28" s="1"/>
  <c r="AD1844" i="28"/>
  <c r="AE1844" i="28" s="1"/>
  <c r="AD1863" i="28"/>
  <c r="AE1863" i="28" s="1"/>
  <c r="AD1814" i="28"/>
  <c r="AE1814" i="28" s="1"/>
  <c r="AD1872" i="28"/>
  <c r="AE1872" i="28" s="1"/>
  <c r="AD1857" i="28"/>
  <c r="AE1857" i="28" s="1"/>
  <c r="AD1887" i="28"/>
  <c r="AE1887" i="28" s="1"/>
  <c r="AD1797" i="28"/>
  <c r="AE1797" i="28" s="1"/>
  <c r="AD1801" i="28"/>
  <c r="AE1801" i="28" s="1"/>
  <c r="AD1895" i="28"/>
  <c r="AE1895" i="28" s="1"/>
  <c r="AD1892" i="28"/>
  <c r="AE1892" i="28" s="1"/>
  <c r="AD1899" i="28"/>
  <c r="AE1899" i="28" s="1"/>
  <c r="AD1784" i="28"/>
  <c r="AE1784" i="28" s="1"/>
  <c r="AD1891" i="28"/>
  <c r="AE1891" i="28" s="1"/>
  <c r="AD1837" i="28"/>
  <c r="AE1837" i="28" s="1"/>
  <c r="AD1788" i="28"/>
  <c r="AE1788" i="28" s="1"/>
  <c r="AD1812" i="28"/>
  <c r="AE1812" i="28" s="1"/>
  <c r="AD1795" i="28"/>
  <c r="AE1795" i="28" s="1"/>
  <c r="AD1846" i="28"/>
  <c r="AE1846" i="28" s="1"/>
  <c r="AD1838" i="28"/>
  <c r="AE1838" i="28" s="1"/>
  <c r="AD1790" i="28"/>
  <c r="AE1790" i="28" s="1"/>
  <c r="AD1905" i="28"/>
  <c r="AE1905" i="28" s="1"/>
  <c r="AD1852" i="28"/>
  <c r="AE1852" i="28" s="1"/>
  <c r="AD1824" i="28"/>
  <c r="AE1824" i="28" s="1"/>
  <c r="AD1904" i="28"/>
  <c r="AE1904" i="28" s="1"/>
  <c r="AD1806" i="28"/>
  <c r="AE1806" i="28" s="1"/>
  <c r="AD1785" i="28"/>
  <c r="AE1785" i="28" s="1"/>
  <c r="AD1888" i="28"/>
  <c r="AE1888" i="28" s="1"/>
  <c r="AD1794" i="28"/>
  <c r="AE1794" i="28" s="1"/>
  <c r="AD1793" i="28"/>
  <c r="AE1793" i="28" s="1"/>
  <c r="AD1825" i="28"/>
  <c r="AE1825" i="28" s="1"/>
  <c r="AD1882" i="28"/>
  <c r="AD1820" i="28"/>
  <c r="AE1820" i="28" s="1"/>
  <c r="AD1802" i="28"/>
  <c r="AE1802" i="28" s="1"/>
  <c r="AD1881" i="28"/>
  <c r="AE1881" i="28" s="1"/>
  <c r="AD1819" i="28"/>
  <c r="AE1819" i="28" s="1"/>
  <c r="AD1867" i="28"/>
  <c r="AE1867" i="28" s="1"/>
  <c r="AD1871" i="28"/>
  <c r="AE1871" i="28" s="1"/>
  <c r="AD1880" i="28"/>
  <c r="AE1880" i="28" s="1"/>
  <c r="AD1870" i="28"/>
  <c r="AE1870" i="28" s="1"/>
  <c r="AD1896" i="28"/>
  <c r="AE1896" i="28" s="1"/>
  <c r="AD1786" i="28"/>
  <c r="AE1786" i="28" s="1"/>
  <c r="AD1798" i="28"/>
  <c r="AE1798" i="28" s="1"/>
  <c r="AD1861" i="28"/>
  <c r="AE1861" i="28" s="1"/>
  <c r="AD1813" i="28"/>
  <c r="AE1813" i="28" s="1"/>
  <c r="AD1830" i="28"/>
  <c r="AE1830" i="28" s="1"/>
  <c r="AD1886" i="28"/>
  <c r="AE1886" i="28" s="1"/>
  <c r="AD1826" i="28"/>
  <c r="AE1826" i="28" s="1"/>
  <c r="AD1848" i="28"/>
  <c r="AE1848" i="28" s="1"/>
  <c r="AD1854" i="28"/>
  <c r="AE1854" i="28" s="1"/>
  <c r="AD1808" i="28"/>
  <c r="AE1808" i="28" s="1"/>
  <c r="AD1803" i="28"/>
  <c r="AE1803" i="28" s="1"/>
  <c r="AD1805" i="28"/>
  <c r="AE1805" i="28" s="1"/>
  <c r="AD1809" i="28"/>
  <c r="AE1809" i="28" s="1"/>
  <c r="AD1894" i="28"/>
  <c r="AE1894" i="28" s="1"/>
  <c r="AD1860" i="28"/>
  <c r="AE1860" i="28" s="1"/>
  <c r="AD1829" i="28"/>
  <c r="AE1829" i="28" s="1"/>
  <c r="AD1889" i="28"/>
  <c r="AE1889" i="28" s="1"/>
  <c r="AD1898" i="28"/>
  <c r="AE1898" i="28" s="1"/>
  <c r="AD1901" i="28"/>
  <c r="AE1901" i="28" s="1"/>
  <c r="AD1818" i="28"/>
  <c r="AE1818" i="28" s="1"/>
  <c r="AD1800" i="28"/>
  <c r="AE1800" i="28" s="1"/>
  <c r="AD1789" i="28"/>
  <c r="AE1789" i="28" s="1"/>
  <c r="AD1821" i="28"/>
  <c r="AE1821" i="28" s="1"/>
  <c r="AD1828" i="28"/>
  <c r="AE1828" i="28" s="1"/>
  <c r="AD1833" i="28"/>
  <c r="AE1833" i="28" s="1"/>
  <c r="AD1876" i="28"/>
  <c r="AE1876" i="28" s="1"/>
  <c r="AD1878" i="28"/>
  <c r="AE1878" i="28" s="1"/>
  <c r="AD1856" i="28"/>
  <c r="AE1856" i="28" s="1"/>
  <c r="AD1804" i="28"/>
  <c r="AE1804" i="28" s="1"/>
  <c r="AD1868" i="28"/>
  <c r="AE1868" i="28" s="1"/>
  <c r="AD1822" i="28"/>
  <c r="AE1822" i="28" s="1"/>
  <c r="AD1902" i="28"/>
  <c r="AE1902" i="28" s="1"/>
  <c r="AD1847" i="28"/>
  <c r="AE1847" i="28" s="1"/>
  <c r="AD1817" i="28"/>
  <c r="AE1817" i="28" s="1"/>
  <c r="AD1869" i="28"/>
  <c r="AE1869" i="28" s="1"/>
  <c r="AD1851" i="28"/>
  <c r="AE1851" i="28" s="1"/>
  <c r="AD1850" i="28"/>
  <c r="AE1850" i="28" s="1"/>
  <c r="AD1836" i="28"/>
  <c r="AE1836" i="28" s="1"/>
  <c r="AD1834" i="28"/>
  <c r="AE1834" i="28" s="1"/>
  <c r="AD1843" i="28"/>
  <c r="AE1843" i="28" s="1"/>
  <c r="AD1855" i="28"/>
  <c r="AE1855" i="28" s="1"/>
  <c r="AD1859" i="28"/>
  <c r="AE1859" i="28" s="1"/>
  <c r="AD1799" i="28"/>
  <c r="AE1799" i="28" s="1"/>
  <c r="AD1841" i="28"/>
  <c r="AE1841" i="28" s="1"/>
  <c r="AD1816" i="28"/>
  <c r="AE1816" i="28" s="1"/>
  <c r="AD1853" i="28"/>
  <c r="AE1853" i="28" s="1"/>
  <c r="AD1811" i="28"/>
  <c r="AE1811" i="28" s="1"/>
  <c r="AD1897" i="28"/>
  <c r="AE1897" i="28" s="1"/>
  <c r="AD1791" i="28"/>
  <c r="AE1791" i="28" s="1"/>
  <c r="AD1823" i="28"/>
  <c r="AE1823" i="28" s="1"/>
  <c r="AD1810" i="28"/>
  <c r="AE1810" i="28" s="1"/>
  <c r="AD1885" i="28"/>
  <c r="AE1885" i="28" s="1"/>
  <c r="AD1827" i="28"/>
  <c r="AE1827" i="28" s="1"/>
  <c r="AD1815" i="28"/>
  <c r="AE1815" i="28" s="1"/>
  <c r="AD1866" i="28"/>
  <c r="AE1866" i="28" s="1"/>
  <c r="AD1832" i="28"/>
  <c r="AE1832" i="28" s="1"/>
  <c r="AD1835" i="28"/>
  <c r="AE1835" i="28" s="1"/>
  <c r="AD1874" i="28"/>
  <c r="AE1874" i="28" s="1"/>
  <c r="AD1842" i="28"/>
  <c r="AE1842" i="28" s="1"/>
  <c r="AD1807" i="28"/>
  <c r="AE1807" i="28" s="1"/>
  <c r="AD1862" i="28"/>
  <c r="AE1862" i="28" s="1"/>
  <c r="AD1839" i="28"/>
  <c r="AE1839" i="28" s="1"/>
  <c r="AD1831" i="28"/>
  <c r="AE1831" i="28" s="1"/>
  <c r="AD1903" i="28"/>
  <c r="AE1903" i="28" s="1"/>
  <c r="AD1792" i="28"/>
  <c r="AE1792" i="28" s="1"/>
  <c r="AD1796" i="28"/>
  <c r="AE1796" i="28" s="1"/>
  <c r="AD1864" i="28"/>
  <c r="AE1864" i="28" s="1"/>
  <c r="AD1890" i="28"/>
  <c r="AE1890" i="28" s="1"/>
  <c r="AD1900" i="28"/>
  <c r="AE1900" i="28" s="1"/>
  <c r="AD1877" i="28"/>
  <c r="AE1877" i="28" s="1"/>
  <c r="AD1783" i="28"/>
  <c r="AE1783" i="28" s="1"/>
  <c r="AD1739" i="28"/>
  <c r="AD1694" i="28"/>
  <c r="AE1694" i="28" s="1"/>
  <c r="AD1778" i="28"/>
  <c r="AE1778" i="28" s="1"/>
  <c r="AD1751" i="28"/>
  <c r="AE1751" i="28" s="1"/>
  <c r="AD1714" i="28"/>
  <c r="AE1714" i="28" s="1"/>
  <c r="AD1757" i="28"/>
  <c r="AE1757" i="28" s="1"/>
  <c r="AD1755" i="28"/>
  <c r="AE1755" i="28" s="1"/>
  <c r="AD1730" i="28"/>
  <c r="AE1730" i="28" s="1"/>
  <c r="AD1766" i="28"/>
  <c r="AE1766" i="28" s="1"/>
  <c r="AD1768" i="28"/>
  <c r="AE1768" i="28" s="1"/>
  <c r="AD1718" i="28"/>
  <c r="AE1718" i="28" s="1"/>
  <c r="AD1697" i="28"/>
  <c r="AE1697" i="28" s="1"/>
  <c r="AD1760" i="28"/>
  <c r="AE1760" i="28" s="1"/>
  <c r="AD1765" i="28"/>
  <c r="AE1765" i="28" s="1"/>
  <c r="AD1756" i="28"/>
  <c r="AE1756" i="28" s="1"/>
  <c r="AD1709" i="28"/>
  <c r="AE1709" i="28" s="1"/>
  <c r="AD1732" i="28"/>
  <c r="AE1732" i="28" s="1"/>
  <c r="AD1719" i="28"/>
  <c r="AE1719" i="28" s="1"/>
  <c r="AD1770" i="28"/>
  <c r="AE1770" i="28" s="1"/>
  <c r="AD1710" i="28"/>
  <c r="AE1710" i="28" s="1"/>
  <c r="AD1774" i="28"/>
  <c r="AE1774" i="28" s="1"/>
  <c r="AD1772" i="28"/>
  <c r="AD1763" i="28"/>
  <c r="AE1763" i="28" s="1"/>
  <c r="AD1752" i="28"/>
  <c r="AE1752" i="28" s="1"/>
  <c r="AD1704" i="28"/>
  <c r="AE1704" i="28" s="1"/>
  <c r="AD1707" i="28"/>
  <c r="AE1707" i="28" s="1"/>
  <c r="AD1726" i="28"/>
  <c r="AE1726" i="28" s="1"/>
  <c r="AD1737" i="28"/>
  <c r="AE1737" i="28" s="1"/>
  <c r="AD1769" i="28"/>
  <c r="AE1769" i="28" s="1"/>
  <c r="AD1721" i="28"/>
  <c r="AE1721" i="28" s="1"/>
  <c r="AD1776" i="28"/>
  <c r="AE1776" i="28" s="1"/>
  <c r="AD1741" i="28"/>
  <c r="AE1741" i="28" s="1"/>
  <c r="AD1734" i="28"/>
  <c r="AE1734" i="28" s="1"/>
  <c r="AD1699" i="28"/>
  <c r="AE1699" i="28" s="1"/>
  <c r="AD1703" i="28"/>
  <c r="AE1703" i="28" s="1"/>
  <c r="AD1782" i="28"/>
  <c r="AE1782" i="28" s="1"/>
  <c r="AD1758" i="28"/>
  <c r="AE1758" i="28" s="1"/>
  <c r="AD1773" i="28"/>
  <c r="AE1773" i="28" s="1"/>
  <c r="AD1764" i="28"/>
  <c r="AE1764" i="28" s="1"/>
  <c r="AD1700" i="28"/>
  <c r="AE1700" i="28" s="1"/>
  <c r="AD1717" i="28"/>
  <c r="AE1717" i="28" s="1"/>
  <c r="AD1746" i="28"/>
  <c r="AE1746" i="28" s="1"/>
  <c r="AD1781" i="28"/>
  <c r="AE1781" i="28" s="1"/>
  <c r="AD1749" i="28"/>
  <c r="AE1749" i="28" s="1"/>
  <c r="AD1723" i="28"/>
  <c r="AE1723" i="28" s="1"/>
  <c r="AD1779" i="28"/>
  <c r="AE1779" i="28" s="1"/>
  <c r="AD1720" i="28"/>
  <c r="AE1720" i="28" s="1"/>
  <c r="AD1702" i="28"/>
  <c r="AE1702" i="28" s="1"/>
  <c r="AD1698" i="28"/>
  <c r="AE1698" i="28" s="1"/>
  <c r="AD1711" i="28"/>
  <c r="AE1711" i="28" s="1"/>
  <c r="AD1724" i="28"/>
  <c r="AE1724" i="28" s="1"/>
  <c r="AD1753" i="28"/>
  <c r="AE1753" i="28" s="1"/>
  <c r="AD1775" i="28"/>
  <c r="AE1775" i="28" s="1"/>
  <c r="AD1771" i="28"/>
  <c r="AE1771" i="28" s="1"/>
  <c r="AD1742" i="28"/>
  <c r="AE1742" i="28" s="1"/>
  <c r="AD1740" i="28"/>
  <c r="AE1740" i="28" s="1"/>
  <c r="AD1747" i="28"/>
  <c r="AE1747" i="28" s="1"/>
  <c r="AD1713" i="28"/>
  <c r="AE1713" i="28" s="1"/>
  <c r="AD1762" i="28"/>
  <c r="AE1762" i="28" s="1"/>
  <c r="AD1743" i="28"/>
  <c r="AE1743" i="28" s="1"/>
  <c r="AD1748" i="28"/>
  <c r="AE1748" i="28" s="1"/>
  <c r="AD1777" i="28"/>
  <c r="AE1777" i="28" s="1"/>
  <c r="AD1705" i="28"/>
  <c r="AE1705" i="28" s="1"/>
  <c r="AD1725" i="28"/>
  <c r="AE1725" i="28" s="1"/>
  <c r="AD1745" i="28"/>
  <c r="AE1745" i="28" s="1"/>
  <c r="AD1696" i="28"/>
  <c r="AE1696" i="28" s="1"/>
  <c r="AD1754" i="28"/>
  <c r="AE1754" i="28" s="1"/>
  <c r="AD1727" i="28"/>
  <c r="AE1727" i="28" s="1"/>
  <c r="AD1708" i="28"/>
  <c r="AE1708" i="28" s="1"/>
  <c r="AD1738" i="28"/>
  <c r="AE1738" i="28" s="1"/>
  <c r="AD1728" i="28"/>
  <c r="AE1728" i="28" s="1"/>
  <c r="AD1735" i="28"/>
  <c r="AE1735" i="28" s="1"/>
  <c r="AD1750" i="28"/>
  <c r="AE1750" i="28" s="1"/>
  <c r="AD1744" i="28"/>
  <c r="AE1744" i="28" s="1"/>
  <c r="AD1695" i="28"/>
  <c r="AE1695" i="28" s="1"/>
  <c r="AD1729" i="28"/>
  <c r="AE1729" i="28" s="1"/>
  <c r="AD1767" i="28"/>
  <c r="AE1767" i="28" s="1"/>
  <c r="AD1712" i="28"/>
  <c r="AE1712" i="28" s="1"/>
  <c r="AD1716" i="28"/>
  <c r="AE1716" i="28" s="1"/>
  <c r="AD1736" i="28"/>
  <c r="AE1736" i="28" s="1"/>
  <c r="AD1761" i="28"/>
  <c r="AE1761" i="28" s="1"/>
  <c r="AD1706" i="28"/>
  <c r="AE1706" i="28" s="1"/>
  <c r="AD1722" i="28"/>
  <c r="AE1722" i="28" s="1"/>
  <c r="AD1733" i="28"/>
  <c r="AE1733" i="28" s="1"/>
  <c r="AD1780" i="28"/>
  <c r="AE1780" i="28" s="1"/>
  <c r="AD1715" i="28"/>
  <c r="AE1715" i="28" s="1"/>
  <c r="AD1731" i="28"/>
  <c r="AE1731" i="28" s="1"/>
  <c r="AD1701" i="28"/>
  <c r="AE1701" i="28" s="1"/>
  <c r="AD1759" i="28"/>
  <c r="AE1759" i="28" s="1"/>
  <c r="AD1614" i="28"/>
  <c r="AE1614" i="28" s="1"/>
  <c r="AD1655" i="28"/>
  <c r="AE1655" i="28" s="1"/>
  <c r="AD1657" i="28"/>
  <c r="AE1657" i="28" s="1"/>
  <c r="AD1659" i="28"/>
  <c r="AE1659" i="28" s="1"/>
  <c r="AD1631" i="28"/>
  <c r="AE1631" i="28" s="1"/>
  <c r="AD1660" i="28"/>
  <c r="AE1660" i="28" s="1"/>
  <c r="AD1652" i="28"/>
  <c r="AE1652" i="28" s="1"/>
  <c r="AD1616" i="28"/>
  <c r="AE1616" i="28" s="1"/>
  <c r="AD1667" i="28"/>
  <c r="AE1667" i="28" s="1"/>
  <c r="AD1650" i="28"/>
  <c r="AD1686" i="28"/>
  <c r="AE1686" i="28" s="1"/>
  <c r="AD1692" i="28"/>
  <c r="AE1692" i="28" s="1"/>
  <c r="AD1635" i="28"/>
  <c r="AE1635" i="28" s="1"/>
  <c r="AD1687" i="28"/>
  <c r="AE1687" i="28" s="1"/>
  <c r="AD1638" i="28"/>
  <c r="AE1638" i="28" s="1"/>
  <c r="AD1679" i="28"/>
  <c r="AE1679" i="28" s="1"/>
  <c r="AD1661" i="28"/>
  <c r="AE1661" i="28" s="1"/>
  <c r="AD1637" i="28"/>
  <c r="AE1637" i="28" s="1"/>
  <c r="AD1658" i="28"/>
  <c r="AE1658" i="28" s="1"/>
  <c r="AD1683" i="28"/>
  <c r="AD1647" i="28"/>
  <c r="AE1647" i="28" s="1"/>
  <c r="AD1685" i="28"/>
  <c r="AE1685" i="28" s="1"/>
  <c r="AD1651" i="28"/>
  <c r="AE1651" i="28" s="1"/>
  <c r="AD1644" i="28"/>
  <c r="AE1644" i="28" s="1"/>
  <c r="AD1625" i="28"/>
  <c r="AE1625" i="28" s="1"/>
  <c r="AD1619" i="28"/>
  <c r="AE1619" i="28" s="1"/>
  <c r="AD1680" i="28"/>
  <c r="AE1680" i="28" s="1"/>
  <c r="AD1618" i="28"/>
  <c r="AE1618" i="28" s="1"/>
  <c r="AD1640" i="28"/>
  <c r="AE1640" i="28" s="1"/>
  <c r="AD1641" i="28"/>
  <c r="AE1641" i="28" s="1"/>
  <c r="AD1633" i="28"/>
  <c r="AE1633" i="28" s="1"/>
  <c r="AD1630" i="28"/>
  <c r="AE1630" i="28" s="1"/>
  <c r="AD1648" i="28"/>
  <c r="AE1648" i="28" s="1"/>
  <c r="AD1629" i="28"/>
  <c r="AE1629" i="28" s="1"/>
  <c r="AD1643" i="28"/>
  <c r="AE1643" i="28" s="1"/>
  <c r="AD1626" i="28"/>
  <c r="AE1626" i="28" s="1"/>
  <c r="AD1620" i="28"/>
  <c r="AE1620" i="28" s="1"/>
  <c r="AD1688" i="28"/>
  <c r="AE1688" i="28" s="1"/>
  <c r="AD1639" i="28"/>
  <c r="AE1639" i="28" s="1"/>
  <c r="AD1623" i="28"/>
  <c r="AE1623" i="28" s="1"/>
  <c r="AD1673" i="28"/>
  <c r="AE1673" i="28" s="1"/>
  <c r="AD1634" i="28"/>
  <c r="AE1634" i="28" s="1"/>
  <c r="AD1645" i="28"/>
  <c r="AE1645" i="28" s="1"/>
  <c r="AD1664" i="28"/>
  <c r="AE1664" i="28" s="1"/>
  <c r="AD1615" i="28"/>
  <c r="AE1615" i="28" s="1"/>
  <c r="AD1672" i="28"/>
  <c r="AE1672" i="28" s="1"/>
  <c r="AD1674" i="28"/>
  <c r="AE1674" i="28" s="1"/>
  <c r="AD1617" i="28"/>
  <c r="AE1617" i="28" s="1"/>
  <c r="AD1684" i="28"/>
  <c r="AE1684" i="28" s="1"/>
  <c r="AD1627" i="28"/>
  <c r="AE1627" i="28" s="1"/>
  <c r="AD1649" i="28"/>
  <c r="AE1649" i="28" s="1"/>
  <c r="AD1656" i="28"/>
  <c r="AE1656" i="28" s="1"/>
  <c r="AD1665" i="28"/>
  <c r="AE1665" i="28" s="1"/>
  <c r="AD1681" i="28"/>
  <c r="AE1681" i="28" s="1"/>
  <c r="AD1670" i="28"/>
  <c r="AE1670" i="28" s="1"/>
  <c r="AD1668" i="28"/>
  <c r="AE1668" i="28" s="1"/>
  <c r="AD1691" i="28"/>
  <c r="AE1691" i="28" s="1"/>
  <c r="AD1676" i="28"/>
  <c r="AE1676" i="28" s="1"/>
  <c r="AD1622" i="28"/>
  <c r="AE1622" i="28" s="1"/>
  <c r="AD1646" i="28"/>
  <c r="AE1646" i="28" s="1"/>
  <c r="AD1671" i="28"/>
  <c r="AE1671" i="28" s="1"/>
  <c r="AD1624" i="28"/>
  <c r="AE1624" i="28" s="1"/>
  <c r="AD1690" i="28"/>
  <c r="AE1690" i="28" s="1"/>
  <c r="AD1653" i="28"/>
  <c r="AE1653" i="28" s="1"/>
  <c r="AD1693" i="28"/>
  <c r="AE1693" i="28" s="1"/>
  <c r="AD1662" i="28"/>
  <c r="AE1662" i="28" s="1"/>
  <c r="AD1642" i="28"/>
  <c r="AE1642" i="28" s="1"/>
  <c r="AD1682" i="28"/>
  <c r="AE1682" i="28" s="1"/>
  <c r="AD1632" i="28"/>
  <c r="AE1632" i="28" s="1"/>
  <c r="AD1675" i="28"/>
  <c r="AE1675" i="28" s="1"/>
  <c r="AD1689" i="28"/>
  <c r="AE1689" i="28" s="1"/>
  <c r="AD1669" i="28"/>
  <c r="AE1669" i="28" s="1"/>
  <c r="AD1621" i="28"/>
  <c r="AE1621" i="28" s="1"/>
  <c r="AD1636" i="28"/>
  <c r="AD1628" i="28"/>
  <c r="AE1628" i="28" s="1"/>
  <c r="AD1666" i="28"/>
  <c r="AE1666" i="28" s="1"/>
  <c r="AD1654" i="28"/>
  <c r="AE1654" i="28" s="1"/>
  <c r="AD1677" i="28"/>
  <c r="AE1677" i="28" s="1"/>
  <c r="AD1678" i="28"/>
  <c r="AE1678" i="28" s="1"/>
  <c r="AD1663" i="28"/>
  <c r="AE1663" i="28" s="1"/>
  <c r="AD1469" i="28"/>
  <c r="AE1469" i="28" s="1"/>
  <c r="AD1574" i="28"/>
  <c r="AE1574" i="28" s="1"/>
  <c r="AD1562" i="28"/>
  <c r="AE1562" i="28" s="1"/>
  <c r="AD1349" i="28"/>
  <c r="AE1349" i="28" s="1"/>
  <c r="AD1192" i="28"/>
  <c r="AE1192" i="28" s="1"/>
  <c r="AD1340" i="28"/>
  <c r="AE1340" i="28" s="1"/>
  <c r="AD1600" i="28"/>
  <c r="AE1600" i="28" s="1"/>
  <c r="AD1326" i="28"/>
  <c r="AE1326" i="28" s="1"/>
  <c r="AD1317" i="28"/>
  <c r="AE1317" i="28" s="1"/>
  <c r="AD1573" i="28"/>
  <c r="AE1573" i="28" s="1"/>
  <c r="AD1316" i="28"/>
  <c r="AE1316" i="28" s="1"/>
  <c r="AD1288" i="28"/>
  <c r="AE1288" i="28" s="1"/>
  <c r="AD1606" i="28"/>
  <c r="AE1606" i="28" s="1"/>
  <c r="AD1255" i="28"/>
  <c r="AE1255" i="28" s="1"/>
  <c r="AD1427" i="28"/>
  <c r="AE1427" i="28" s="1"/>
  <c r="AD832" i="28"/>
  <c r="AE832" i="28" s="1"/>
  <c r="AD946" i="28"/>
  <c r="AE946" i="28" s="1"/>
  <c r="AD1077" i="28"/>
  <c r="AE1077" i="28" s="1"/>
  <c r="AD1379" i="28"/>
  <c r="AE1379" i="28" s="1"/>
  <c r="AD1091" i="28"/>
  <c r="AE1091" i="28" s="1"/>
  <c r="AD1346" i="28"/>
  <c r="AE1346" i="28" s="1"/>
  <c r="AD1308" i="28"/>
  <c r="AE1308" i="28" s="1"/>
  <c r="AD1140" i="28"/>
  <c r="AE1140" i="28" s="1"/>
  <c r="AD1139" i="28"/>
  <c r="AE1139" i="28" s="1"/>
  <c r="AD1400" i="28"/>
  <c r="AE1400" i="28" s="1"/>
  <c r="AD1222" i="28"/>
  <c r="AE1222" i="28" s="1"/>
  <c r="AD1605" i="28"/>
  <c r="AE1605" i="28" s="1"/>
  <c r="AD1599" i="28"/>
  <c r="AE1599" i="28" s="1"/>
  <c r="AD1452" i="28"/>
  <c r="AE1452" i="28" s="1"/>
  <c r="AD1579" i="28"/>
  <c r="AE1579" i="28" s="1"/>
  <c r="AD1539" i="28"/>
  <c r="AE1539" i="28" s="1"/>
  <c r="AD1553" i="28"/>
  <c r="AE1553" i="28" s="1"/>
  <c r="AD816" i="28"/>
  <c r="AE816" i="28" s="1"/>
  <c r="AD1421" i="28"/>
  <c r="AE1421" i="28" s="1"/>
  <c r="AD1242" i="28"/>
  <c r="AE1242" i="28" s="1"/>
  <c r="AD1418" i="28"/>
  <c r="AE1418" i="28" s="1"/>
  <c r="AD1398" i="28"/>
  <c r="AE1398" i="28" s="1"/>
  <c r="AD1607" i="28"/>
  <c r="AE1607" i="28" s="1"/>
  <c r="AD1492" i="28"/>
  <c r="AE1492" i="28" s="1"/>
  <c r="AD1526" i="28"/>
  <c r="AE1526" i="28" s="1"/>
  <c r="AD1436" i="28"/>
  <c r="AE1436" i="28" s="1"/>
  <c r="AD1357" i="28"/>
  <c r="AE1357" i="28" s="1"/>
  <c r="AD1249" i="28"/>
  <c r="AE1249" i="28" s="1"/>
  <c r="AD1406" i="28"/>
  <c r="AE1406" i="28" s="1"/>
  <c r="AD1071" i="28"/>
  <c r="AE1071" i="28" s="1"/>
  <c r="AD969" i="28"/>
  <c r="AE969" i="28" s="1"/>
  <c r="AD1575" i="28"/>
  <c r="AE1575" i="28" s="1"/>
  <c r="AD1581" i="28"/>
  <c r="AE1581" i="28" s="1"/>
  <c r="AD1461" i="28"/>
  <c r="AE1461" i="28" s="1"/>
  <c r="AD1423" i="28"/>
  <c r="AE1423" i="28" s="1"/>
  <c r="AD1246" i="28"/>
  <c r="AE1246" i="28" s="1"/>
  <c r="AD1144" i="28"/>
  <c r="AE1144" i="28" s="1"/>
  <c r="AD1093" i="28"/>
  <c r="AE1093" i="28" s="1"/>
  <c r="AD1059" i="28"/>
  <c r="AE1059" i="28" s="1"/>
  <c r="AD1103" i="28"/>
  <c r="AE1103" i="28" s="1"/>
  <c r="AD1056" i="28"/>
  <c r="AE1056" i="28" s="1"/>
  <c r="AD906" i="28"/>
  <c r="AE906" i="28" s="1"/>
  <c r="AD1014" i="28"/>
  <c r="AE1014" i="28" s="1"/>
  <c r="AD960" i="28"/>
  <c r="AE960" i="28" s="1"/>
  <c r="AD777" i="28"/>
  <c r="AE777" i="28" s="1"/>
  <c r="AD770" i="28"/>
  <c r="AE770" i="28" s="1"/>
  <c r="AD940" i="28"/>
  <c r="AE940" i="28" s="1"/>
  <c r="AD819" i="28"/>
  <c r="AE819" i="28" s="1"/>
  <c r="AD1561" i="28"/>
  <c r="AE1561" i="28" s="1"/>
  <c r="AD1513" i="28"/>
  <c r="AE1513" i="28" s="1"/>
  <c r="AD1533" i="28"/>
  <c r="AE1533" i="28" s="1"/>
  <c r="AD1428" i="28"/>
  <c r="AE1428" i="28" s="1"/>
  <c r="AD1460" i="28"/>
  <c r="AE1460" i="28" s="1"/>
  <c r="AD1253" i="28"/>
  <c r="AE1253" i="28" s="1"/>
  <c r="AD1282" i="28"/>
  <c r="AE1282" i="28" s="1"/>
  <c r="AD1248" i="28"/>
  <c r="AE1248" i="28" s="1"/>
  <c r="AD1054" i="28"/>
  <c r="AE1054" i="28" s="1"/>
  <c r="AD894" i="28"/>
  <c r="AE894" i="28" s="1"/>
  <c r="AD833" i="28"/>
  <c r="AE833" i="28" s="1"/>
  <c r="AD1007" i="28"/>
  <c r="AE1007" i="28" s="1"/>
  <c r="AD745" i="28"/>
  <c r="AE745" i="28" s="1"/>
  <c r="AD823" i="28"/>
  <c r="AE823" i="28" s="1"/>
  <c r="AD700" i="28"/>
  <c r="AE700" i="28" s="1"/>
  <c r="AD612" i="28"/>
  <c r="AE612" i="28" s="1"/>
  <c r="AD1377" i="28"/>
  <c r="AE1377" i="28" s="1"/>
  <c r="AD1064" i="28"/>
  <c r="AE1064" i="28" s="1"/>
  <c r="AD806" i="28"/>
  <c r="AE806" i="28" s="1"/>
  <c r="AD1426" i="28"/>
  <c r="AE1426" i="28" s="1"/>
  <c r="AD1258" i="28"/>
  <c r="AE1258" i="28" s="1"/>
  <c r="AD1030" i="28"/>
  <c r="AE1030" i="28" s="1"/>
  <c r="AD1099" i="28"/>
  <c r="AE1099" i="28" s="1"/>
  <c r="AD1136" i="28"/>
  <c r="AE1136" i="28" s="1"/>
  <c r="AD1049" i="28"/>
  <c r="AE1049" i="28" s="1"/>
  <c r="AD882" i="28"/>
  <c r="AE882" i="28" s="1"/>
  <c r="AD942" i="28"/>
  <c r="AE942" i="28" s="1"/>
  <c r="AD943" i="28"/>
  <c r="AE943" i="28" s="1"/>
  <c r="AD1114" i="28"/>
  <c r="AE1114" i="28" s="1"/>
  <c r="AD733" i="28"/>
  <c r="AE733" i="28" s="1"/>
  <c r="AD912" i="28"/>
  <c r="AE912" i="28" s="1"/>
  <c r="AD868" i="28"/>
  <c r="AE868" i="28" s="1"/>
  <c r="AD837" i="28"/>
  <c r="AE837" i="28" s="1"/>
  <c r="AD665" i="28"/>
  <c r="AE665" i="28" s="1"/>
  <c r="AD1590" i="28"/>
  <c r="AE1590" i="28" s="1"/>
  <c r="AD1243" i="28"/>
  <c r="AE1243" i="28" s="1"/>
  <c r="AD856" i="28"/>
  <c r="AE856" i="28" s="1"/>
  <c r="AD1416" i="28"/>
  <c r="AE1416" i="28" s="1"/>
  <c r="AD1286" i="28"/>
  <c r="AE1286" i="28" s="1"/>
  <c r="AD1216" i="28"/>
  <c r="AE1216" i="28" s="1"/>
  <c r="AD1595" i="28"/>
  <c r="AE1595" i="28" s="1"/>
  <c r="AD1499" i="28"/>
  <c r="AE1499" i="28" s="1"/>
  <c r="AD1395" i="28"/>
  <c r="AE1395" i="28" s="1"/>
  <c r="AD1386" i="28"/>
  <c r="AE1386" i="28" s="1"/>
  <c r="AD1198" i="28"/>
  <c r="AE1198" i="28" s="1"/>
  <c r="AD1111" i="28"/>
  <c r="AE1111" i="28" s="1"/>
  <c r="AD1070" i="28"/>
  <c r="AE1070" i="28" s="1"/>
  <c r="AD1128" i="28"/>
  <c r="AD984" i="28"/>
  <c r="AE984" i="28" s="1"/>
  <c r="AD1066" i="28"/>
  <c r="AE1066" i="28" s="1"/>
  <c r="AD1034" i="28"/>
  <c r="AE1034" i="28" s="1"/>
  <c r="AD1102" i="28"/>
  <c r="AE1102" i="28" s="1"/>
  <c r="AD1177" i="28"/>
  <c r="AE1177" i="28" s="1"/>
  <c r="AD921" i="28"/>
  <c r="AE921" i="28" s="1"/>
  <c r="AD836" i="28"/>
  <c r="AE836" i="28" s="1"/>
  <c r="AD857" i="28"/>
  <c r="AE857" i="28" s="1"/>
  <c r="AD533" i="28"/>
  <c r="AE533" i="28" s="1"/>
  <c r="AD1587" i="28"/>
  <c r="AE1587" i="28" s="1"/>
  <c r="AD1588" i="28"/>
  <c r="AE1588" i="28" s="1"/>
  <c r="AD1329" i="28"/>
  <c r="AE1329" i="28" s="1"/>
  <c r="AD1068" i="28"/>
  <c r="AE1068" i="28" s="1"/>
  <c r="AD896" i="28"/>
  <c r="AE896" i="28" s="1"/>
  <c r="AD1511" i="28"/>
  <c r="AD1389" i="28"/>
  <c r="AE1389" i="28" s="1"/>
  <c r="AD1401" i="28"/>
  <c r="AE1401" i="28" s="1"/>
  <c r="AD1285" i="28"/>
  <c r="AE1285" i="28" s="1"/>
  <c r="AD1137" i="28"/>
  <c r="AE1137" i="28" s="1"/>
  <c r="AD1132" i="28"/>
  <c r="AE1132" i="28" s="1"/>
  <c r="AD1611" i="28"/>
  <c r="AE1611" i="28" s="1"/>
  <c r="AD1504" i="28"/>
  <c r="AE1504" i="28" s="1"/>
  <c r="AD1450" i="28"/>
  <c r="AE1450" i="28" s="1"/>
  <c r="AD1415" i="28"/>
  <c r="AE1415" i="28" s="1"/>
  <c r="AD1229" i="28"/>
  <c r="AE1229" i="28" s="1"/>
  <c r="AD1593" i="28"/>
  <c r="AE1593" i="28" s="1"/>
  <c r="AD1609" i="28"/>
  <c r="AE1609" i="28" s="1"/>
  <c r="AD1602" i="28"/>
  <c r="AD1550" i="28"/>
  <c r="AE1550" i="28" s="1"/>
  <c r="AD1487" i="28"/>
  <c r="AE1487" i="28" s="1"/>
  <c r="AD1503" i="28"/>
  <c r="AE1503" i="28" s="1"/>
  <c r="AD1373" i="28"/>
  <c r="AE1373" i="28" s="1"/>
  <c r="AD1382" i="28"/>
  <c r="AE1382" i="28" s="1"/>
  <c r="AD1280" i="28"/>
  <c r="AE1280" i="28" s="1"/>
  <c r="AD1376" i="28"/>
  <c r="AE1376" i="28" s="1"/>
  <c r="AD1290" i="28"/>
  <c r="AE1290" i="28" s="1"/>
  <c r="AD1187" i="28"/>
  <c r="AE1187" i="28" s="1"/>
  <c r="AD1106" i="28"/>
  <c r="AE1106" i="28" s="1"/>
  <c r="AD1211" i="28"/>
  <c r="AE1211" i="28" s="1"/>
  <c r="AD1107" i="28"/>
  <c r="AE1107" i="28" s="1"/>
  <c r="AD1004" i="28"/>
  <c r="AE1004" i="28" s="1"/>
  <c r="AD1042" i="28"/>
  <c r="AE1042" i="28" s="1"/>
  <c r="AD1050" i="28"/>
  <c r="AE1050" i="28" s="1"/>
  <c r="AD818" i="28"/>
  <c r="AE818" i="28" s="1"/>
  <c r="AD865" i="28"/>
  <c r="AE865" i="28" s="1"/>
  <c r="AD809" i="28"/>
  <c r="AE809" i="28" s="1"/>
  <c r="AD850" i="28"/>
  <c r="AD1594" i="28"/>
  <c r="AE1594" i="28" s="1"/>
  <c r="AD1570" i="28"/>
  <c r="AE1570" i="28" s="1"/>
  <c r="AD1476" i="28"/>
  <c r="AE1476" i="28" s="1"/>
  <c r="AD1364" i="28"/>
  <c r="AE1364" i="28" s="1"/>
  <c r="AD1344" i="28"/>
  <c r="AE1344" i="28" s="1"/>
  <c r="AD1261" i="28"/>
  <c r="AE1261" i="28" s="1"/>
  <c r="AD1003" i="28"/>
  <c r="AE1003" i="28" s="1"/>
  <c r="AD1147" i="28"/>
  <c r="AE1147" i="28" s="1"/>
  <c r="AD1110" i="28"/>
  <c r="AE1110" i="28" s="1"/>
  <c r="AD1060" i="28"/>
  <c r="AE1060" i="28" s="1"/>
  <c r="AD1035" i="28"/>
  <c r="AE1035" i="28" s="1"/>
  <c r="AD1112" i="28"/>
  <c r="AE1112" i="28" s="1"/>
  <c r="AD697" i="28"/>
  <c r="AE697" i="28" s="1"/>
  <c r="AD916" i="28"/>
  <c r="AE916" i="28" s="1"/>
  <c r="AD875" i="28"/>
  <c r="AE875" i="28" s="1"/>
  <c r="AD652" i="28"/>
  <c r="AE652" i="28" s="1"/>
  <c r="AD742" i="28"/>
  <c r="AE742" i="28" s="1"/>
  <c r="AD1485" i="28"/>
  <c r="AE1485" i="28" s="1"/>
  <c r="AD1459" i="28"/>
  <c r="AE1459" i="28" s="1"/>
  <c r="AD1464" i="28"/>
  <c r="AE1464" i="28" s="1"/>
  <c r="AD1603" i="28"/>
  <c r="AE1603" i="28" s="1"/>
  <c r="AD1472" i="28"/>
  <c r="AE1472" i="28" s="1"/>
  <c r="AD1608" i="28"/>
  <c r="AE1608" i="28" s="1"/>
  <c r="AD1463" i="28"/>
  <c r="AE1463" i="28" s="1"/>
  <c r="AD1424" i="28"/>
  <c r="AD1324" i="28"/>
  <c r="AE1324" i="28" s="1"/>
  <c r="AD1250" i="28"/>
  <c r="AE1250" i="28" s="1"/>
  <c r="AD1231" i="28"/>
  <c r="AE1231" i="28" s="1"/>
  <c r="AD1172" i="28"/>
  <c r="AE1172" i="28" s="1"/>
  <c r="AD1191" i="28"/>
  <c r="AE1191" i="28" s="1"/>
  <c r="AD1145" i="28"/>
  <c r="AE1145" i="28" s="1"/>
  <c r="AD1157" i="28"/>
  <c r="AE1157" i="28" s="1"/>
  <c r="AD1040" i="28"/>
  <c r="AE1040" i="28" s="1"/>
  <c r="AD1023" i="28"/>
  <c r="AE1023" i="28" s="1"/>
  <c r="AD913" i="28"/>
  <c r="AE913" i="28" s="1"/>
  <c r="AD694" i="28"/>
  <c r="AE694" i="28" s="1"/>
  <c r="AD775" i="28"/>
  <c r="AE775" i="28" s="1"/>
  <c r="AD873" i="28"/>
  <c r="AE873" i="28" s="1"/>
  <c r="AD1419" i="28"/>
  <c r="AE1419" i="28" s="1"/>
  <c r="AD1365" i="28"/>
  <c r="AE1365" i="28" s="1"/>
  <c r="AD1411" i="28"/>
  <c r="AE1411" i="28" s="1"/>
  <c r="AD1366" i="28"/>
  <c r="AE1366" i="28" s="1"/>
  <c r="AD1351" i="28"/>
  <c r="AE1351" i="28" s="1"/>
  <c r="AD1367" i="28"/>
  <c r="AE1367" i="28" s="1"/>
  <c r="AD1241" i="28"/>
  <c r="AE1241" i="28" s="1"/>
  <c r="AD1322" i="28"/>
  <c r="AE1322" i="28" s="1"/>
  <c r="AD1239" i="28"/>
  <c r="AE1239" i="28" s="1"/>
  <c r="AD1170" i="28"/>
  <c r="AE1170" i="28" s="1"/>
  <c r="AD1146" i="28"/>
  <c r="AE1146" i="28" s="1"/>
  <c r="AD1104" i="28"/>
  <c r="AE1104" i="28" s="1"/>
  <c r="AD879" i="28"/>
  <c r="AE879" i="28" s="1"/>
  <c r="AD1000" i="28"/>
  <c r="AE1000" i="28" s="1"/>
  <c r="AD1005" i="28"/>
  <c r="AE1005" i="28" s="1"/>
  <c r="AD651" i="28"/>
  <c r="AE651" i="28" s="1"/>
  <c r="AD860" i="28"/>
  <c r="AE860" i="28" s="1"/>
  <c r="AD864" i="28"/>
  <c r="AE864" i="28" s="1"/>
  <c r="AD781" i="28"/>
  <c r="AE781" i="28" s="1"/>
  <c r="AD598" i="28"/>
  <c r="AE598" i="28" s="1"/>
  <c r="AD1549" i="28"/>
  <c r="AE1549" i="28" s="1"/>
  <c r="AD1563" i="28"/>
  <c r="AE1563" i="28" s="1"/>
  <c r="AD1462" i="28"/>
  <c r="AE1462" i="28" s="1"/>
  <c r="AD1447" i="28"/>
  <c r="AE1447" i="28" s="1"/>
  <c r="AD1417" i="28"/>
  <c r="AE1417" i="28" s="1"/>
  <c r="AD1384" i="28"/>
  <c r="AE1384" i="28" s="1"/>
  <c r="AD1358" i="28"/>
  <c r="AE1358" i="28" s="1"/>
  <c r="AD1363" i="28"/>
  <c r="AE1363" i="28" s="1"/>
  <c r="AD1297" i="28"/>
  <c r="AE1297" i="28" s="1"/>
  <c r="AD1320" i="28"/>
  <c r="AE1320" i="28" s="1"/>
  <c r="AD1217" i="28"/>
  <c r="AE1217" i="28" s="1"/>
  <c r="AD1251" i="28"/>
  <c r="AE1251" i="28" s="1"/>
  <c r="AD1164" i="28"/>
  <c r="AE1164" i="28" s="1"/>
  <c r="AD1097" i="28"/>
  <c r="AE1097" i="28" s="1"/>
  <c r="AD1121" i="28"/>
  <c r="AE1121" i="28" s="1"/>
  <c r="AD1037" i="28"/>
  <c r="AE1037" i="28" s="1"/>
  <c r="AD972" i="28"/>
  <c r="AE972" i="28" s="1"/>
  <c r="AD1094" i="28"/>
  <c r="AE1094" i="28" s="1"/>
  <c r="AD948" i="28"/>
  <c r="AE948" i="28" s="1"/>
  <c r="AD925" i="28"/>
  <c r="AE925" i="28" s="1"/>
  <c r="AD895" i="28"/>
  <c r="AE895" i="28" s="1"/>
  <c r="AD744" i="28"/>
  <c r="AE744" i="28" s="1"/>
  <c r="AD746" i="28"/>
  <c r="AE746" i="28" s="1"/>
  <c r="AD849" i="28"/>
  <c r="AE849" i="28" s="1"/>
  <c r="AD632" i="28"/>
  <c r="AE632" i="28" s="1"/>
  <c r="AD555" i="28"/>
  <c r="AE555" i="28" s="1"/>
  <c r="AD1215" i="28"/>
  <c r="AE1215" i="28" s="1"/>
  <c r="AD1158" i="28"/>
  <c r="AE1158" i="28" s="1"/>
  <c r="AD1098" i="28"/>
  <c r="AE1098" i="28" s="1"/>
  <c r="AD1033" i="28"/>
  <c r="AE1033" i="28" s="1"/>
  <c r="AD1108" i="28"/>
  <c r="AE1108" i="28" s="1"/>
  <c r="AD970" i="28"/>
  <c r="AE970" i="28" s="1"/>
  <c r="AD1046" i="28"/>
  <c r="AE1046" i="28" s="1"/>
  <c r="AD905" i="28"/>
  <c r="AE905" i="28" s="1"/>
  <c r="AD902" i="28"/>
  <c r="AE902" i="28" s="1"/>
  <c r="AD885" i="28"/>
  <c r="AD740" i="28"/>
  <c r="AE740" i="28" s="1"/>
  <c r="AD847" i="28"/>
  <c r="AE847" i="28" s="1"/>
  <c r="AD631" i="28"/>
  <c r="AE631" i="28" s="1"/>
  <c r="AD634" i="28"/>
  <c r="AE634" i="28" s="1"/>
  <c r="AD437" i="28"/>
  <c r="AE437" i="28" s="1"/>
  <c r="AD545" i="28"/>
  <c r="AE545" i="28" s="1"/>
  <c r="AD756" i="28"/>
  <c r="AE756" i="28" s="1"/>
  <c r="AD851" i="28"/>
  <c r="AE851" i="28" s="1"/>
  <c r="AD778" i="28"/>
  <c r="AE778" i="28" s="1"/>
  <c r="AD693" i="28"/>
  <c r="AE693" i="28" s="1"/>
  <c r="AD649" i="28"/>
  <c r="AE649" i="28" s="1"/>
  <c r="AD616" i="28"/>
  <c r="AE616" i="28" s="1"/>
  <c r="AD1047" i="28"/>
  <c r="AE1047" i="28" s="1"/>
  <c r="AD900" i="28"/>
  <c r="AE900" i="28" s="1"/>
  <c r="AD890" i="28"/>
  <c r="AE890" i="28" s="1"/>
  <c r="AD919" i="28"/>
  <c r="AE919" i="28" s="1"/>
  <c r="AD699" i="28"/>
  <c r="AE699" i="28" s="1"/>
  <c r="AD595" i="28"/>
  <c r="AE595" i="28" s="1"/>
  <c r="AD898" i="28"/>
  <c r="AE898" i="28" s="1"/>
  <c r="AD880" i="28"/>
  <c r="AE880" i="28" s="1"/>
  <c r="AD821" i="28"/>
  <c r="AE821" i="28" s="1"/>
  <c r="AD886" i="28"/>
  <c r="AE886" i="28" s="1"/>
  <c r="AD688" i="28"/>
  <c r="AE688" i="28" s="1"/>
  <c r="AD859" i="28"/>
  <c r="AE859" i="28" s="1"/>
  <c r="AD909" i="28"/>
  <c r="AE909" i="28" s="1"/>
  <c r="AD1057" i="28"/>
  <c r="AE1057" i="28" s="1"/>
  <c r="AD978" i="28"/>
  <c r="AE978" i="28" s="1"/>
  <c r="AD1127" i="28"/>
  <c r="AE1127" i="28" s="1"/>
  <c r="AD808" i="28"/>
  <c r="AE808" i="28" s="1"/>
  <c r="AD874" i="28"/>
  <c r="AE874" i="28" s="1"/>
  <c r="AD801" i="28"/>
  <c r="AE801" i="28" s="1"/>
  <c r="AD708" i="28"/>
  <c r="AE708" i="28" s="1"/>
  <c r="AD779" i="28"/>
  <c r="AE779" i="28" s="1"/>
  <c r="AD931" i="28"/>
  <c r="AE931" i="28" s="1"/>
  <c r="AD863" i="28"/>
  <c r="AE863" i="28" s="1"/>
  <c r="AD664" i="28"/>
  <c r="AE664" i="28" s="1"/>
  <c r="AD656" i="28"/>
  <c r="AE656" i="28" s="1"/>
  <c r="AD582" i="28"/>
  <c r="AE582" i="28" s="1"/>
  <c r="AD147" i="28"/>
  <c r="AE147" i="28" s="1"/>
  <c r="AD737" i="28"/>
  <c r="AE737" i="28" s="1"/>
  <c r="AD739" i="28"/>
  <c r="AE739" i="28" s="1"/>
  <c r="AD887" i="28"/>
  <c r="AE887" i="28" s="1"/>
  <c r="AD855" i="28"/>
  <c r="AE855" i="28" s="1"/>
  <c r="AD658" i="28"/>
  <c r="AE658" i="28" s="1"/>
  <c r="AD1528" i="28"/>
  <c r="AE1528" i="28" s="1"/>
  <c r="AD1380" i="28"/>
  <c r="AE1380" i="28" s="1"/>
  <c r="AD1294" i="28"/>
  <c r="AE1294" i="28" s="1"/>
  <c r="AD1095" i="28"/>
  <c r="AE1095" i="28" s="1"/>
  <c r="AD1076" i="28"/>
  <c r="AD749" i="28"/>
  <c r="AE749" i="28" s="1"/>
  <c r="AD830" i="28"/>
  <c r="AE830" i="28" s="1"/>
  <c r="AD846" i="28"/>
  <c r="AE846" i="28" s="1"/>
  <c r="AD1597" i="28"/>
  <c r="AE1597" i="28" s="1"/>
  <c r="AD1578" i="28"/>
  <c r="AE1578" i="28" s="1"/>
  <c r="AD1092" i="28"/>
  <c r="AE1092" i="28" s="1"/>
  <c r="AD1085" i="28"/>
  <c r="AE1085" i="28" s="1"/>
  <c r="AD747" i="28"/>
  <c r="AE747" i="28" s="1"/>
  <c r="AD861" i="28"/>
  <c r="AE861" i="28" s="1"/>
  <c r="AD831" i="28"/>
  <c r="AE831" i="28" s="1"/>
  <c r="AD743" i="28"/>
  <c r="AE743" i="28" s="1"/>
  <c r="AD572" i="28"/>
  <c r="AE572" i="28" s="1"/>
  <c r="AD1566" i="28"/>
  <c r="AE1566" i="28" s="1"/>
  <c r="AD1557" i="28"/>
  <c r="AE1557" i="28" s="1"/>
  <c r="AD1506" i="28"/>
  <c r="AE1506" i="28" s="1"/>
  <c r="AD1558" i="28"/>
  <c r="AD1481" i="28"/>
  <c r="AE1481" i="28" s="1"/>
  <c r="AD1434" i="28"/>
  <c r="AE1434" i="28" s="1"/>
  <c r="AD1486" i="28"/>
  <c r="AE1486" i="28" s="1"/>
  <c r="AD1496" i="28"/>
  <c r="AE1496" i="28" s="1"/>
  <c r="AD1441" i="28"/>
  <c r="AE1441" i="28" s="1"/>
  <c r="AD1444" i="28"/>
  <c r="AE1444" i="28" s="1"/>
  <c r="AD1404" i="28"/>
  <c r="AE1404" i="28" s="1"/>
  <c r="AD1343" i="28"/>
  <c r="AD1439" i="28"/>
  <c r="AE1439" i="28" s="1"/>
  <c r="AD1332" i="28"/>
  <c r="AE1332" i="28" s="1"/>
  <c r="AD1368" i="28"/>
  <c r="AE1368" i="28" s="1"/>
  <c r="AD1323" i="28"/>
  <c r="AE1323" i="28" s="1"/>
  <c r="AD1310" i="28"/>
  <c r="AE1310" i="28" s="1"/>
  <c r="AD1313" i="28"/>
  <c r="AE1313" i="28" s="1"/>
  <c r="AD1355" i="28"/>
  <c r="AE1355" i="28" s="1"/>
  <c r="AD1274" i="28"/>
  <c r="AE1274" i="28" s="1"/>
  <c r="AD1273" i="28"/>
  <c r="AE1273" i="28" s="1"/>
  <c r="AD1254" i="28"/>
  <c r="AE1254" i="28" s="1"/>
  <c r="AD1300" i="28"/>
  <c r="AE1300" i="28" s="1"/>
  <c r="AD1197" i="28"/>
  <c r="AE1197" i="28" s="1"/>
  <c r="AD1154" i="28"/>
  <c r="AE1154" i="28" s="1"/>
  <c r="AD1236" i="28"/>
  <c r="AE1236" i="28" s="1"/>
  <c r="AD1207" i="28"/>
  <c r="AE1207" i="28" s="1"/>
  <c r="AD1065" i="28"/>
  <c r="AE1065" i="28" s="1"/>
  <c r="AD1069" i="28"/>
  <c r="AE1069" i="28" s="1"/>
  <c r="AD1075" i="28"/>
  <c r="AE1075" i="28" s="1"/>
  <c r="AD1081" i="28"/>
  <c r="AE1081" i="28" s="1"/>
  <c r="AD1169" i="28"/>
  <c r="AE1169" i="28" s="1"/>
  <c r="AD991" i="28"/>
  <c r="AE991" i="28" s="1"/>
  <c r="AD987" i="28"/>
  <c r="AE987" i="28" s="1"/>
  <c r="AD1026" i="28"/>
  <c r="AE1026" i="28" s="1"/>
  <c r="AD941" i="28"/>
  <c r="AE941" i="28" s="1"/>
  <c r="AD993" i="28"/>
  <c r="AE993" i="28" s="1"/>
  <c r="AD1020" i="28"/>
  <c r="AE1020" i="28" s="1"/>
  <c r="AD1080" i="28"/>
  <c r="AE1080" i="28" s="1"/>
  <c r="AD1027" i="28"/>
  <c r="AE1027" i="28" s="1"/>
  <c r="AD944" i="28"/>
  <c r="AE944" i="28" s="1"/>
  <c r="AD741" i="28"/>
  <c r="AE741" i="28" s="1"/>
  <c r="AD989" i="28"/>
  <c r="AE989" i="28" s="1"/>
  <c r="AD937" i="28"/>
  <c r="AE937" i="28" s="1"/>
  <c r="AD997" i="28"/>
  <c r="AE997" i="28" s="1"/>
  <c r="AD813" i="28"/>
  <c r="AE813" i="28" s="1"/>
  <c r="AD1016" i="28"/>
  <c r="AE1016" i="28" s="1"/>
  <c r="AD877" i="28"/>
  <c r="AE877" i="28" s="1"/>
  <c r="AD935" i="28"/>
  <c r="AE935" i="28" s="1"/>
  <c r="AD901" i="28"/>
  <c r="AE901" i="28" s="1"/>
  <c r="AD827" i="28"/>
  <c r="AE827" i="28" s="1"/>
  <c r="AD822" i="28"/>
  <c r="AE822" i="28" s="1"/>
  <c r="AD750" i="28"/>
  <c r="AE750" i="28" s="1"/>
  <c r="AD796" i="28"/>
  <c r="AE796" i="28" s="1"/>
  <c r="AD760" i="28"/>
  <c r="AE760" i="28" s="1"/>
  <c r="AD684" i="28"/>
  <c r="AE684" i="28" s="1"/>
  <c r="AD798" i="28"/>
  <c r="AE798" i="28" s="1"/>
  <c r="AD698" i="28"/>
  <c r="AE698" i="28" s="1"/>
  <c r="AD1493" i="28"/>
  <c r="AE1493" i="28" s="1"/>
  <c r="AD1362" i="28"/>
  <c r="AE1362" i="28" s="1"/>
  <c r="AD1028" i="28"/>
  <c r="AE1028" i="28" s="1"/>
  <c r="AD820" i="28"/>
  <c r="AE820" i="28" s="1"/>
  <c r="AD1613" i="28"/>
  <c r="AE1613" i="28" s="1"/>
  <c r="AD1516" i="28"/>
  <c r="AE1516" i="28" s="1"/>
  <c r="AD1331" i="28"/>
  <c r="AE1331" i="28" s="1"/>
  <c r="AD1334" i="28"/>
  <c r="AE1334" i="28" s="1"/>
  <c r="AD1330" i="28"/>
  <c r="AE1330" i="28" s="1"/>
  <c r="AD1053" i="28"/>
  <c r="AE1053" i="28" s="1"/>
  <c r="AD757" i="28"/>
  <c r="AE757" i="28" s="1"/>
  <c r="AD844" i="28"/>
  <c r="AE844" i="28" s="1"/>
  <c r="AD1591" i="28"/>
  <c r="AE1591" i="28" s="1"/>
  <c r="AD1429" i="28"/>
  <c r="AE1429" i="28" s="1"/>
  <c r="AD1440" i="28"/>
  <c r="AE1440" i="28" s="1"/>
  <c r="AD1348" i="28"/>
  <c r="AE1348" i="28" s="1"/>
  <c r="AD1306" i="28"/>
  <c r="AE1306" i="28" s="1"/>
  <c r="AD1304" i="28"/>
  <c r="AE1304" i="28" s="1"/>
  <c r="AD1219" i="28"/>
  <c r="AE1219" i="28" s="1"/>
  <c r="AD1266" i="28"/>
  <c r="AE1266" i="28" s="1"/>
  <c r="AD1275" i="28"/>
  <c r="AE1275" i="28" s="1"/>
  <c r="AD1096" i="28"/>
  <c r="AE1096" i="28" s="1"/>
  <c r="AD1130" i="28"/>
  <c r="AE1130" i="28" s="1"/>
  <c r="AD1223" i="28"/>
  <c r="AE1223" i="28" s="1"/>
  <c r="AD1238" i="28"/>
  <c r="AE1238" i="28" s="1"/>
  <c r="AD1052" i="28"/>
  <c r="AE1052" i="28" s="1"/>
  <c r="AD1175" i="28"/>
  <c r="AE1175" i="28" s="1"/>
  <c r="AD1072" i="28"/>
  <c r="AE1072" i="28" s="1"/>
  <c r="AD1061" i="28"/>
  <c r="AE1061" i="28" s="1"/>
  <c r="AD1078" i="28"/>
  <c r="AE1078" i="28" s="1"/>
  <c r="AD1062" i="28"/>
  <c r="AE1062" i="28" s="1"/>
  <c r="AD1181" i="28"/>
  <c r="AE1181" i="28" s="1"/>
  <c r="AD1022" i="28"/>
  <c r="AE1022" i="28" s="1"/>
  <c r="AD988" i="28"/>
  <c r="AE988" i="28" s="1"/>
  <c r="AD1015" i="28"/>
  <c r="AE1015" i="28" s="1"/>
  <c r="AD1048" i="28"/>
  <c r="AE1048" i="28" s="1"/>
  <c r="AD1011" i="28"/>
  <c r="AE1011" i="28" s="1"/>
  <c r="AD735" i="28"/>
  <c r="AE735" i="28" s="1"/>
  <c r="AD954" i="28"/>
  <c r="AE954" i="28" s="1"/>
  <c r="AD915" i="28"/>
  <c r="AE915" i="28" s="1"/>
  <c r="AD965" i="28"/>
  <c r="AE965" i="28" s="1"/>
  <c r="AD934" i="28"/>
  <c r="AE934" i="28" s="1"/>
  <c r="AD983" i="28"/>
  <c r="AE983" i="28" s="1"/>
  <c r="AD872" i="28"/>
  <c r="AE872" i="28" s="1"/>
  <c r="AD923" i="28"/>
  <c r="AE923" i="28" s="1"/>
  <c r="AD731" i="28"/>
  <c r="AE731" i="28" s="1"/>
  <c r="AD725" i="28"/>
  <c r="AE725" i="28" s="1"/>
  <c r="AD368" i="28"/>
  <c r="AE368" i="28" s="1"/>
  <c r="AD462" i="28"/>
  <c r="AE462" i="28" s="1"/>
  <c r="AD1523" i="28"/>
  <c r="AE1523" i="28" s="1"/>
  <c r="AD1541" i="28"/>
  <c r="AE1541" i="28" s="1"/>
  <c r="AD1466" i="28"/>
  <c r="AE1466" i="28" s="1"/>
  <c r="AD1359" i="28"/>
  <c r="AE1359" i="28" s="1"/>
  <c r="AD1360" i="28"/>
  <c r="AE1360" i="28" s="1"/>
  <c r="AD1307" i="28"/>
  <c r="AD1143" i="28"/>
  <c r="AE1143" i="28" s="1"/>
  <c r="AD1200" i="28"/>
  <c r="AE1200" i="28" s="1"/>
  <c r="AD1090" i="28"/>
  <c r="AE1090" i="28" s="1"/>
  <c r="AD974" i="28"/>
  <c r="AE974" i="28" s="1"/>
  <c r="AD1031" i="28"/>
  <c r="AE1031" i="28" s="1"/>
  <c r="AD1017" i="28"/>
  <c r="AE1017" i="28" s="1"/>
  <c r="AD736" i="28"/>
  <c r="AE736" i="28" s="1"/>
  <c r="AD968" i="28"/>
  <c r="AE968" i="28" s="1"/>
  <c r="AD845" i="28"/>
  <c r="AE845" i="28" s="1"/>
  <c r="AD769" i="28"/>
  <c r="AE769" i="28" s="1"/>
  <c r="AD690" i="28"/>
  <c r="AE690" i="28" s="1"/>
  <c r="AD661" i="28"/>
  <c r="AE661" i="28" s="1"/>
  <c r="AD719" i="28"/>
  <c r="AE719" i="28" s="1"/>
  <c r="AD613" i="28"/>
  <c r="AE613" i="28" s="1"/>
  <c r="AD1560" i="28"/>
  <c r="AE1560" i="28" s="1"/>
  <c r="AD1505" i="28"/>
  <c r="AE1505" i="28" s="1"/>
  <c r="AD1374" i="28"/>
  <c r="AE1374" i="28" s="1"/>
  <c r="AD1321" i="28"/>
  <c r="AE1321" i="28" s="1"/>
  <c r="AD1220" i="28"/>
  <c r="AE1220" i="28" s="1"/>
  <c r="AD1245" i="28"/>
  <c r="AE1245" i="28" s="1"/>
  <c r="AD1084" i="28"/>
  <c r="AE1084" i="28" s="1"/>
  <c r="AD1089" i="28"/>
  <c r="AE1089" i="28" s="1"/>
  <c r="AD947" i="28"/>
  <c r="AE947" i="28" s="1"/>
  <c r="AD1010" i="28"/>
  <c r="AE1010" i="28" s="1"/>
  <c r="AD881" i="28"/>
  <c r="AE881" i="28" s="1"/>
  <c r="AD824" i="28"/>
  <c r="AE824" i="28" s="1"/>
  <c r="AD535" i="28"/>
  <c r="AE535" i="28" s="1"/>
  <c r="AD1565" i="28"/>
  <c r="AE1565" i="28" s="1"/>
  <c r="AD1612" i="28"/>
  <c r="AE1612" i="28" s="1"/>
  <c r="AD1589" i="28"/>
  <c r="AE1589" i="28" s="1"/>
  <c r="AD1524" i="28"/>
  <c r="AE1524" i="28" s="1"/>
  <c r="AD1537" i="28"/>
  <c r="AE1537" i="28" s="1"/>
  <c r="AD1546" i="28"/>
  <c r="AE1546" i="28" s="1"/>
  <c r="AD1484" i="28"/>
  <c r="AE1484" i="28" s="1"/>
  <c r="AD1437" i="28"/>
  <c r="AE1437" i="28" s="1"/>
  <c r="AD1312" i="28"/>
  <c r="AE1312" i="28" s="1"/>
  <c r="AD1302" i="28"/>
  <c r="AE1302" i="28" s="1"/>
  <c r="AD1292" i="28"/>
  <c r="AE1292" i="28" s="1"/>
  <c r="AD1338" i="28"/>
  <c r="AE1338" i="28" s="1"/>
  <c r="AD1333" i="28"/>
  <c r="AE1333" i="28" s="1"/>
  <c r="AD1271" i="28"/>
  <c r="AE1271" i="28" s="1"/>
  <c r="AD1185" i="28"/>
  <c r="AE1185" i="28" s="1"/>
  <c r="AD1577" i="28"/>
  <c r="AE1577" i="28" s="1"/>
  <c r="AD1517" i="28"/>
  <c r="AE1517" i="28" s="1"/>
  <c r="AD1527" i="28"/>
  <c r="AE1527" i="28" s="1"/>
  <c r="AD1495" i="28"/>
  <c r="AE1495" i="28" s="1"/>
  <c r="AD1514" i="28"/>
  <c r="AE1514" i="28" s="1"/>
  <c r="AD1457" i="28"/>
  <c r="AE1457" i="28" s="1"/>
  <c r="AD1353" i="28"/>
  <c r="AE1353" i="28" s="1"/>
  <c r="AD1478" i="28"/>
  <c r="AE1478" i="28" s="1"/>
  <c r="AD1470" i="28"/>
  <c r="AD1534" i="28"/>
  <c r="AE1534" i="28" s="1"/>
  <c r="AD1483" i="28"/>
  <c r="AE1483" i="28" s="1"/>
  <c r="AD1414" i="28"/>
  <c r="AE1414" i="28" s="1"/>
  <c r="AD1445" i="28"/>
  <c r="AE1445" i="28" s="1"/>
  <c r="AD1339" i="28"/>
  <c r="AE1339" i="28" s="1"/>
  <c r="AD1301" i="28"/>
  <c r="AE1301" i="28" s="1"/>
  <c r="AD1299" i="28"/>
  <c r="AE1299" i="28" s="1"/>
  <c r="AD1396" i="28"/>
  <c r="AE1396" i="28" s="1"/>
  <c r="AD1295" i="28"/>
  <c r="AE1295" i="28" s="1"/>
  <c r="AD1390" i="28"/>
  <c r="AE1390" i="28" s="1"/>
  <c r="AD1328" i="28"/>
  <c r="AE1328" i="28" s="1"/>
  <c r="AD1180" i="28"/>
  <c r="AE1180" i="28" s="1"/>
  <c r="AD1296" i="28"/>
  <c r="AE1296" i="28" s="1"/>
  <c r="AD1260" i="28"/>
  <c r="AE1260" i="28" s="1"/>
  <c r="AD1252" i="28"/>
  <c r="AE1252" i="28" s="1"/>
  <c r="AD1087" i="28"/>
  <c r="AE1087" i="28" s="1"/>
  <c r="AD1213" i="28"/>
  <c r="AE1213" i="28" s="1"/>
  <c r="AD1174" i="28"/>
  <c r="AE1174" i="28" s="1"/>
  <c r="AD1067" i="28"/>
  <c r="AE1067" i="28" s="1"/>
  <c r="AD1058" i="28"/>
  <c r="AE1058" i="28" s="1"/>
  <c r="AD1149" i="28"/>
  <c r="AE1149" i="28" s="1"/>
  <c r="AD1190" i="28"/>
  <c r="AE1190" i="28" s="1"/>
  <c r="AD1152" i="28"/>
  <c r="AE1152" i="28" s="1"/>
  <c r="AD1179" i="28"/>
  <c r="AE1179" i="28" s="1"/>
  <c r="AD971" i="28"/>
  <c r="AE971" i="28" s="1"/>
  <c r="AD985" i="28"/>
  <c r="AE985" i="28" s="1"/>
  <c r="AD977" i="28"/>
  <c r="AE977" i="28" s="1"/>
  <c r="AD1013" i="28"/>
  <c r="AE1013" i="28" s="1"/>
  <c r="AD1018" i="28"/>
  <c r="AE1018" i="28" s="1"/>
  <c r="AD1008" i="28"/>
  <c r="AE1008" i="28" s="1"/>
  <c r="AD1148" i="28"/>
  <c r="AE1148" i="28" s="1"/>
  <c r="AD945" i="28"/>
  <c r="AE945" i="28" s="1"/>
  <c r="AD897" i="28"/>
  <c r="AE897" i="28" s="1"/>
  <c r="AD963" i="28"/>
  <c r="AE963" i="28" s="1"/>
  <c r="AD932" i="28"/>
  <c r="AE932" i="28" s="1"/>
  <c r="AD783" i="28"/>
  <c r="AE783" i="28" s="1"/>
  <c r="AD955" i="28"/>
  <c r="AE955" i="28" s="1"/>
  <c r="AD752" i="28"/>
  <c r="AE752" i="28" s="1"/>
  <c r="AD862" i="28"/>
  <c r="AE862" i="28" s="1"/>
  <c r="AD884" i="28"/>
  <c r="AE884" i="28" s="1"/>
  <c r="AD878" i="28"/>
  <c r="AE878" i="28" s="1"/>
  <c r="AD797" i="28"/>
  <c r="AE797" i="28" s="1"/>
  <c r="AD904" i="28"/>
  <c r="AE904" i="28" s="1"/>
  <c r="AD754" i="28"/>
  <c r="AE754" i="28" s="1"/>
  <c r="AD784" i="28"/>
  <c r="AE784" i="28" s="1"/>
  <c r="AD738" i="28"/>
  <c r="AE738" i="28" s="1"/>
  <c r="AD726" i="28"/>
  <c r="AE726" i="28" s="1"/>
  <c r="AD702" i="28"/>
  <c r="AE702" i="28" s="1"/>
  <c r="AD673" i="28"/>
  <c r="AE673" i="28" s="1"/>
  <c r="AD899" i="28"/>
  <c r="AE899" i="28" s="1"/>
  <c r="AD706" i="28"/>
  <c r="AE706" i="28" s="1"/>
  <c r="AD459" i="28"/>
  <c r="AE459" i="28" s="1"/>
  <c r="AD1543" i="28"/>
  <c r="AE1543" i="28" s="1"/>
  <c r="AD1234" i="28"/>
  <c r="AE1234" i="28" s="1"/>
  <c r="AD1074" i="28"/>
  <c r="AE1074" i="28" s="1"/>
  <c r="AD1039" i="28"/>
  <c r="AE1039" i="28" s="1"/>
  <c r="AD1122" i="28"/>
  <c r="AE1122" i="28" s="1"/>
  <c r="AD957" i="28"/>
  <c r="AE957" i="28" s="1"/>
  <c r="AD893" i="28"/>
  <c r="AE893" i="28" s="1"/>
  <c r="AD734" i="28"/>
  <c r="AE734" i="28" s="1"/>
  <c r="AD780" i="28"/>
  <c r="AE780" i="28" s="1"/>
  <c r="AD529" i="28"/>
  <c r="AE529" i="28" s="1"/>
  <c r="AD1554" i="28"/>
  <c r="AE1554" i="28" s="1"/>
  <c r="AD1491" i="28"/>
  <c r="AE1491" i="28" s="1"/>
  <c r="AD1352" i="28"/>
  <c r="AE1352" i="28" s="1"/>
  <c r="AD1385" i="28"/>
  <c r="AE1385" i="28" s="1"/>
  <c r="AD1259" i="28"/>
  <c r="AE1259" i="28" s="1"/>
  <c r="AD1204" i="28"/>
  <c r="AE1204" i="28" s="1"/>
  <c r="AD1082" i="28"/>
  <c r="AE1082" i="28" s="1"/>
  <c r="AD732" i="28"/>
  <c r="AE732" i="28" s="1"/>
  <c r="AD714" i="28"/>
  <c r="AE714" i="28" s="1"/>
  <c r="AD681" i="28"/>
  <c r="AE681" i="28" s="1"/>
  <c r="AD547" i="28"/>
  <c r="AE547" i="28" s="1"/>
  <c r="AD1540" i="28"/>
  <c r="AE1540" i="28" s="1"/>
  <c r="AD1601" i="28"/>
  <c r="AE1601" i="28" s="1"/>
  <c r="AD1555" i="28"/>
  <c r="AE1555" i="28" s="1"/>
  <c r="AD1497" i="28"/>
  <c r="AE1497" i="28" s="1"/>
  <c r="AD1488" i="28"/>
  <c r="AE1488" i="28" s="1"/>
  <c r="AD1451" i="28"/>
  <c r="AE1451" i="28" s="1"/>
  <c r="AD1425" i="28"/>
  <c r="AE1425" i="28" s="1"/>
  <c r="AD1314" i="28"/>
  <c r="AE1314" i="28" s="1"/>
  <c r="AD1226" i="28"/>
  <c r="AE1226" i="28" s="1"/>
  <c r="AD1159" i="28"/>
  <c r="AE1159" i="28" s="1"/>
  <c r="AD1221" i="28"/>
  <c r="AE1221" i="28" s="1"/>
  <c r="AD1201" i="28"/>
  <c r="AE1201" i="28" s="1"/>
  <c r="AD1083" i="28"/>
  <c r="AE1083" i="28" s="1"/>
  <c r="AD1088" i="28"/>
  <c r="AE1088" i="28" s="1"/>
  <c r="AD1086" i="28"/>
  <c r="AE1086" i="28" s="1"/>
  <c r="AD1156" i="28"/>
  <c r="AE1156" i="28" s="1"/>
  <c r="AD1189" i="28"/>
  <c r="AE1189" i="28" s="1"/>
  <c r="AD1135" i="28"/>
  <c r="AE1135" i="28" s="1"/>
  <c r="AD1063" i="28"/>
  <c r="AE1063" i="28" s="1"/>
  <c r="AD1055" i="28"/>
  <c r="AE1055" i="28" s="1"/>
  <c r="AD1131" i="28"/>
  <c r="AE1131" i="28" s="1"/>
  <c r="AD1134" i="28"/>
  <c r="AE1134" i="28" s="1"/>
  <c r="AD1141" i="28"/>
  <c r="AE1141" i="28" s="1"/>
  <c r="AD1171" i="28"/>
  <c r="AE1171" i="28" s="1"/>
  <c r="AD907" i="28"/>
  <c r="AE907" i="28" s="1"/>
  <c r="AD994" i="28"/>
  <c r="AE994" i="28" s="1"/>
  <c r="AD903" i="28"/>
  <c r="AE903" i="28" s="1"/>
  <c r="AD939" i="28"/>
  <c r="AE939" i="28" s="1"/>
  <c r="AD956" i="28"/>
  <c r="AE956" i="28" s="1"/>
  <c r="AD928" i="28"/>
  <c r="AE928" i="28" s="1"/>
  <c r="AD999" i="28"/>
  <c r="AE999" i="28" s="1"/>
  <c r="AD924" i="28"/>
  <c r="AE924" i="28" s="1"/>
  <c r="AD852" i="28"/>
  <c r="AE852" i="28" s="1"/>
  <c r="AD883" i="28"/>
  <c r="AE883" i="28" s="1"/>
  <c r="AD922" i="28"/>
  <c r="AE922" i="28" s="1"/>
  <c r="AD933" i="28"/>
  <c r="AE933" i="28" s="1"/>
  <c r="AD550" i="28"/>
  <c r="AE550" i="28" s="1"/>
  <c r="AD642" i="28"/>
  <c r="AE642" i="28" s="1"/>
  <c r="AD825" i="28"/>
  <c r="AE825" i="28" s="1"/>
  <c r="AD618" i="28"/>
  <c r="AE618" i="28" s="1"/>
  <c r="AD470" i="28"/>
  <c r="AE470" i="28" s="1"/>
  <c r="AD1531" i="28"/>
  <c r="AE1531" i="28" s="1"/>
  <c r="AD1576" i="28"/>
  <c r="AE1576" i="28" s="1"/>
  <c r="AD1394" i="28"/>
  <c r="AE1394" i="28" s="1"/>
  <c r="AD1342" i="28"/>
  <c r="AE1342" i="28" s="1"/>
  <c r="AD1270" i="28"/>
  <c r="AE1270" i="28" s="1"/>
  <c r="AD1186" i="28"/>
  <c r="AE1186" i="28" s="1"/>
  <c r="AD1206" i="28"/>
  <c r="AE1206" i="28" s="1"/>
  <c r="AD1119" i="28"/>
  <c r="AE1119" i="28" s="1"/>
  <c r="AD1073" i="28"/>
  <c r="AE1073" i="28" s="1"/>
  <c r="AD1202" i="28"/>
  <c r="AE1202" i="28" s="1"/>
  <c r="AD1116" i="28"/>
  <c r="AE1116" i="28" s="1"/>
  <c r="AD799" i="28"/>
  <c r="AE799" i="28" s="1"/>
  <c r="AD892" i="28"/>
  <c r="AE892" i="28" s="1"/>
  <c r="AD876" i="28"/>
  <c r="AE876" i="28" s="1"/>
  <c r="AD888" i="28"/>
  <c r="AE888" i="28" s="1"/>
  <c r="AD835" i="28"/>
  <c r="AE835" i="28" s="1"/>
  <c r="AD829" i="28"/>
  <c r="AE829" i="28" s="1"/>
  <c r="AD615" i="28"/>
  <c r="AE615" i="28" s="1"/>
  <c r="AD762" i="28"/>
  <c r="AE762" i="28" s="1"/>
  <c r="AD793" i="28"/>
  <c r="AE793" i="28" s="1"/>
  <c r="AD1585" i="28"/>
  <c r="AE1585" i="28" s="1"/>
  <c r="AD1501" i="28"/>
  <c r="AE1501" i="28" s="1"/>
  <c r="AD1529" i="28"/>
  <c r="AE1529" i="28" s="1"/>
  <c r="AD1512" i="28"/>
  <c r="AE1512" i="28" s="1"/>
  <c r="AD1319" i="28"/>
  <c r="AE1319" i="28" s="1"/>
  <c r="AD1335" i="28"/>
  <c r="AE1335" i="28" s="1"/>
  <c r="AD1281" i="28"/>
  <c r="AE1281" i="28" s="1"/>
  <c r="AD1183" i="28"/>
  <c r="AE1183" i="28" s="1"/>
  <c r="AD1025" i="28"/>
  <c r="AE1025" i="28" s="1"/>
  <c r="AD1002" i="28"/>
  <c r="AE1002" i="28" s="1"/>
  <c r="AD858" i="28"/>
  <c r="AE858" i="28" s="1"/>
  <c r="AD787" i="28"/>
  <c r="AE787" i="28" s="1"/>
  <c r="AD959" i="28"/>
  <c r="AE959" i="28" s="1"/>
  <c r="AD828" i="28"/>
  <c r="AE828" i="28" s="1"/>
  <c r="AD807" i="28"/>
  <c r="AE807" i="28" s="1"/>
  <c r="AD812" i="28"/>
  <c r="AE812" i="28" s="1"/>
  <c r="AD1538" i="28"/>
  <c r="AE1538" i="28" s="1"/>
  <c r="AD1515" i="28"/>
  <c r="AE1515" i="28" s="1"/>
  <c r="AD1542" i="28"/>
  <c r="AE1542" i="28" s="1"/>
  <c r="AD1518" i="28"/>
  <c r="AE1518" i="28" s="1"/>
  <c r="AD1479" i="28"/>
  <c r="AE1479" i="28" s="1"/>
  <c r="AD1480" i="28"/>
  <c r="AE1480" i="28" s="1"/>
  <c r="AD1303" i="28"/>
  <c r="AE1303" i="28" s="1"/>
  <c r="AD1596" i="28"/>
  <c r="AE1596" i="28" s="1"/>
  <c r="AD1567" i="28"/>
  <c r="AE1567" i="28" s="1"/>
  <c r="AD1586" i="28"/>
  <c r="AE1586" i="28" s="1"/>
  <c r="AD1536" i="28"/>
  <c r="AE1536" i="28" s="1"/>
  <c r="AD1522" i="28"/>
  <c r="AE1522" i="28" s="1"/>
  <c r="AD1474" i="28"/>
  <c r="AE1474" i="28" s="1"/>
  <c r="AD1413" i="28"/>
  <c r="AE1413" i="28" s="1"/>
  <c r="AD1500" i="28"/>
  <c r="AE1500" i="28" s="1"/>
  <c r="AD1370" i="28"/>
  <c r="AE1370" i="28" s="1"/>
  <c r="AD1412" i="28"/>
  <c r="AE1412" i="28" s="1"/>
  <c r="AD1405" i="28"/>
  <c r="AE1405" i="28" s="1"/>
  <c r="AD1327" i="28"/>
  <c r="AE1327" i="28" s="1"/>
  <c r="AD1276" i="28"/>
  <c r="AE1276" i="28" s="1"/>
  <c r="AD1371" i="28"/>
  <c r="AE1371" i="28" s="1"/>
  <c r="AD1291" i="28"/>
  <c r="AE1291" i="28" s="1"/>
  <c r="AD1552" i="28"/>
  <c r="AE1552" i="28" s="1"/>
  <c r="AD1583" i="28"/>
  <c r="AE1583" i="28" s="1"/>
  <c r="AD1564" i="28"/>
  <c r="AE1564" i="28" s="1"/>
  <c r="AD1494" i="28"/>
  <c r="AE1494" i="28" s="1"/>
  <c r="AD1598" i="28"/>
  <c r="AE1598" i="28" s="1"/>
  <c r="AD1473" i="28"/>
  <c r="AE1473" i="28" s="1"/>
  <c r="AD1551" i="28"/>
  <c r="AE1551" i="28" s="1"/>
  <c r="AD1510" i="28"/>
  <c r="AE1510" i="28" s="1"/>
  <c r="AD1446" i="28"/>
  <c r="AE1446" i="28" s="1"/>
  <c r="AD1548" i="28"/>
  <c r="AE1548" i="28" s="1"/>
  <c r="AD1477" i="28"/>
  <c r="AE1477" i="28" s="1"/>
  <c r="AD1402" i="28"/>
  <c r="AE1402" i="28" s="1"/>
  <c r="AD1410" i="28"/>
  <c r="AE1410" i="28" s="1"/>
  <c r="AD1391" i="28"/>
  <c r="AE1391" i="28" s="1"/>
  <c r="AD1315" i="28"/>
  <c r="AE1315" i="28" s="1"/>
  <c r="AD1361" i="28"/>
  <c r="AE1361" i="28" s="1"/>
  <c r="AD1345" i="28"/>
  <c r="AE1345" i="28" s="1"/>
  <c r="AD1381" i="28"/>
  <c r="AE1381" i="28" s="1"/>
  <c r="AD1305" i="28"/>
  <c r="AE1305" i="28" s="1"/>
  <c r="AD1268" i="28"/>
  <c r="AE1268" i="28" s="1"/>
  <c r="AD1263" i="28"/>
  <c r="AE1263" i="28" s="1"/>
  <c r="AD1264" i="28"/>
  <c r="AE1264" i="28" s="1"/>
  <c r="AD1210" i="28"/>
  <c r="AE1210" i="28" s="1"/>
  <c r="AD1199" i="28"/>
  <c r="AE1199" i="28" s="1"/>
  <c r="AD1079" i="28"/>
  <c r="AE1079" i="28" s="1"/>
  <c r="AD1247" i="28"/>
  <c r="AE1247" i="28" s="1"/>
  <c r="AD1155" i="28"/>
  <c r="AE1155" i="28" s="1"/>
  <c r="AD1041" i="28"/>
  <c r="AE1041" i="28" s="1"/>
  <c r="AD1209" i="28"/>
  <c r="AE1209" i="28" s="1"/>
  <c r="AD1138" i="28"/>
  <c r="AE1138" i="28" s="1"/>
  <c r="AD1163" i="28"/>
  <c r="AE1163" i="28" s="1"/>
  <c r="AD1105" i="28"/>
  <c r="AE1105" i="28" s="1"/>
  <c r="AD958" i="28"/>
  <c r="AD1115" i="28"/>
  <c r="AE1115" i="28" s="1"/>
  <c r="AD1117" i="28"/>
  <c r="AE1117" i="28" s="1"/>
  <c r="AD966" i="28"/>
  <c r="AE966" i="28" s="1"/>
  <c r="AD980" i="28"/>
  <c r="AE980" i="28" s="1"/>
  <c r="AD986" i="28"/>
  <c r="AE986" i="28" s="1"/>
  <c r="AD1006" i="28"/>
  <c r="AE1006" i="28" s="1"/>
  <c r="AD891" i="28"/>
  <c r="AE891" i="28" s="1"/>
  <c r="AD1032" i="28"/>
  <c r="AE1032" i="28" s="1"/>
  <c r="AD848" i="28"/>
  <c r="AE848" i="28" s="1"/>
  <c r="AD908" i="28"/>
  <c r="AE908" i="28" s="1"/>
  <c r="AD920" i="28"/>
  <c r="AD976" i="28"/>
  <c r="AE976" i="28" s="1"/>
  <c r="AD911" i="28"/>
  <c r="AE911" i="28" s="1"/>
  <c r="AD840" i="28"/>
  <c r="AE840" i="28" s="1"/>
  <c r="AD867" i="28"/>
  <c r="AE867" i="28" s="1"/>
  <c r="AD871" i="28"/>
  <c r="AE871" i="28" s="1"/>
  <c r="AD910" i="28"/>
  <c r="AE910" i="28" s="1"/>
  <c r="AD889" i="28"/>
  <c r="AE889" i="28" s="1"/>
  <c r="AD842" i="28"/>
  <c r="AE842" i="28" s="1"/>
  <c r="AD682" i="28"/>
  <c r="AE682" i="28" s="1"/>
  <c r="AD659" i="28"/>
  <c r="AE659" i="28" s="1"/>
  <c r="AD501" i="28"/>
  <c r="AE501" i="28" s="1"/>
  <c r="AD730" i="28"/>
  <c r="AE730" i="28" s="1"/>
  <c r="AD641" i="28"/>
  <c r="AE641" i="28" s="1"/>
  <c r="AD645" i="28"/>
  <c r="AE645" i="28" s="1"/>
  <c r="AD575" i="28"/>
  <c r="AE575" i="28" s="1"/>
  <c r="AD599" i="28"/>
  <c r="AE599" i="28" s="1"/>
  <c r="AD500" i="28"/>
  <c r="AE500" i="28" s="1"/>
  <c r="AD541" i="28"/>
  <c r="AE541" i="28" s="1"/>
  <c r="AD523" i="28"/>
  <c r="AE523" i="28" s="1"/>
  <c r="AD611" i="28"/>
  <c r="AE611" i="28" s="1"/>
  <c r="AD594" i="28"/>
  <c r="AE594" i="28" s="1"/>
  <c r="AD507" i="28"/>
  <c r="AE507" i="28" s="1"/>
  <c r="AD546" i="28"/>
  <c r="AE546" i="28" s="1"/>
  <c r="AD537" i="28"/>
  <c r="AE537" i="28" s="1"/>
  <c r="AD218" i="28"/>
  <c r="AE218" i="28" s="1"/>
  <c r="AD348" i="28"/>
  <c r="AE348" i="28" s="1"/>
  <c r="AD307" i="28"/>
  <c r="AE307" i="28" s="1"/>
  <c r="AD397" i="28"/>
  <c r="AE397" i="28" s="1"/>
  <c r="AD758" i="28"/>
  <c r="AE758" i="28" s="1"/>
  <c r="AD705" i="28"/>
  <c r="AE705" i="28" s="1"/>
  <c r="AD646" i="28"/>
  <c r="AE646" i="28" s="1"/>
  <c r="AD789" i="28"/>
  <c r="AE789" i="28" s="1"/>
  <c r="AD563" i="28"/>
  <c r="AE563" i="28" s="1"/>
  <c r="AD617" i="28"/>
  <c r="AE617" i="28" s="1"/>
  <c r="AD691" i="28"/>
  <c r="AE691" i="28" s="1"/>
  <c r="AD424" i="28"/>
  <c r="AE424" i="28" s="1"/>
  <c r="AD473" i="28"/>
  <c r="AE473" i="28" s="1"/>
  <c r="AD339" i="28"/>
  <c r="AE339" i="28" s="1"/>
  <c r="AD540" i="28"/>
  <c r="AE540" i="28" s="1"/>
  <c r="AD602" i="28"/>
  <c r="AE602" i="28" s="1"/>
  <c r="AD492" i="28"/>
  <c r="AE492" i="28" s="1"/>
  <c r="AD206" i="28"/>
  <c r="AE206" i="28" s="1"/>
  <c r="AD952" i="28"/>
  <c r="AE952" i="28" s="1"/>
  <c r="AD304" i="28"/>
  <c r="AE304" i="28" s="1"/>
  <c r="AD556" i="28"/>
  <c r="AE556" i="28" s="1"/>
  <c r="AD587" i="28"/>
  <c r="AE587" i="28" s="1"/>
  <c r="AD647" i="28"/>
  <c r="AE647" i="28" s="1"/>
  <c r="AD525" i="28"/>
  <c r="AE525" i="28" s="1"/>
  <c r="AD471" i="28"/>
  <c r="AE471" i="28" s="1"/>
  <c r="AD480" i="28"/>
  <c r="AE480" i="28" s="1"/>
  <c r="AD590" i="28"/>
  <c r="AE590" i="28" s="1"/>
  <c r="AD388" i="28"/>
  <c r="AE388" i="28" s="1"/>
  <c r="AD457" i="28"/>
  <c r="AE457" i="28" s="1"/>
  <c r="AD474" i="28"/>
  <c r="AE474" i="28" s="1"/>
  <c r="AD200" i="28"/>
  <c r="AE200" i="28" s="1"/>
  <c r="AD580" i="28"/>
  <c r="AE580" i="28" s="1"/>
  <c r="AD776" i="28"/>
  <c r="AE776" i="28" s="1"/>
  <c r="AD624" i="28"/>
  <c r="AE624" i="28" s="1"/>
  <c r="AD482" i="28"/>
  <c r="AE482" i="28" s="1"/>
  <c r="AD620" i="28"/>
  <c r="AE620" i="28" s="1"/>
  <c r="AD465" i="28"/>
  <c r="AE465" i="28" s="1"/>
  <c r="AD704" i="28"/>
  <c r="AE704" i="28" s="1"/>
  <c r="AD610" i="28"/>
  <c r="AE610" i="28" s="1"/>
  <c r="AD625" i="28"/>
  <c r="AE625" i="28" s="1"/>
  <c r="AD606" i="28"/>
  <c r="AE606" i="28" s="1"/>
  <c r="AD506" i="28"/>
  <c r="AE506" i="28" s="1"/>
  <c r="AD441" i="28"/>
  <c r="AE441" i="28" s="1"/>
  <c r="AD579" i="28"/>
  <c r="AE579" i="28" s="1"/>
  <c r="AD485" i="28"/>
  <c r="AE485" i="28" s="1"/>
  <c r="AD379" i="28"/>
  <c r="AE379" i="28" s="1"/>
  <c r="AD461" i="28"/>
  <c r="AE461" i="28" s="1"/>
  <c r="AD628" i="28"/>
  <c r="AE628" i="28" s="1"/>
  <c r="AD439" i="28"/>
  <c r="AE439" i="28" s="1"/>
  <c r="AD542" i="28"/>
  <c r="AE542" i="28" s="1"/>
  <c r="AD476" i="28"/>
  <c r="AE476" i="28" s="1"/>
  <c r="AD374" i="28"/>
  <c r="AE374" i="28" s="1"/>
  <c r="AD440" i="28"/>
  <c r="AE440" i="28" s="1"/>
  <c r="AD394" i="28"/>
  <c r="AE394" i="28" s="1"/>
  <c r="AD630" i="28"/>
  <c r="AE630" i="28" s="1"/>
  <c r="AD626" i="28"/>
  <c r="AE626" i="28" s="1"/>
  <c r="AD517" i="28"/>
  <c r="AE517" i="28" s="1"/>
  <c r="AD289" i="28"/>
  <c r="AE289" i="28" s="1"/>
  <c r="AD395" i="28"/>
  <c r="AE395" i="28" s="1"/>
  <c r="AD303" i="28"/>
  <c r="AE303" i="28" s="1"/>
  <c r="AD508" i="28"/>
  <c r="AE508" i="28" s="1"/>
  <c r="AD489" i="28"/>
  <c r="AE489" i="28" s="1"/>
  <c r="AD605" i="28"/>
  <c r="AE605" i="28" s="1"/>
  <c r="AD503" i="28"/>
  <c r="AE503" i="28" s="1"/>
  <c r="AD372" i="28"/>
  <c r="AE372" i="28" s="1"/>
  <c r="AD413" i="28"/>
  <c r="AE413" i="28" s="1"/>
  <c r="AD591" i="28"/>
  <c r="AE591" i="28" s="1"/>
  <c r="AD366" i="28"/>
  <c r="AE366" i="28" s="1"/>
  <c r="AD391" i="28"/>
  <c r="AE391" i="28" s="1"/>
  <c r="AD687" i="28"/>
  <c r="AE687" i="28" s="1"/>
  <c r="AD709" i="28"/>
  <c r="AE709" i="28" s="1"/>
  <c r="AD490" i="28"/>
  <c r="AE490" i="28" s="1"/>
  <c r="AD592" i="28"/>
  <c r="AE592" i="28" s="1"/>
  <c r="AD505" i="28"/>
  <c r="AE505" i="28" s="1"/>
  <c r="AD640" i="28"/>
  <c r="AE640" i="28" s="1"/>
  <c r="AD387" i="28"/>
  <c r="AE387" i="28" s="1"/>
  <c r="AD467" i="28"/>
  <c r="AE467" i="28" s="1"/>
  <c r="AD548" i="28"/>
  <c r="AE548" i="28" s="1"/>
  <c r="AD434" i="28"/>
  <c r="AE434" i="28" s="1"/>
  <c r="AD562" i="28"/>
  <c r="AE562" i="28" s="1"/>
  <c r="AD692" i="28"/>
  <c r="AE692" i="28" s="1"/>
  <c r="AD814" i="28"/>
  <c r="AE814" i="28" s="1"/>
  <c r="AD398" i="28"/>
  <c r="AE398" i="28" s="1"/>
  <c r="AD225" i="28"/>
  <c r="AD396" i="28"/>
  <c r="AE396" i="28" s="1"/>
  <c r="AD216" i="28"/>
  <c r="AE216" i="28" s="1"/>
  <c r="AD417" i="28"/>
  <c r="AE417" i="28" s="1"/>
  <c r="AD220" i="28"/>
  <c r="AE220" i="28" s="1"/>
  <c r="AD530" i="28"/>
  <c r="AE530" i="28" s="1"/>
  <c r="AD312" i="28"/>
  <c r="AE312" i="28" s="1"/>
  <c r="AD224" i="28"/>
  <c r="AE224" i="28" s="1"/>
  <c r="AD278" i="28"/>
  <c r="AE278" i="28" s="1"/>
  <c r="AD334" i="28"/>
  <c r="AE334" i="28" s="1"/>
  <c r="AD524" i="28"/>
  <c r="AE524" i="28" s="1"/>
  <c r="AD188" i="28"/>
  <c r="AE188" i="28" s="1"/>
  <c r="AD194" i="28"/>
  <c r="AE194" i="28" s="1"/>
  <c r="AD364" i="28"/>
  <c r="AE364" i="28" s="1"/>
  <c r="AD472" i="28"/>
  <c r="AE472" i="28" s="1"/>
  <c r="AD362" i="28"/>
  <c r="AE362" i="28" s="1"/>
  <c r="AD338" i="28"/>
  <c r="AE338" i="28" s="1"/>
  <c r="AD574" i="28"/>
  <c r="AE574" i="28" s="1"/>
  <c r="AD425" i="28"/>
  <c r="AE425" i="28" s="1"/>
  <c r="AD322" i="28"/>
  <c r="AE322" i="28" s="1"/>
  <c r="AD140" i="28"/>
  <c r="AE140" i="28" s="1"/>
  <c r="AD378" i="28"/>
  <c r="AE378" i="28" s="1"/>
  <c r="AD534" i="28"/>
  <c r="AE534" i="28" s="1"/>
  <c r="AD512" i="28"/>
  <c r="AE512" i="28" s="1"/>
  <c r="AD627" i="28"/>
  <c r="AE627" i="28" s="1"/>
  <c r="AD454" i="28"/>
  <c r="AE454" i="28" s="1"/>
  <c r="AD376" i="28"/>
  <c r="AE376" i="28" s="1"/>
  <c r="AD341" i="28"/>
  <c r="AE341" i="28" s="1"/>
  <c r="AD373" i="28"/>
  <c r="AE373" i="28" s="1"/>
  <c r="AD336" i="28"/>
  <c r="AE336" i="28" s="1"/>
  <c r="AD511" i="28"/>
  <c r="AE511" i="28" s="1"/>
  <c r="AD782" i="28"/>
  <c r="AE782" i="28" s="1"/>
  <c r="AD686" i="28"/>
  <c r="AE686" i="28" s="1"/>
  <c r="AD670" i="28"/>
  <c r="AE670" i="28" s="1"/>
  <c r="AD786" i="28"/>
  <c r="AE786" i="28" s="1"/>
  <c r="AD755" i="28"/>
  <c r="AE755" i="28" s="1"/>
  <c r="AD558" i="28"/>
  <c r="AE558" i="28" s="1"/>
  <c r="AD667" i="28"/>
  <c r="AE667" i="28" s="1"/>
  <c r="AD483" i="28"/>
  <c r="AE483" i="28" s="1"/>
  <c r="AD584" i="28"/>
  <c r="AE584" i="28" s="1"/>
  <c r="AD477" i="28"/>
  <c r="AE477" i="28" s="1"/>
  <c r="AD609" i="28"/>
  <c r="AE609" i="28" s="1"/>
  <c r="W561" i="28"/>
  <c r="X561" i="28" s="1"/>
  <c r="Y561" i="28" s="1"/>
  <c r="AC561" i="28" s="1"/>
  <c r="AD381" i="28"/>
  <c r="AE381" i="28" s="1"/>
  <c r="AD418" i="28"/>
  <c r="AE418" i="28" s="1"/>
  <c r="AD578" i="28"/>
  <c r="AE578" i="28" s="1"/>
  <c r="AD494" i="28"/>
  <c r="AE494" i="28" s="1"/>
  <c r="AD448" i="28"/>
  <c r="AE448" i="28" s="1"/>
  <c r="AD604" i="28"/>
  <c r="AE604" i="28" s="1"/>
  <c r="AD519" i="28"/>
  <c r="AE519" i="28" s="1"/>
  <c r="AD317" i="28"/>
  <c r="AD581" i="28"/>
  <c r="AE581" i="28" s="1"/>
  <c r="AD657" i="28"/>
  <c r="AE657" i="28" s="1"/>
  <c r="AD380" i="28"/>
  <c r="AE380" i="28" s="1"/>
  <c r="AD411" i="28"/>
  <c r="AE411" i="28" s="1"/>
  <c r="AD337" i="28"/>
  <c r="AE337" i="28" s="1"/>
  <c r="AD603" i="28"/>
  <c r="AE603" i="28" s="1"/>
  <c r="AD573" i="28"/>
  <c r="AE573" i="28" s="1"/>
  <c r="AD696" i="28"/>
  <c r="AE696" i="28" s="1"/>
  <c r="AD539" i="28"/>
  <c r="AE539" i="28" s="1"/>
  <c r="AD588" i="28"/>
  <c r="AE588" i="28" s="1"/>
  <c r="AD514" i="28"/>
  <c r="AE514" i="28" s="1"/>
  <c r="AD600" i="28"/>
  <c r="AE600" i="28" s="1"/>
  <c r="AD577" i="28"/>
  <c r="AE577" i="28" s="1"/>
  <c r="AD635" i="28"/>
  <c r="AE635" i="28" s="1"/>
  <c r="AD385" i="28"/>
  <c r="AE385" i="28" s="1"/>
  <c r="AD451" i="28"/>
  <c r="AE451" i="28" s="1"/>
  <c r="AD528" i="28"/>
  <c r="AE528" i="28" s="1"/>
  <c r="AD803" i="28"/>
  <c r="AE803" i="28" s="1"/>
  <c r="AD717" i="28"/>
  <c r="AE717" i="28" s="1"/>
  <c r="AD650" i="28"/>
  <c r="AE650" i="28" s="1"/>
  <c r="AD601" i="28"/>
  <c r="AE601" i="28" s="1"/>
  <c r="AD551" i="28"/>
  <c r="AE551" i="28" s="1"/>
  <c r="AD674" i="28"/>
  <c r="AE674" i="28" s="1"/>
  <c r="AD442" i="28"/>
  <c r="AE442" i="28" s="1"/>
  <c r="AD493" i="28"/>
  <c r="AE493" i="28" s="1"/>
  <c r="AD568" i="28"/>
  <c r="AE568" i="28" s="1"/>
  <c r="AD426" i="28"/>
  <c r="AE426" i="28" s="1"/>
  <c r="AD518" i="28"/>
  <c r="AE518" i="28" s="1"/>
  <c r="AD427" i="28"/>
  <c r="AE427" i="28" s="1"/>
  <c r="AD792" i="28"/>
  <c r="AE792" i="28" s="1"/>
  <c r="AD678" i="28"/>
  <c r="AE678" i="28" s="1"/>
  <c r="AD685" i="28"/>
  <c r="AE685" i="28" s="1"/>
  <c r="AD648" i="28"/>
  <c r="AE648" i="28" s="1"/>
  <c r="AD637" i="28"/>
  <c r="AE637" i="28" s="1"/>
  <c r="AD596" i="28"/>
  <c r="AE596" i="28" s="1"/>
  <c r="AD447" i="28"/>
  <c r="AE447" i="28" s="1"/>
  <c r="AD516" i="28"/>
  <c r="AE516" i="28" s="1"/>
  <c r="AD655" i="28"/>
  <c r="AE655" i="28" s="1"/>
  <c r="AD549" i="28"/>
  <c r="AE549" i="28" s="1"/>
  <c r="AD450" i="28"/>
  <c r="AE450" i="28" s="1"/>
  <c r="AD509" i="28"/>
  <c r="AE509" i="28" s="1"/>
  <c r="AD571" i="28"/>
  <c r="AE571" i="28" s="1"/>
  <c r="AD400" i="28"/>
  <c r="AE400" i="28" s="1"/>
  <c r="AD351" i="28"/>
  <c r="AE351" i="28" s="1"/>
  <c r="AD343" i="28"/>
  <c r="AE343" i="28" s="1"/>
  <c r="AD679" i="28"/>
  <c r="AE679" i="28" s="1"/>
  <c r="AD671" i="28"/>
  <c r="AE671" i="28" s="1"/>
  <c r="AD607" i="28"/>
  <c r="AE607" i="28" s="1"/>
  <c r="AD479" i="28"/>
  <c r="AE479" i="28" s="1"/>
  <c r="AD593" i="28"/>
  <c r="AE593" i="28" s="1"/>
  <c r="AD496" i="28"/>
  <c r="AE496" i="28" s="1"/>
  <c r="AD666" i="28"/>
  <c r="AE666" i="28" s="1"/>
  <c r="AD554" i="28"/>
  <c r="AE554" i="28" s="1"/>
  <c r="AD570" i="28"/>
  <c r="AE570" i="28" s="1"/>
  <c r="AD456" i="28"/>
  <c r="AE456" i="28" s="1"/>
  <c r="AD358" i="28"/>
  <c r="AE358" i="28" s="1"/>
  <c r="AD305" i="28"/>
  <c r="AE305" i="28" s="1"/>
  <c r="AD553" i="28"/>
  <c r="AE553" i="28" s="1"/>
  <c r="AD433" i="28"/>
  <c r="AE433" i="28" s="1"/>
  <c r="AD633" i="28"/>
  <c r="AE633" i="28" s="1"/>
  <c r="AD421" i="28"/>
  <c r="AE421" i="28" s="1"/>
  <c r="AD565" i="28"/>
  <c r="AE565" i="28" s="1"/>
  <c r="AD543" i="28"/>
  <c r="AE543" i="28" s="1"/>
  <c r="AD982" i="28"/>
  <c r="AE982" i="28" s="1"/>
  <c r="AD408" i="28"/>
  <c r="AE408" i="28" s="1"/>
  <c r="AD203" i="28"/>
  <c r="AE203" i="28" s="1"/>
  <c r="AD199" i="28"/>
  <c r="AE199" i="28" s="1"/>
  <c r="AD204" i="28"/>
  <c r="AE204" i="28" s="1"/>
  <c r="AD365" i="28"/>
  <c r="AE365" i="28" s="1"/>
  <c r="AD221" i="28"/>
  <c r="AE221" i="28" s="1"/>
  <c r="AD383" i="28"/>
  <c r="AE383" i="28" s="1"/>
  <c r="AD422" i="28"/>
  <c r="AE422" i="28" s="1"/>
  <c r="AD363" i="28"/>
  <c r="AE363" i="28" s="1"/>
  <c r="AD335" i="28"/>
  <c r="AE335" i="28" s="1"/>
  <c r="AD445" i="28"/>
  <c r="AE445" i="28" s="1"/>
  <c r="AD386" i="28"/>
  <c r="AE386" i="28" s="1"/>
  <c r="AD521" i="28"/>
  <c r="AE521" i="28" s="1"/>
  <c r="AD710" i="28"/>
  <c r="AE710" i="28" s="1"/>
  <c r="AD621" i="28"/>
  <c r="AE621" i="28" s="1"/>
  <c r="AD660" i="28"/>
  <c r="AE660" i="28" s="1"/>
  <c r="AD715" i="28"/>
  <c r="AE715" i="28" s="1"/>
  <c r="AD718" i="28"/>
  <c r="AE718" i="28" s="1"/>
  <c r="AD930" i="28"/>
  <c r="AE930" i="28" s="1"/>
  <c r="AD843" i="28"/>
  <c r="AE843" i="28" s="1"/>
  <c r="AD950" i="28"/>
  <c r="AE950" i="28" s="1"/>
  <c r="AD800" i="28"/>
  <c r="AE800" i="28" s="1"/>
  <c r="AD1151" i="28"/>
  <c r="AE1151" i="28" s="1"/>
  <c r="AD1036" i="28"/>
  <c r="AE1036" i="28" s="1"/>
  <c r="AD1125" i="28"/>
  <c r="AE1125" i="28" s="1"/>
  <c r="AD1142" i="28"/>
  <c r="AE1142" i="28" s="1"/>
  <c r="AD1240" i="28"/>
  <c r="AE1240" i="28" s="1"/>
  <c r="AD1265" i="28"/>
  <c r="AD1354" i="28"/>
  <c r="AE1354" i="28" s="1"/>
  <c r="AD1393" i="28"/>
  <c r="AE1393" i="28" s="1"/>
  <c r="AD1430" i="28"/>
  <c r="AE1430" i="28" s="1"/>
  <c r="AD1475" i="28"/>
  <c r="AE1475" i="28" s="1"/>
  <c r="AD1467" i="28"/>
  <c r="AE1467" i="28" s="1"/>
  <c r="AD1530" i="28"/>
  <c r="AE1530" i="28" s="1"/>
  <c r="AD280" i="28"/>
  <c r="AE280" i="28" s="1"/>
  <c r="AD94" i="28"/>
  <c r="AE94" i="28" s="1"/>
  <c r="AD58" i="28"/>
  <c r="AE58" i="28" s="1"/>
  <c r="AD320" i="28"/>
  <c r="AE320" i="28" s="1"/>
  <c r="AD219" i="28"/>
  <c r="AE219" i="28" s="1"/>
  <c r="AD160" i="28"/>
  <c r="AE160" i="28" s="1"/>
  <c r="AD66" i="28"/>
  <c r="AE66" i="28" s="1"/>
  <c r="AD260" i="28"/>
  <c r="AE260" i="28" s="1"/>
  <c r="AD131" i="28"/>
  <c r="AE131" i="28" s="1"/>
  <c r="AD230" i="28"/>
  <c r="AE230" i="28" s="1"/>
  <c r="AD86" i="28"/>
  <c r="AE86" i="28" s="1"/>
  <c r="AD165" i="28"/>
  <c r="AE165" i="28" s="1"/>
  <c r="AD27" i="28"/>
  <c r="AE27" i="28" s="1"/>
  <c r="AD137" i="28"/>
  <c r="AE137" i="28" s="1"/>
  <c r="AD112" i="28"/>
  <c r="AE112" i="28" s="1"/>
  <c r="AD176" i="28"/>
  <c r="AE176" i="28" s="1"/>
  <c r="AD31" i="28"/>
  <c r="AE31" i="28" s="1"/>
  <c r="AD560" i="28"/>
  <c r="AE560" i="28" s="1"/>
  <c r="AD449" i="28"/>
  <c r="AE449" i="28" s="1"/>
  <c r="AD377" i="28"/>
  <c r="AE377" i="28" s="1"/>
  <c r="AD404" i="28"/>
  <c r="AE404" i="28" s="1"/>
  <c r="AD195" i="28"/>
  <c r="AE195" i="28" s="1"/>
  <c r="AD361" i="28"/>
  <c r="AE361" i="28" s="1"/>
  <c r="AD187" i="28"/>
  <c r="AD371" i="28"/>
  <c r="AE371" i="28" s="1"/>
  <c r="AD405" i="28"/>
  <c r="AE405" i="28" s="1"/>
  <c r="AD352" i="28"/>
  <c r="AE352" i="28" s="1"/>
  <c r="AD614" i="28"/>
  <c r="AE614" i="28" s="1"/>
  <c r="AD389" i="28"/>
  <c r="AE389" i="28" s="1"/>
  <c r="AD486" i="28"/>
  <c r="AE486" i="28" s="1"/>
  <c r="AD583" i="28"/>
  <c r="AE583" i="28" s="1"/>
  <c r="AD463" i="28"/>
  <c r="AE463" i="28" s="1"/>
  <c r="AD663" i="28"/>
  <c r="AE663" i="28" s="1"/>
  <c r="AD460" i="28"/>
  <c r="AE460" i="28" s="1"/>
  <c r="AD701" i="28"/>
  <c r="AE701" i="28" s="1"/>
  <c r="AD853" i="28"/>
  <c r="AE853" i="28" s="1"/>
  <c r="AD866" i="28"/>
  <c r="AE866" i="28" s="1"/>
  <c r="AD961" i="28"/>
  <c r="AE961" i="28" s="1"/>
  <c r="AD1043" i="28"/>
  <c r="AE1043" i="28" s="1"/>
  <c r="AD1153" i="28"/>
  <c r="AE1153" i="28" s="1"/>
  <c r="AD1167" i="28"/>
  <c r="AE1167" i="28" s="1"/>
  <c r="AD1233" i="28"/>
  <c r="AE1233" i="28" s="1"/>
  <c r="AD1161" i="28"/>
  <c r="AE1161" i="28" s="1"/>
  <c r="AD1277" i="28"/>
  <c r="AE1277" i="28" s="1"/>
  <c r="AD1372" i="28"/>
  <c r="AE1372" i="28" s="1"/>
  <c r="AD1369" i="28"/>
  <c r="AE1369" i="28" s="1"/>
  <c r="AD1383" i="28"/>
  <c r="AE1383" i="28" s="1"/>
  <c r="AD1502" i="28"/>
  <c r="AE1502" i="28" s="1"/>
  <c r="AD1482" i="28"/>
  <c r="AE1482" i="28" s="1"/>
  <c r="AD1498" i="28"/>
  <c r="AE1498" i="28" s="1"/>
  <c r="AD1545" i="28"/>
  <c r="AE1545" i="28" s="1"/>
  <c r="AD118" i="28"/>
  <c r="AE118" i="28" s="1"/>
  <c r="AD205" i="28"/>
  <c r="AE205" i="28" s="1"/>
  <c r="AD52" i="28"/>
  <c r="AE52" i="28" s="1"/>
  <c r="AD29" i="28"/>
  <c r="AE29" i="28" s="1"/>
  <c r="AD295" i="28"/>
  <c r="AE295" i="28" s="1"/>
  <c r="AD265" i="28"/>
  <c r="AE265" i="28" s="1"/>
  <c r="AD211" i="28"/>
  <c r="AE211" i="28" s="1"/>
  <c r="AD357" i="28"/>
  <c r="AE357" i="28" s="1"/>
  <c r="AD172" i="28"/>
  <c r="AE172" i="28" s="1"/>
  <c r="AD103" i="28"/>
  <c r="AE103" i="28" s="1"/>
  <c r="AD34" i="28"/>
  <c r="AE34" i="28" s="1"/>
  <c r="AD106" i="28"/>
  <c r="AE106" i="28" s="1"/>
  <c r="AD7" i="28"/>
  <c r="AE7" i="28" s="1"/>
  <c r="AD258" i="28"/>
  <c r="AE258" i="28" s="1"/>
  <c r="AD128" i="28"/>
  <c r="AE128" i="28" s="1"/>
  <c r="AD125" i="28"/>
  <c r="AE125" i="28" s="1"/>
  <c r="AD24" i="28"/>
  <c r="AE24" i="28" s="1"/>
  <c r="AD244" i="28"/>
  <c r="AE244" i="28" s="1"/>
  <c r="AD104" i="28"/>
  <c r="AE104" i="28" s="1"/>
  <c r="AD117" i="28"/>
  <c r="AE117" i="28" s="1"/>
  <c r="AD138" i="28"/>
  <c r="AE138" i="28" s="1"/>
  <c r="AD245" i="28"/>
  <c r="AE245" i="28" s="1"/>
  <c r="AD41" i="28"/>
  <c r="AE41" i="28" s="1"/>
  <c r="AD177" i="28"/>
  <c r="AE177" i="28" s="1"/>
  <c r="AD359" i="28"/>
  <c r="AE359" i="28" s="1"/>
  <c r="AD367" i="28"/>
  <c r="AE367" i="28" s="1"/>
  <c r="AD282" i="28"/>
  <c r="AE282" i="28" s="1"/>
  <c r="AD186" i="28"/>
  <c r="AE186" i="28" s="1"/>
  <c r="AD110" i="28"/>
  <c r="AE110" i="28" s="1"/>
  <c r="AD384" i="28"/>
  <c r="AE384" i="28" s="1"/>
  <c r="AD266" i="28"/>
  <c r="AE266" i="28" s="1"/>
  <c r="AD412" i="28"/>
  <c r="AE412" i="28" s="1"/>
  <c r="AD695" i="28"/>
  <c r="AE695" i="28" s="1"/>
  <c r="AD429" i="28"/>
  <c r="AE429" i="28" s="1"/>
  <c r="AD532" i="28"/>
  <c r="AE532" i="28" s="1"/>
  <c r="AD430" i="28"/>
  <c r="AE430" i="28" s="1"/>
  <c r="AD484" i="28"/>
  <c r="AE484" i="28" s="1"/>
  <c r="AD669" i="28"/>
  <c r="AE669" i="28" s="1"/>
  <c r="AD644" i="28"/>
  <c r="AE644" i="28" s="1"/>
  <c r="AD810" i="28"/>
  <c r="AE810" i="28" s="1"/>
  <c r="AD834" i="28"/>
  <c r="AE834" i="28" s="1"/>
  <c r="AD1045" i="28"/>
  <c r="AE1045" i="28" s="1"/>
  <c r="AD973" i="28"/>
  <c r="AE973" i="28" s="1"/>
  <c r="AD927" i="28"/>
  <c r="AE927" i="28" s="1"/>
  <c r="AD1101" i="28"/>
  <c r="AE1101" i="28" s="1"/>
  <c r="AD962" i="28"/>
  <c r="AE962" i="28" s="1"/>
  <c r="AD1168" i="28"/>
  <c r="AE1168" i="28" s="1"/>
  <c r="AD1193" i="28"/>
  <c r="AE1193" i="28" s="1"/>
  <c r="AD1347" i="28"/>
  <c r="AE1347" i="28" s="1"/>
  <c r="AD1284" i="28"/>
  <c r="AE1284" i="28" s="1"/>
  <c r="AD1289" i="28"/>
  <c r="AE1289" i="28" s="1"/>
  <c r="AD1388" i="28"/>
  <c r="AE1388" i="28" s="1"/>
  <c r="AD1525" i="28"/>
  <c r="AE1525" i="28" s="1"/>
  <c r="AD1408" i="28"/>
  <c r="AE1408" i="28" s="1"/>
  <c r="AD1535" i="28"/>
  <c r="AE1535" i="28" s="1"/>
  <c r="AD1592" i="28"/>
  <c r="AE1592" i="28" s="1"/>
  <c r="AD272" i="28"/>
  <c r="AE272" i="28" s="1"/>
  <c r="AD79" i="28"/>
  <c r="AE79" i="28" s="1"/>
  <c r="AD134" i="28"/>
  <c r="AE134" i="28" s="1"/>
  <c r="AD293" i="28"/>
  <c r="AE293" i="28" s="1"/>
  <c r="AD214" i="28"/>
  <c r="AE214" i="28" s="1"/>
  <c r="AD252" i="28"/>
  <c r="AE252" i="28" s="1"/>
  <c r="AD209" i="28"/>
  <c r="AE209" i="28" s="1"/>
  <c r="AD248" i="28"/>
  <c r="AE248" i="28" s="1"/>
  <c r="AD182" i="28"/>
  <c r="AE182" i="28" s="1"/>
  <c r="AD215" i="28"/>
  <c r="AE215" i="28" s="1"/>
  <c r="AD6" i="28"/>
  <c r="AE6" i="28" s="1"/>
  <c r="AD210" i="28"/>
  <c r="AE210" i="28" s="1"/>
  <c r="AD98" i="28"/>
  <c r="AE98" i="28" s="1"/>
  <c r="AD223" i="28"/>
  <c r="AE223" i="28" s="1"/>
  <c r="AD156" i="28"/>
  <c r="AE156" i="28" s="1"/>
  <c r="AD55" i="28"/>
  <c r="AE55" i="28" s="1"/>
  <c r="AD155" i="28"/>
  <c r="AE155" i="28" s="1"/>
  <c r="AD167" i="28"/>
  <c r="AE167" i="28" s="1"/>
  <c r="AD96" i="28"/>
  <c r="AE96" i="28" s="1"/>
  <c r="AD37" i="28"/>
  <c r="AE37" i="28" s="1"/>
  <c r="AD129" i="28"/>
  <c r="AE129" i="28" s="1"/>
  <c r="AD228" i="28"/>
  <c r="AE228" i="28" s="1"/>
  <c r="AD26" i="28"/>
  <c r="AE26" i="28" s="1"/>
  <c r="AD566" i="28"/>
  <c r="AE566" i="28" s="1"/>
  <c r="AD527" i="28"/>
  <c r="AE527" i="28" s="1"/>
  <c r="AD531" i="28"/>
  <c r="AE531" i="28" s="1"/>
  <c r="AD444" i="28"/>
  <c r="AE444" i="28" s="1"/>
  <c r="AD515" i="28"/>
  <c r="AE515" i="28" s="1"/>
  <c r="AD502" i="28"/>
  <c r="AE502" i="28" s="1"/>
  <c r="AD212" i="28"/>
  <c r="AE212" i="28" s="1"/>
  <c r="AD623" i="28"/>
  <c r="AE623" i="28" s="1"/>
  <c r="AD432" i="28"/>
  <c r="AE432" i="28" s="1"/>
  <c r="AD299" i="28"/>
  <c r="AE299" i="28" s="1"/>
  <c r="AD327" i="28"/>
  <c r="AE327" i="28" s="1"/>
  <c r="AD399" i="28"/>
  <c r="AE399" i="28" s="1"/>
  <c r="AD382" i="28"/>
  <c r="AE382" i="28" s="1"/>
  <c r="AD328" i="28"/>
  <c r="AE328" i="28" s="1"/>
  <c r="AD345" i="28"/>
  <c r="AE345" i="28" s="1"/>
  <c r="AD319" i="28"/>
  <c r="AE319" i="28" s="1"/>
  <c r="AD369" i="28"/>
  <c r="AE369" i="28" s="1"/>
  <c r="AD180" i="28"/>
  <c r="AE180" i="28" s="1"/>
  <c r="AD90" i="28"/>
  <c r="AE90" i="28" s="1"/>
  <c r="AD185" i="28"/>
  <c r="AE185" i="28" s="1"/>
  <c r="AD285" i="28"/>
  <c r="AE285" i="28" s="1"/>
  <c r="AD308" i="28"/>
  <c r="AE308" i="28" s="1"/>
  <c r="AD443" i="28"/>
  <c r="AE443" i="28" s="1"/>
  <c r="AD453" i="28"/>
  <c r="AE453" i="28" s="1"/>
  <c r="AD586" i="28"/>
  <c r="AE586" i="28" s="1"/>
  <c r="AD464" i="28"/>
  <c r="AE464" i="28" s="1"/>
  <c r="AD522" i="28"/>
  <c r="AE522" i="28" s="1"/>
  <c r="AD761" i="28"/>
  <c r="AE761" i="28" s="1"/>
  <c r="AD676" i="28"/>
  <c r="AE676" i="28" s="1"/>
  <c r="AD748" i="28"/>
  <c r="AE748" i="28" s="1"/>
  <c r="AD870" i="28"/>
  <c r="AE870" i="28" s="1"/>
  <c r="AD936" i="28"/>
  <c r="AE936" i="28" s="1"/>
  <c r="AD981" i="28"/>
  <c r="AE981" i="28" s="1"/>
  <c r="AD949" i="28"/>
  <c r="AE949" i="28" s="1"/>
  <c r="AD1129" i="28"/>
  <c r="AE1129" i="28" s="1"/>
  <c r="AD1001" i="28"/>
  <c r="AE1001" i="28" s="1"/>
  <c r="AD1194" i="28"/>
  <c r="AE1194" i="28" s="1"/>
  <c r="AD1269" i="28"/>
  <c r="AE1269" i="28" s="1"/>
  <c r="AD1244" i="28"/>
  <c r="AE1244" i="28" s="1"/>
  <c r="AD1279" i="28"/>
  <c r="AE1279" i="28" s="1"/>
  <c r="AD1375" i="28"/>
  <c r="AD1407" i="28"/>
  <c r="AE1407" i="28" s="1"/>
  <c r="AD1580" i="28"/>
  <c r="AE1580" i="28" s="1"/>
  <c r="AD1442" i="28"/>
  <c r="AE1442" i="28" s="1"/>
  <c r="AD1559" i="28"/>
  <c r="AE1559" i="28" s="1"/>
  <c r="AD1544" i="28"/>
  <c r="AE1544" i="28" s="1"/>
  <c r="AD264" i="28"/>
  <c r="AE264" i="28" s="1"/>
  <c r="AD87" i="28"/>
  <c r="AE87" i="28" s="1"/>
  <c r="AD291" i="28"/>
  <c r="AE291" i="28" s="1"/>
  <c r="AD240" i="28"/>
  <c r="AE240" i="28" s="1"/>
  <c r="AD68" i="28"/>
  <c r="AE68" i="28" s="1"/>
  <c r="AD300" i="28"/>
  <c r="AE300" i="28" s="1"/>
  <c r="AD133" i="28"/>
  <c r="AE133" i="28" s="1"/>
  <c r="AD233" i="28"/>
  <c r="AE233" i="28" s="1"/>
  <c r="AD15" i="28"/>
  <c r="AD91" i="28"/>
  <c r="AE91" i="28" s="1"/>
  <c r="AD207" i="28"/>
  <c r="AE207" i="28" s="1"/>
  <c r="AD82" i="28"/>
  <c r="AE82" i="28" s="1"/>
  <c r="AD62" i="28"/>
  <c r="AE62" i="28" s="1"/>
  <c r="AD51" i="28"/>
  <c r="AE51" i="28" s="1"/>
  <c r="AD44" i="28"/>
  <c r="AE44" i="28" s="1"/>
  <c r="AD115" i="28"/>
  <c r="AE115" i="28" s="1"/>
  <c r="AD146" i="28"/>
  <c r="AE146" i="28" s="1"/>
  <c r="AD88" i="28"/>
  <c r="AE88" i="28" s="1"/>
  <c r="AD33" i="28"/>
  <c r="AE33" i="28" s="1"/>
  <c r="AD154" i="28"/>
  <c r="AE154" i="28" s="1"/>
  <c r="AD169" i="28"/>
  <c r="AE169" i="28" s="1"/>
  <c r="AD78" i="28"/>
  <c r="AE78" i="28" s="1"/>
  <c r="AD402" i="28"/>
  <c r="AE402" i="28" s="1"/>
  <c r="AD309" i="28"/>
  <c r="AE309" i="28" s="1"/>
  <c r="AD349" i="28"/>
  <c r="AE349" i="28" s="1"/>
  <c r="AD499" i="28"/>
  <c r="AE499" i="28" s="1"/>
  <c r="AD315" i="28"/>
  <c r="AE315" i="28" s="1"/>
  <c r="AD452" i="28"/>
  <c r="AE452" i="28" s="1"/>
  <c r="AD468" i="28"/>
  <c r="AE468" i="28" s="1"/>
  <c r="AD538" i="28"/>
  <c r="AE538" i="28" s="1"/>
  <c r="AD713" i="28"/>
  <c r="AE713" i="28" s="1"/>
  <c r="AD773" i="28"/>
  <c r="AE773" i="28" s="1"/>
  <c r="AD791" i="28"/>
  <c r="AE791" i="28" s="1"/>
  <c r="AD785" i="28"/>
  <c r="AE785" i="28" s="1"/>
  <c r="AD996" i="28"/>
  <c r="AE996" i="28" s="1"/>
  <c r="AD992" i="28"/>
  <c r="AE992" i="28" s="1"/>
  <c r="AD953" i="28"/>
  <c r="AE953" i="28" s="1"/>
  <c r="AD1126" i="28"/>
  <c r="AE1126" i="28" s="1"/>
  <c r="AD1044" i="28"/>
  <c r="AE1044" i="28" s="1"/>
  <c r="AD1235" i="28"/>
  <c r="AE1235" i="28" s="1"/>
  <c r="AD1208" i="28"/>
  <c r="AE1208" i="28" s="1"/>
  <c r="AD1224" i="28"/>
  <c r="AE1224" i="28" s="1"/>
  <c r="AD1267" i="28"/>
  <c r="AE1267" i="28" s="1"/>
  <c r="AD1336" i="28"/>
  <c r="AE1336" i="28" s="1"/>
  <c r="AD1448" i="28"/>
  <c r="AE1448" i="28" s="1"/>
  <c r="AD1449" i="28"/>
  <c r="AE1449" i="28" s="1"/>
  <c r="AD1508" i="28"/>
  <c r="AE1508" i="28" s="1"/>
  <c r="AD1520" i="28"/>
  <c r="AE1520" i="28" s="1"/>
  <c r="AD1547" i="28"/>
  <c r="AE1547" i="28" s="1"/>
  <c r="AD189" i="28"/>
  <c r="AE189" i="28" s="1"/>
  <c r="AD197" i="28"/>
  <c r="AE197" i="28" s="1"/>
  <c r="AD234" i="28"/>
  <c r="AE234" i="28" s="1"/>
  <c r="AD124" i="28"/>
  <c r="AE124" i="28" s="1"/>
  <c r="AD60" i="28"/>
  <c r="AE60" i="28" s="1"/>
  <c r="AD127" i="28"/>
  <c r="AE127" i="28" s="1"/>
  <c r="AD409" i="28"/>
  <c r="AE409" i="28" s="1"/>
  <c r="AD151" i="28"/>
  <c r="AE151" i="28" s="1"/>
  <c r="AD17" i="28"/>
  <c r="AE17" i="28" s="1"/>
  <c r="AD144" i="28"/>
  <c r="AE144" i="28" s="1"/>
  <c r="AD113" i="28"/>
  <c r="AE113" i="28" s="1"/>
  <c r="AD168" i="28"/>
  <c r="AE168" i="28" s="1"/>
  <c r="AD108" i="28"/>
  <c r="AE108" i="28" s="1"/>
  <c r="AD16" i="28"/>
  <c r="AE16" i="28" s="1"/>
  <c r="AD77" i="28"/>
  <c r="AE77" i="28" s="1"/>
  <c r="AD93" i="28"/>
  <c r="AE93" i="28" s="1"/>
  <c r="AD109" i="28"/>
  <c r="AE109" i="28" s="1"/>
  <c r="AD80" i="28"/>
  <c r="AE80" i="28" s="1"/>
  <c r="AD13" i="28"/>
  <c r="AE13" i="28" s="1"/>
  <c r="AD119" i="28"/>
  <c r="AE119" i="28" s="1"/>
  <c r="AD184" i="28"/>
  <c r="AE184" i="28" s="1"/>
  <c r="AD36" i="28"/>
  <c r="AE36" i="28" s="1"/>
  <c r="AD270" i="28"/>
  <c r="AE270" i="28" s="1"/>
  <c r="AD370" i="28"/>
  <c r="AE370" i="28" s="1"/>
  <c r="AD287" i="28"/>
  <c r="AE287" i="28" s="1"/>
  <c r="AD294" i="28"/>
  <c r="AE294" i="28" s="1"/>
  <c r="AD350" i="28"/>
  <c r="AE350" i="28" s="1"/>
  <c r="AD28" i="28"/>
  <c r="AE28" i="28" s="1"/>
  <c r="AD2" i="28"/>
  <c r="AE2" i="28" s="1"/>
  <c r="AD342" i="28"/>
  <c r="AE342" i="28" s="1"/>
  <c r="AD321" i="28"/>
  <c r="AE321" i="28" s="1"/>
  <c r="AD504" i="28"/>
  <c r="AE504" i="28" s="1"/>
  <c r="AD438" i="28"/>
  <c r="AE438" i="28" s="1"/>
  <c r="AD498" i="28"/>
  <c r="AE498" i="28" s="1"/>
  <c r="AD497" i="28"/>
  <c r="AE497" i="28" s="1"/>
  <c r="AD564" i="28"/>
  <c r="AE564" i="28" s="1"/>
  <c r="AD622" i="28"/>
  <c r="AE622" i="28" s="1"/>
  <c r="AD788" i="28"/>
  <c r="AE788" i="28" s="1"/>
  <c r="AD802" i="28"/>
  <c r="AE802" i="28" s="1"/>
  <c r="AD795" i="28"/>
  <c r="AE795" i="28" s="1"/>
  <c r="AD951" i="28"/>
  <c r="AE951" i="28" s="1"/>
  <c r="AD998" i="28"/>
  <c r="AE998" i="28" s="1"/>
  <c r="AD975" i="28"/>
  <c r="AE975" i="28" s="1"/>
  <c r="AD1150" i="28"/>
  <c r="AE1150" i="28" s="1"/>
  <c r="AD1120" i="28"/>
  <c r="AE1120" i="28" s="1"/>
  <c r="AD1109" i="28"/>
  <c r="AE1109" i="28" s="1"/>
  <c r="AD1212" i="28"/>
  <c r="AE1212" i="28" s="1"/>
  <c r="AD1257" i="28"/>
  <c r="AE1257" i="28" s="1"/>
  <c r="AD1309" i="28"/>
  <c r="AE1309" i="28" s="1"/>
  <c r="AD1392" i="28"/>
  <c r="AE1392" i="28" s="1"/>
  <c r="AD1422" i="28"/>
  <c r="AE1422" i="28" s="1"/>
  <c r="AD1420" i="28"/>
  <c r="AE1420" i="28" s="1"/>
  <c r="AD1556" i="28"/>
  <c r="AD1532" i="28"/>
  <c r="AE1532" i="28" s="1"/>
  <c r="AD1604" i="28"/>
  <c r="AE1604" i="28" s="1"/>
  <c r="AD171" i="28"/>
  <c r="AE171" i="28" s="1"/>
  <c r="AD275" i="28"/>
  <c r="AE275" i="28" s="1"/>
  <c r="AD54" i="28"/>
  <c r="AE54" i="28" s="1"/>
  <c r="AD166" i="28"/>
  <c r="AE166" i="28" s="1"/>
  <c r="AD247" i="28"/>
  <c r="AE247" i="28" s="1"/>
  <c r="AD73" i="28"/>
  <c r="AE73" i="28" s="1"/>
  <c r="AD302" i="28"/>
  <c r="AE302" i="28" s="1"/>
  <c r="AD121" i="28"/>
  <c r="AE121" i="28" s="1"/>
  <c r="AD347" i="28"/>
  <c r="AE347" i="28" s="1"/>
  <c r="AD70" i="28"/>
  <c r="AE70" i="28" s="1"/>
  <c r="AD97" i="28"/>
  <c r="AE97" i="28" s="1"/>
  <c r="AD47" i="28"/>
  <c r="AE47" i="28" s="1"/>
  <c r="AD267" i="28"/>
  <c r="AE267" i="28" s="1"/>
  <c r="AD227" i="28"/>
  <c r="AE227" i="28" s="1"/>
  <c r="AD101" i="28"/>
  <c r="AE101" i="28" s="1"/>
  <c r="AD65" i="28"/>
  <c r="AE65" i="28" s="1"/>
  <c r="AD114" i="28"/>
  <c r="AE114" i="28" s="1"/>
  <c r="AD42" i="28"/>
  <c r="AE42" i="28" s="1"/>
  <c r="AD526" i="28"/>
  <c r="AE526" i="28" s="1"/>
  <c r="AD323" i="28"/>
  <c r="AE323" i="28" s="1"/>
  <c r="AD360" i="28"/>
  <c r="AE360" i="28" s="1"/>
  <c r="AD325" i="28"/>
  <c r="AE325" i="28" s="1"/>
  <c r="AD491" i="28"/>
  <c r="AE491" i="28" s="1"/>
  <c r="AD46" i="28"/>
  <c r="AE46" i="28" s="1"/>
  <c r="AD261" i="28"/>
  <c r="AE261" i="28" s="1"/>
  <c r="AD415" i="28"/>
  <c r="AE415" i="28" s="1"/>
  <c r="AD331" i="28"/>
  <c r="AE331" i="28" s="1"/>
  <c r="AD510" i="28"/>
  <c r="AE510" i="28" s="1"/>
  <c r="AD446" i="28"/>
  <c r="AE446" i="28" s="1"/>
  <c r="AD455" i="28"/>
  <c r="AE455" i="28" s="1"/>
  <c r="AD544" i="28"/>
  <c r="AE544" i="28" s="1"/>
  <c r="AD703" i="28"/>
  <c r="AE703" i="28" s="1"/>
  <c r="AD629" i="28"/>
  <c r="AE629" i="28" s="1"/>
  <c r="AD811" i="28"/>
  <c r="AE811" i="28" s="1"/>
  <c r="AD841" i="28"/>
  <c r="AE841" i="28" s="1"/>
  <c r="AD869" i="28"/>
  <c r="AE869" i="28" s="1"/>
  <c r="AD979" i="28"/>
  <c r="AE979" i="28" s="1"/>
  <c r="AD1009" i="28"/>
  <c r="AE1009" i="28" s="1"/>
  <c r="AD914" i="28"/>
  <c r="AE914" i="28" s="1"/>
  <c r="AD1029" i="28"/>
  <c r="AE1029" i="28" s="1"/>
  <c r="AD1182" i="28"/>
  <c r="AE1182" i="28" s="1"/>
  <c r="AD1196" i="28"/>
  <c r="AE1196" i="28" s="1"/>
  <c r="AD1237" i="28"/>
  <c r="AE1237" i="28" s="1"/>
  <c r="AD1293" i="28"/>
  <c r="AE1293" i="28" s="1"/>
  <c r="AD1311" i="28"/>
  <c r="AE1311" i="28" s="1"/>
  <c r="AD1399" i="28"/>
  <c r="AE1399" i="28" s="1"/>
  <c r="AD1431" i="28"/>
  <c r="AE1431" i="28" s="1"/>
  <c r="AD1468" i="28"/>
  <c r="AE1468" i="28" s="1"/>
  <c r="AD1519" i="28"/>
  <c r="AE1519" i="28" s="1"/>
  <c r="AD1582" i="28"/>
  <c r="AE1582" i="28" s="1"/>
  <c r="AD239" i="28"/>
  <c r="AE239" i="28" s="1"/>
  <c r="AD164" i="28"/>
  <c r="AE164" i="28" s="1"/>
  <c r="AD95" i="28"/>
  <c r="AE95" i="28" s="1"/>
  <c r="AD48" i="28"/>
  <c r="AE48" i="28" s="1"/>
  <c r="AD162" i="28"/>
  <c r="AE162" i="28" s="1"/>
  <c r="AD10" i="28"/>
  <c r="AE10" i="28" s="1"/>
  <c r="AD201" i="28"/>
  <c r="AE201" i="28" s="1"/>
  <c r="AD242" i="28"/>
  <c r="AE242" i="28" s="1"/>
  <c r="AD290" i="28"/>
  <c r="AE290" i="28" s="1"/>
  <c r="AD297" i="28"/>
  <c r="AE297" i="28" s="1"/>
  <c r="AD23" i="28"/>
  <c r="AE23" i="28" s="1"/>
  <c r="AD45" i="28"/>
  <c r="AE45" i="28" s="1"/>
  <c r="AD236" i="28"/>
  <c r="AE236" i="28" s="1"/>
  <c r="AD53" i="28"/>
  <c r="AE53" i="28" s="1"/>
  <c r="AD256" i="28"/>
  <c r="AE256" i="28" s="1"/>
  <c r="AD257" i="28"/>
  <c r="AE257" i="28" s="1"/>
  <c r="AD50" i="28"/>
  <c r="AE50" i="28" s="1"/>
  <c r="AD71" i="28"/>
  <c r="AE71" i="28" s="1"/>
  <c r="AD56" i="28"/>
  <c r="AE56" i="28" s="1"/>
  <c r="AD43" i="28"/>
  <c r="AE43" i="28" s="1"/>
  <c r="AD4" i="28"/>
  <c r="AE4" i="28" s="1"/>
  <c r="AD356" i="28"/>
  <c r="AD406" i="28"/>
  <c r="AE406" i="28" s="1"/>
  <c r="AD281" i="28"/>
  <c r="AE281" i="28" s="1"/>
  <c r="AD262" i="28"/>
  <c r="AE262" i="28" s="1"/>
  <c r="AD191" i="28"/>
  <c r="AE191" i="28" s="1"/>
  <c r="AD208" i="28"/>
  <c r="AE208" i="28" s="1"/>
  <c r="AD340" i="28"/>
  <c r="AE340" i="28" s="1"/>
  <c r="AD274" i="28"/>
  <c r="AE274" i="28" s="1"/>
  <c r="AD273" i="28"/>
  <c r="AE273" i="28" s="1"/>
  <c r="AD276" i="28"/>
  <c r="AE276" i="28" s="1"/>
  <c r="AD354" i="28"/>
  <c r="AE354" i="28" s="1"/>
  <c r="AD675" i="28"/>
  <c r="AE675" i="28" s="1"/>
  <c r="AD481" i="28"/>
  <c r="AE481" i="28" s="1"/>
  <c r="AD458" i="28"/>
  <c r="AE458" i="28" s="1"/>
  <c r="AD597" i="28"/>
  <c r="AE597" i="28" s="1"/>
  <c r="AD764" i="28"/>
  <c r="AE764" i="28" s="1"/>
  <c r="AD636" i="28"/>
  <c r="AE636" i="28" s="1"/>
  <c r="AD672" i="28"/>
  <c r="AE672" i="28" s="1"/>
  <c r="AD712" i="28"/>
  <c r="AE712" i="28" s="1"/>
  <c r="AD774" i="28"/>
  <c r="AE774" i="28" s="1"/>
  <c r="AD990" i="28"/>
  <c r="AE990" i="28" s="1"/>
  <c r="AD1021" i="28"/>
  <c r="AE1021" i="28" s="1"/>
  <c r="AD926" i="28"/>
  <c r="AE926" i="28" s="1"/>
  <c r="AD1118" i="28"/>
  <c r="AE1118" i="28" s="1"/>
  <c r="AD1184" i="28"/>
  <c r="AE1184" i="28" s="1"/>
  <c r="AD1203" i="28"/>
  <c r="AE1203" i="28" s="1"/>
  <c r="AD1283" i="28"/>
  <c r="AE1283" i="28" s="1"/>
  <c r="AD1278" i="28"/>
  <c r="AE1278" i="28" s="1"/>
  <c r="AD1318" i="28"/>
  <c r="AE1318" i="28" s="1"/>
  <c r="AD1409" i="28"/>
  <c r="AE1409" i="28" s="1"/>
  <c r="AD1443" i="28"/>
  <c r="AE1443" i="28" s="1"/>
  <c r="AD1509" i="28"/>
  <c r="AD1489" i="28"/>
  <c r="AE1489" i="28" s="1"/>
  <c r="AD1584" i="28"/>
  <c r="AE1584" i="28" s="1"/>
  <c r="AD237" i="28"/>
  <c r="AE237" i="28" s="1"/>
  <c r="AD152" i="28"/>
  <c r="AE152" i="28" s="1"/>
  <c r="AD158" i="28"/>
  <c r="AE158" i="28" s="1"/>
  <c r="AD75" i="28"/>
  <c r="AE75" i="28" s="1"/>
  <c r="AD310" i="28"/>
  <c r="AE310" i="28" s="1"/>
  <c r="AD183" i="28"/>
  <c r="AE183" i="28" s="1"/>
  <c r="AD30" i="28"/>
  <c r="AE30" i="28" s="1"/>
  <c r="AD314" i="28"/>
  <c r="AE314" i="28" s="1"/>
  <c r="AD20" i="28"/>
  <c r="AE20" i="28" s="1"/>
  <c r="AD198" i="28"/>
  <c r="AE198" i="28" s="1"/>
  <c r="AD193" i="28"/>
  <c r="AE193" i="28" s="1"/>
  <c r="AD259" i="28"/>
  <c r="AE259" i="28" s="1"/>
  <c r="AD296" i="28"/>
  <c r="AE296" i="28" s="1"/>
  <c r="AD283" i="28"/>
  <c r="AE283" i="28" s="1"/>
  <c r="AD8" i="28"/>
  <c r="AE8" i="28" s="1"/>
  <c r="AD243" i="28"/>
  <c r="AE243" i="28" s="1"/>
  <c r="AD38" i="28"/>
  <c r="AE38" i="28" s="1"/>
  <c r="AD130" i="28"/>
  <c r="AE130" i="28" s="1"/>
  <c r="AD179" i="28"/>
  <c r="AE179" i="28" s="1"/>
  <c r="AD235" i="28"/>
  <c r="AE235" i="28" s="1"/>
  <c r="AD231" i="28"/>
  <c r="AE231" i="28" s="1"/>
  <c r="AD89" i="28"/>
  <c r="AE89" i="28" s="1"/>
  <c r="AD39" i="28"/>
  <c r="AE39" i="28" s="1"/>
  <c r="AD269" i="28"/>
  <c r="AE269" i="28" s="1"/>
  <c r="AD407" i="28"/>
  <c r="AE407" i="28" s="1"/>
  <c r="AD419" i="28"/>
  <c r="AE419" i="28" s="1"/>
  <c r="AD217" i="28"/>
  <c r="AE217" i="28" s="1"/>
  <c r="AD277" i="28"/>
  <c r="AE277" i="28" s="1"/>
  <c r="AD284" i="28"/>
  <c r="AE284" i="28" s="1"/>
  <c r="AD326" i="28"/>
  <c r="AE326" i="28" s="1"/>
  <c r="AD298" i="28"/>
  <c r="AE298" i="28" s="1"/>
  <c r="AD393" i="28"/>
  <c r="AE393" i="28" s="1"/>
  <c r="AD390" i="28"/>
  <c r="AE390" i="28" s="1"/>
  <c r="AD488" i="28"/>
  <c r="AE488" i="28" s="1"/>
  <c r="AD475" i="28"/>
  <c r="AE475" i="28" s="1"/>
  <c r="AD478" i="28"/>
  <c r="AE478" i="28" s="1"/>
  <c r="AD815" i="28"/>
  <c r="AE815" i="28" s="1"/>
  <c r="AD643" i="28"/>
  <c r="AE643" i="28" s="1"/>
  <c r="AD683" i="28"/>
  <c r="AE683" i="28" s="1"/>
  <c r="AD716" i="28"/>
  <c r="AE716" i="28" s="1"/>
  <c r="AD817" i="28"/>
  <c r="AE817" i="28" s="1"/>
  <c r="AD1019" i="28"/>
  <c r="AE1019" i="28" s="1"/>
  <c r="AD917" i="28"/>
  <c r="AE917" i="28" s="1"/>
  <c r="AD938" i="28"/>
  <c r="AE938" i="28" s="1"/>
  <c r="AD1123" i="28"/>
  <c r="AE1123" i="28" s="1"/>
  <c r="AD1188" i="28"/>
  <c r="AE1188" i="28" s="1"/>
  <c r="AD1205" i="28"/>
  <c r="AE1205" i="28" s="1"/>
  <c r="AD1230" i="28"/>
  <c r="AE1230" i="28" s="1"/>
  <c r="AD1272" i="28"/>
  <c r="AE1272" i="28" s="1"/>
  <c r="AD1378" i="28"/>
  <c r="AE1378" i="28" s="1"/>
  <c r="AD1403" i="28"/>
  <c r="AE1403" i="28" s="1"/>
  <c r="AD1465" i="28"/>
  <c r="AE1465" i="28" s="1"/>
  <c r="AD1490" i="28"/>
  <c r="AE1490" i="28" s="1"/>
  <c r="AD1456" i="28"/>
  <c r="AE1456" i="28" s="1"/>
  <c r="AD1610" i="28"/>
  <c r="AE1610" i="28" s="1"/>
  <c r="AD111" i="28"/>
  <c r="AE111" i="28" s="1"/>
  <c r="AD145" i="28"/>
  <c r="AE145" i="28" s="1"/>
  <c r="AD263" i="28"/>
  <c r="AE263" i="28" s="1"/>
  <c r="AD3" i="28"/>
  <c r="AE3" i="28" s="1"/>
  <c r="AD253" i="28"/>
  <c r="AE253" i="28" s="1"/>
  <c r="AD181" i="28"/>
  <c r="AE181" i="28" s="1"/>
  <c r="AD107" i="28"/>
  <c r="AE107" i="28" s="1"/>
  <c r="AD190" i="28"/>
  <c r="AE190" i="28" s="1"/>
  <c r="AD178" i="28"/>
  <c r="AE178" i="28" s="1"/>
  <c r="AD254" i="28"/>
  <c r="AE254" i="28" s="1"/>
  <c r="AD292" i="28"/>
  <c r="AE292" i="28" s="1"/>
  <c r="AD173" i="28"/>
  <c r="AE173" i="28" s="1"/>
  <c r="AD249" i="28"/>
  <c r="AE249" i="28" s="1"/>
  <c r="AD174" i="28"/>
  <c r="AE174" i="28" s="1"/>
  <c r="AD159" i="28"/>
  <c r="AE159" i="28" s="1"/>
  <c r="AD163" i="28"/>
  <c r="AE163" i="28" s="1"/>
  <c r="AD18" i="28"/>
  <c r="AE18" i="28" s="1"/>
  <c r="AD120" i="28"/>
  <c r="AE120" i="28" s="1"/>
  <c r="AD139" i="28"/>
  <c r="AE139" i="28" s="1"/>
  <c r="AD157" i="28"/>
  <c r="AE157" i="28" s="1"/>
  <c r="AD22" i="28"/>
  <c r="AE22" i="28" s="1"/>
  <c r="AD32" i="28"/>
  <c r="AE32" i="28" s="1"/>
  <c r="AD49" i="28"/>
  <c r="AE49" i="28" s="1"/>
  <c r="AD105" i="28"/>
  <c r="AE105" i="28" s="1"/>
  <c r="AD213" i="28"/>
  <c r="AE213" i="28" s="1"/>
  <c r="AD313" i="28"/>
  <c r="AE313" i="28" s="1"/>
  <c r="AD19" i="28"/>
  <c r="AE19" i="28" s="1"/>
  <c r="AD355" i="28"/>
  <c r="AE355" i="28" s="1"/>
  <c r="AD423" i="28"/>
  <c r="AE423" i="28" s="1"/>
  <c r="AD414" i="28"/>
  <c r="AE414" i="28" s="1"/>
  <c r="AD401" i="28"/>
  <c r="AE401" i="28" s="1"/>
  <c r="AD330" i="28"/>
  <c r="AE330" i="28" s="1"/>
  <c r="AD495" i="28"/>
  <c r="AE495" i="28" s="1"/>
  <c r="AD536" i="28"/>
  <c r="AE536" i="28" s="1"/>
  <c r="AD677" i="28"/>
  <c r="AE677" i="28" s="1"/>
  <c r="AD662" i="28"/>
  <c r="AE662" i="28" s="1"/>
  <c r="AD751" i="28"/>
  <c r="AE751" i="28" s="1"/>
  <c r="AD763" i="28"/>
  <c r="AE763" i="28" s="1"/>
  <c r="AD839" i="28"/>
  <c r="AE839" i="28" s="1"/>
  <c r="AD1012" i="28"/>
  <c r="AE1012" i="28" s="1"/>
  <c r="AD929" i="28"/>
  <c r="AE929" i="28" s="1"/>
  <c r="AD1162" i="28"/>
  <c r="AE1162" i="28" s="1"/>
  <c r="AD1100" i="28"/>
  <c r="AE1100" i="28" s="1"/>
  <c r="AD1225" i="28"/>
  <c r="AE1225" i="28" s="1"/>
  <c r="AD1214" i="28"/>
  <c r="AE1214" i="28" s="1"/>
  <c r="AD1287" i="28"/>
  <c r="AE1287" i="28" s="1"/>
  <c r="AD1173" i="28"/>
  <c r="AE1173" i="28" s="1"/>
  <c r="AD1337" i="28"/>
  <c r="AE1337" i="28" s="1"/>
  <c r="AD1435" i="28"/>
  <c r="AE1435" i="28" s="1"/>
  <c r="AD1471" i="28"/>
  <c r="AE1471" i="28" s="1"/>
  <c r="AD1453" i="28"/>
  <c r="AE1453" i="28" s="1"/>
  <c r="AD1569" i="28"/>
  <c r="AE1569" i="28" s="1"/>
  <c r="AD1507" i="28"/>
  <c r="AE1507" i="28" s="1"/>
  <c r="AD11" i="28"/>
  <c r="AE11" i="28" s="1"/>
  <c r="AD202" i="28"/>
  <c r="AE202" i="28" s="1"/>
  <c r="AD353" i="28"/>
  <c r="AE353" i="28" s="1"/>
  <c r="AD250" i="28"/>
  <c r="AE250" i="28" s="1"/>
  <c r="AD279" i="28"/>
  <c r="AE279" i="28" s="1"/>
  <c r="AD238" i="28"/>
  <c r="AE238" i="28" s="1"/>
  <c r="AD149" i="28"/>
  <c r="AE149" i="28" s="1"/>
  <c r="AD246" i="28"/>
  <c r="AE246" i="28" s="1"/>
  <c r="AD153" i="28"/>
  <c r="AE153" i="28" s="1"/>
  <c r="AD148" i="28"/>
  <c r="AE148" i="28" s="1"/>
  <c r="AD92" i="28"/>
  <c r="AE92" i="28" s="1"/>
  <c r="AD67" i="28"/>
  <c r="AE67" i="28" s="1"/>
  <c r="AD61" i="28"/>
  <c r="AE61" i="28" s="1"/>
  <c r="AD59" i="28"/>
  <c r="AE59" i="28" s="1"/>
  <c r="AD150" i="28"/>
  <c r="AD9" i="28"/>
  <c r="AE9" i="28" s="1"/>
  <c r="AD5" i="28"/>
  <c r="AE5" i="28" s="1"/>
  <c r="AD226" i="28"/>
  <c r="AE226" i="28" s="1"/>
  <c r="AD251" i="28"/>
  <c r="AE251" i="28" s="1"/>
  <c r="AD81" i="28"/>
  <c r="AE81" i="28" s="1"/>
  <c r="AD196" i="28"/>
  <c r="AE196" i="28" s="1"/>
  <c r="AD271" i="28"/>
  <c r="AE271" i="28" s="1"/>
  <c r="AD301" i="28"/>
  <c r="AE301" i="28" s="1"/>
  <c r="AD288" i="28"/>
  <c r="AE288" i="28" s="1"/>
  <c r="AD420" i="28"/>
  <c r="AE420" i="28" s="1"/>
  <c r="AD654" i="28"/>
  <c r="AE654" i="28" s="1"/>
  <c r="AD316" i="28"/>
  <c r="AE316" i="28" s="1"/>
  <c r="AD520" i="28"/>
  <c r="AE520" i="28" s="1"/>
  <c r="AD567" i="28"/>
  <c r="AE567" i="28" s="1"/>
  <c r="AD707" i="28"/>
  <c r="AE707" i="28" s="1"/>
  <c r="AD680" i="28"/>
  <c r="AE680" i="28" s="1"/>
  <c r="AD790" i="28"/>
  <c r="AE790" i="28" s="1"/>
  <c r="AD794" i="28"/>
  <c r="AE794" i="28" s="1"/>
  <c r="AD854" i="28"/>
  <c r="AE854" i="28" s="1"/>
  <c r="AD1024" i="28"/>
  <c r="AE1024" i="28" s="1"/>
  <c r="AD964" i="28"/>
  <c r="AE964" i="28" s="1"/>
  <c r="AD1124" i="28"/>
  <c r="AE1124" i="28" s="1"/>
  <c r="AD1113" i="28"/>
  <c r="AE1113" i="28" s="1"/>
  <c r="AD1195" i="28"/>
  <c r="AE1195" i="28" s="1"/>
  <c r="AD1218" i="28"/>
  <c r="AE1218" i="28" s="1"/>
  <c r="AD1356" i="28"/>
  <c r="AE1356" i="28" s="1"/>
  <c r="AD1262" i="28"/>
  <c r="AE1262" i="28" s="1"/>
  <c r="AD1350" i="28"/>
  <c r="AE1350" i="28" s="1"/>
  <c r="AD1458" i="28"/>
  <c r="AE1458" i="28" s="1"/>
  <c r="AD1387" i="28"/>
  <c r="AE1387" i="28" s="1"/>
  <c r="AD1521" i="28"/>
  <c r="AE1521" i="28" s="1"/>
  <c r="AD1432" i="28"/>
  <c r="AE1432" i="28" s="1"/>
  <c r="AD1568" i="28"/>
  <c r="AE1568" i="28" s="1"/>
  <c r="AD324" i="28"/>
  <c r="AE324" i="28" s="1"/>
  <c r="AD346" i="28"/>
  <c r="AE346" i="28" s="1"/>
  <c r="AD241" i="28"/>
  <c r="AE241" i="28" s="1"/>
  <c r="AD170" i="28"/>
  <c r="AE170" i="28" s="1"/>
  <c r="AD255" i="28"/>
  <c r="AE255" i="28" s="1"/>
  <c r="AD375" i="28"/>
  <c r="AD136" i="28"/>
  <c r="AE136" i="28" s="1"/>
  <c r="AD14" i="28"/>
  <c r="AE14" i="28" s="1"/>
  <c r="AD69" i="28"/>
  <c r="AE69" i="28" s="1"/>
  <c r="AD116" i="28"/>
  <c r="AD143" i="28"/>
  <c r="AE143" i="28" s="1"/>
  <c r="AD99" i="28"/>
  <c r="AE99" i="28" s="1"/>
  <c r="AD76" i="28"/>
  <c r="AE76" i="28" s="1"/>
  <c r="AD175" i="28"/>
  <c r="AE175" i="28" s="1"/>
  <c r="AD57" i="28"/>
  <c r="AE57" i="28" s="1"/>
  <c r="AD25" i="28"/>
  <c r="AE25" i="28" s="1"/>
  <c r="AD141" i="28"/>
  <c r="AE141" i="28" s="1"/>
  <c r="AD63" i="28"/>
  <c r="AE63" i="28" s="1"/>
  <c r="AD135" i="28"/>
  <c r="AE135" i="28" s="1"/>
  <c r="AD161" i="28"/>
  <c r="AE161" i="28" s="1"/>
  <c r="AD561" i="28"/>
  <c r="AE561" i="28" s="1"/>
  <c r="AD639" i="28"/>
  <c r="AE639" i="28" s="1"/>
  <c r="AD513" i="28"/>
  <c r="AE513" i="28" s="1"/>
  <c r="AD559" i="28"/>
  <c r="AE559" i="28" s="1"/>
  <c r="AD668" i="28"/>
  <c r="AE668" i="28" s="1"/>
  <c r="AD585" i="28"/>
  <c r="AE585" i="28" s="1"/>
  <c r="AD436" i="28"/>
  <c r="AE436" i="28" s="1"/>
  <c r="AD576" i="28"/>
  <c r="AE576" i="28" s="1"/>
  <c r="AD469" i="28"/>
  <c r="AE469" i="28" s="1"/>
  <c r="AD435" i="28"/>
  <c r="AE435" i="28" s="1"/>
  <c r="AD557" i="28"/>
  <c r="AE557" i="28" s="1"/>
  <c r="AD431" i="28"/>
  <c r="AE431" i="28" s="1"/>
  <c r="AD589" i="28"/>
  <c r="AE589" i="28" s="1"/>
  <c r="AD569" i="28"/>
  <c r="AE569" i="28" s="1"/>
  <c r="AD552" i="28"/>
  <c r="AE552" i="28" s="1"/>
  <c r="AD428" i="28"/>
  <c r="AE428" i="28" s="1"/>
  <c r="AD416" i="28"/>
  <c r="AE416" i="28" s="1"/>
  <c r="AD410" i="28"/>
  <c r="AE410" i="28" s="1"/>
  <c r="AD311" i="28"/>
  <c r="AE311" i="28" s="1"/>
  <c r="AD403" i="28"/>
  <c r="AE403" i="28" s="1"/>
  <c r="AD392" i="28"/>
  <c r="AE392" i="28" s="1"/>
  <c r="AD192" i="28"/>
  <c r="AE192" i="28" s="1"/>
  <c r="AD268" i="28"/>
  <c r="AE268" i="28" s="1"/>
  <c r="AD74" i="28"/>
  <c r="AD318" i="28"/>
  <c r="AE318" i="28" s="1"/>
  <c r="AD333" i="28"/>
  <c r="AE333" i="28" s="1"/>
  <c r="AD332" i="28"/>
  <c r="AE332" i="28" s="1"/>
  <c r="AD329" i="28"/>
  <c r="AE329" i="28" s="1"/>
  <c r="AD466" i="28"/>
  <c r="AE466" i="28" s="1"/>
  <c r="AD487" i="28"/>
  <c r="AE487" i="28" s="1"/>
  <c r="AD638" i="28"/>
  <c r="AE638" i="28" s="1"/>
  <c r="AD608" i="28"/>
  <c r="AE608" i="28" s="1"/>
  <c r="AD619" i="28"/>
  <c r="AE619" i="28" s="1"/>
  <c r="AD689" i="28"/>
  <c r="AE689" i="28" s="1"/>
  <c r="AD838" i="28"/>
  <c r="AE838" i="28" s="1"/>
  <c r="AD918" i="28"/>
  <c r="AE918" i="28" s="1"/>
  <c r="AD826" i="28"/>
  <c r="AE826" i="28" s="1"/>
  <c r="AD995" i="28"/>
  <c r="AD967" i="28"/>
  <c r="AE967" i="28" s="1"/>
  <c r="AD1133" i="28"/>
  <c r="AE1133" i="28" s="1"/>
  <c r="AD1165" i="28"/>
  <c r="AE1165" i="28" s="1"/>
  <c r="AD1160" i="28"/>
  <c r="AE1160" i="28" s="1"/>
  <c r="AD1232" i="28"/>
  <c r="AE1232" i="28" s="1"/>
  <c r="AD1166" i="28"/>
  <c r="AE1166" i="28" s="1"/>
  <c r="AD1325" i="28"/>
  <c r="AE1325" i="28" s="1"/>
  <c r="AD1341" i="28"/>
  <c r="AE1341" i="28" s="1"/>
  <c r="AD1433" i="28"/>
  <c r="AE1433" i="28" s="1"/>
  <c r="AD1454" i="28"/>
  <c r="AE1454" i="28" s="1"/>
  <c r="AD1572" i="28"/>
  <c r="AE1572" i="28" s="1"/>
  <c r="AD1455" i="28"/>
  <c r="AE1455" i="28" s="1"/>
  <c r="AD1571" i="28"/>
  <c r="AE1571" i="28" s="1"/>
  <c r="AD306" i="28"/>
  <c r="AE306" i="28" s="1"/>
  <c r="AD123" i="28"/>
  <c r="AE123" i="28" s="1"/>
  <c r="AD64" i="28"/>
  <c r="AE64" i="28" s="1"/>
  <c r="AD222" i="28"/>
  <c r="AE222" i="28" s="1"/>
  <c r="AD132" i="28"/>
  <c r="AE132" i="28" s="1"/>
  <c r="AD35" i="28"/>
  <c r="AD344" i="28"/>
  <c r="AE344" i="28" s="1"/>
  <c r="AD232" i="28"/>
  <c r="AE232" i="28" s="1"/>
  <c r="AD21" i="28"/>
  <c r="AE21" i="28" s="1"/>
  <c r="AD72" i="28"/>
  <c r="AE72" i="28" s="1"/>
  <c r="AD286" i="28"/>
  <c r="AE286" i="28" s="1"/>
  <c r="AD40" i="28"/>
  <c r="AE40" i="28" s="1"/>
  <c r="AD102" i="28"/>
  <c r="AE102" i="28" s="1"/>
  <c r="AD229" i="28"/>
  <c r="AE229" i="28" s="1"/>
  <c r="AD83" i="28"/>
  <c r="AE83" i="28" s="1"/>
  <c r="AD12" i="28"/>
  <c r="AE12" i="28" s="1"/>
  <c r="AD142" i="28"/>
  <c r="AE142" i="28" s="1"/>
  <c r="AD85" i="28"/>
  <c r="AE85" i="28" s="1"/>
  <c r="AD122" i="28"/>
  <c r="AE122" i="28" s="1"/>
  <c r="AD84" i="28"/>
  <c r="AE84" i="28" s="1"/>
  <c r="AD126" i="28"/>
  <c r="AE126" i="28" s="1"/>
  <c r="AD100" i="28"/>
  <c r="AE100" i="28" s="1"/>
</calcChain>
</file>

<file path=xl/sharedStrings.xml><?xml version="1.0" encoding="utf-8"?>
<sst xmlns="http://schemas.openxmlformats.org/spreadsheetml/2006/main" count="12800" uniqueCount="502">
  <si>
    <t>Part  No</t>
  </si>
  <si>
    <t>Description</t>
  </si>
  <si>
    <t>Sr No</t>
  </si>
  <si>
    <t>BoE No</t>
  </si>
  <si>
    <t>Date</t>
  </si>
  <si>
    <t>Quantity</t>
  </si>
  <si>
    <t>Assessable Value</t>
  </si>
  <si>
    <t>NUT, ISO, M5, NYLON INSE NYLON INSERT</t>
  </si>
  <si>
    <t>INFLATOR, ADP-1.3B, MP, MIB, SQUARE, NO STUD</t>
  </si>
  <si>
    <t>NUT, ISO, M5, LOCK, THRE LOCK, THREE SIDED TAMPER</t>
  </si>
  <si>
    <t xml:space="preserve">INFLATORS, APP-4.6 </t>
  </si>
  <si>
    <t>LABEL, BLANK, 50.0, 25.0  LABEL, BLANK, 2PCS, 50X</t>
  </si>
  <si>
    <t>TAPE, ADHESIVE, TERAOKA TERAOKA NO.560S 2</t>
  </si>
  <si>
    <t>CUSHION, C AND S, SIDE, LH, BUTTON HOLE STYLE, S</t>
  </si>
  <si>
    <t>SNAP-IN-FASTENER, PUSH P PUSH PIN, BLACK</t>
  </si>
  <si>
    <t>INFLATOR, ASP-2, GEN15, MRR, STD COOL, UC, W STU</t>
  </si>
  <si>
    <t>INFLATOR, ASP-5.1, P20, SRR, IMI, SERV, NO STUDS</t>
  </si>
  <si>
    <t>WEBBING PIN, RETRACTOR, AGB, AGB-95POM FARBE:SCH</t>
  </si>
  <si>
    <t>ADAPTER, CAR SENS, RETRA ALL VERSIONS</t>
  </si>
  <si>
    <t>SPRING, SHEET, LEAF, RET ALL VERSIONS, WS ECE</t>
  </si>
  <si>
    <t>LEVER, WEB SENS, RETRACT ALL VERSIONS</t>
  </si>
  <si>
    <t>SPINDLE, RETRACTOR, R27, STD</t>
  </si>
  <si>
    <t>BUSH, RETRACTOR, R27, AL ALL VERSIONS</t>
  </si>
  <si>
    <t>LATCH, RETRACTOR, R27, A ALL VERSIONS</t>
  </si>
  <si>
    <t>COVER, RETRACTOR, R27, S SYSTEMKAPPE DELRIN 100T</t>
  </si>
  <si>
    <t>SPRING, SHEET, LEAF, RET ALL VERSIONS, WS US</t>
  </si>
  <si>
    <t>STEERING DISC NATURE WHITE</t>
  </si>
  <si>
    <t>PILLAR LOOP, OVERMOULDED LIGHT GRAY, STD, WITH CA</t>
  </si>
  <si>
    <t>BEARING, CAR SENS, RETRA All Versions, Noise redu</t>
  </si>
  <si>
    <t>LEVER, CAR SENS, RETRACT ALL VERSIONS, NOISE REDU</t>
  </si>
  <si>
    <t>MASS, CAR SENS, RETRACTO ALL VERSIONS, CAR 2-PIN</t>
  </si>
  <si>
    <t>LABEL, RAW MATERIAL, BLA K12 TPC BUCKLE</t>
  </si>
  <si>
    <t>CHANNEL, BUCKLE, K12 ROA K12A/AT, RIVET BUCKLE, S</t>
  </si>
  <si>
    <t>SPRING, WIRE, COMPRESSIO K12A/AT</t>
  </si>
  <si>
    <t>LATCH, BUCKLE, K12 ROADM K12A/AT, SILVER, LATCH W</t>
  </si>
  <si>
    <t>LOCKING BAR, BUCKLE, K12 K12A/AT, L=34.3, silver</t>
  </si>
  <si>
    <t>SCREW, SELF-TAPPING, MET OTHER, HEXALOBULAR INTER</t>
  </si>
  <si>
    <t xml:space="preserve">WASHER, WAVED </t>
  </si>
  <si>
    <t>SU2ID STD CUSHION COMPON CVR NON-WOVEN RH</t>
  </si>
  <si>
    <t xml:space="preserve">ADHESIVE, PAD </t>
  </si>
  <si>
    <t>BCD</t>
  </si>
  <si>
    <t>SWS</t>
  </si>
  <si>
    <t>Total duty</t>
  </si>
  <si>
    <t>Duty per unit</t>
  </si>
  <si>
    <t>AV Per unit</t>
  </si>
  <si>
    <t>621343500C</t>
  </si>
  <si>
    <t>643302000A</t>
  </si>
  <si>
    <t>570028800F</t>
  </si>
  <si>
    <t>632955901A</t>
  </si>
  <si>
    <t>655116100A</t>
  </si>
  <si>
    <t>603171100B</t>
  </si>
  <si>
    <t>609183701A</t>
  </si>
  <si>
    <t>616531900A</t>
  </si>
  <si>
    <t>653328100A</t>
  </si>
  <si>
    <t>PC47516-3810</t>
  </si>
  <si>
    <t>619591801A</t>
  </si>
  <si>
    <t>649421000A</t>
  </si>
  <si>
    <t>566098600C</t>
  </si>
  <si>
    <t>566253211E</t>
  </si>
  <si>
    <t>566305721B</t>
  </si>
  <si>
    <t>600188700B</t>
  </si>
  <si>
    <t>601182600A</t>
  </si>
  <si>
    <t>601256700G</t>
  </si>
  <si>
    <t>601472600A</t>
  </si>
  <si>
    <t>601487200C</t>
  </si>
  <si>
    <t>605151600A</t>
  </si>
  <si>
    <t>605555507E</t>
  </si>
  <si>
    <t>615795701B</t>
  </si>
  <si>
    <t>618470500E</t>
  </si>
  <si>
    <t>618472000B</t>
  </si>
  <si>
    <t>618472300C</t>
  </si>
  <si>
    <t>630580800A</t>
  </si>
  <si>
    <t>560050622C</t>
  </si>
  <si>
    <t>560130122A</t>
  </si>
  <si>
    <t>560762022A</t>
  </si>
  <si>
    <t>604213200A</t>
  </si>
  <si>
    <t>NPB10271-ZK</t>
  </si>
  <si>
    <t>NWB2834</t>
  </si>
  <si>
    <t>654590600A</t>
  </si>
  <si>
    <t>632154400A</t>
  </si>
  <si>
    <t>5272704</t>
  </si>
  <si>
    <t>4379099</t>
  </si>
  <si>
    <t>5569844</t>
  </si>
  <si>
    <t>4359111</t>
  </si>
  <si>
    <t>4469811</t>
  </si>
  <si>
    <t>5769560</t>
  </si>
  <si>
    <t>4557048</t>
  </si>
  <si>
    <t>4757505</t>
  </si>
  <si>
    <t>4745482</t>
  </si>
  <si>
    <t>6407285</t>
  </si>
  <si>
    <t>6433350</t>
  </si>
  <si>
    <t>4526912</t>
  </si>
  <si>
    <t>4835449</t>
  </si>
  <si>
    <t>5279973</t>
  </si>
  <si>
    <t>5813466</t>
  </si>
  <si>
    <t>6854259</t>
  </si>
  <si>
    <t>4866297</t>
  </si>
  <si>
    <t>4946913</t>
  </si>
  <si>
    <t>5366704</t>
  </si>
  <si>
    <t>5415155</t>
  </si>
  <si>
    <t>8665993</t>
  </si>
  <si>
    <t>4078522</t>
  </si>
  <si>
    <t>INFLATOR APP-4.6, 325KPA 1.8MOL, STANDARD MIB SQU</t>
  </si>
  <si>
    <t>TAPE, IC, CONTINUOUS, 13.0 MM., PET 3M 8421</t>
  </si>
  <si>
    <t>Cushion ICAB FI 2 Row C KSID, ASP5.1, BUTTON HOL</t>
  </si>
  <si>
    <t>FELT, OTHER OTHER</t>
  </si>
  <si>
    <t>6463730</t>
  </si>
  <si>
    <t>4124230</t>
  </si>
  <si>
    <t>4354162</t>
  </si>
  <si>
    <t>4372053</t>
  </si>
  <si>
    <t>4773618</t>
  </si>
  <si>
    <t>4941135</t>
  </si>
  <si>
    <t>5191969</t>
  </si>
  <si>
    <t>3956799</t>
  </si>
  <si>
    <t>3799404</t>
  </si>
  <si>
    <t>4020077</t>
  </si>
  <si>
    <t>4143616</t>
  </si>
  <si>
    <t>4269634</t>
  </si>
  <si>
    <t>CUSHION, C AND S, SIDE,  IC, ASP5.1, INDIA, RH,</t>
  </si>
  <si>
    <t>5248550</t>
  </si>
  <si>
    <t>5586717</t>
  </si>
  <si>
    <t>5785017</t>
  </si>
  <si>
    <t>imported Quantity</t>
  </si>
  <si>
    <t>Consumed</t>
  </si>
  <si>
    <t>Claimed</t>
  </si>
  <si>
    <t>Identifier</t>
  </si>
  <si>
    <t xml:space="preserve"> </t>
  </si>
  <si>
    <t>6242999AAB</t>
  </si>
  <si>
    <t>625090202B</t>
  </si>
  <si>
    <t>653328000A</t>
  </si>
  <si>
    <t>655226900A</t>
  </si>
  <si>
    <t>656334800F</t>
  </si>
  <si>
    <t>Total Consumption</t>
  </si>
  <si>
    <t>ACTUATOR VIBRATION MOTOR ASSY WITH BRACKET BC3 CU</t>
  </si>
  <si>
    <t>ARMATURE, MONOBLOCK ASW4, HYUNDAI BC3-CUV</t>
  </si>
  <si>
    <t>ARMATURE, MONOBLOCK, ASW4, HYUNDAI BC3</t>
  </si>
  <si>
    <t>CUSHION, FOLDED, C AND S HONDA 2JX</t>
  </si>
  <si>
    <t xml:space="preserve">ELEMENT, HEATER, HYBRID </t>
  </si>
  <si>
    <t xml:space="preserve">HORN CONTACT, CU </t>
  </si>
  <si>
    <t>INFLATOR, APP-4.6, 2.2MO STANDARD_MIB, SQUARE_61X</t>
  </si>
  <si>
    <t>LEATHER, HIDE TOP GRAIN, GREY, FOSSIL GREY, T9Y,</t>
  </si>
  <si>
    <t>LEATHER, HIDE TOP GRAIN, OBSIDIAN BLACK, NNB, BLA</t>
  </si>
  <si>
    <t xml:space="preserve">NUT, ISO, M5 </t>
  </si>
  <si>
    <t>SCREW SELF TAPPING INTERNAL T15, 15.0</t>
  </si>
  <si>
    <t>SCREW, SELF-TAPPING, PLA PLASTIC, 3.0, CROSS</t>
  </si>
  <si>
    <t>SCREW, STANDARD, METRIC, M5, HEXALOBULAR INTERNAL</t>
  </si>
  <si>
    <t>SCREW, STD METRIC M6 HEXALOBULAR INTERNAL, T4</t>
  </si>
  <si>
    <t>SCREW,STD METRIIC HEXALOBULAR  M5 T25 12MM</t>
  </si>
  <si>
    <t xml:space="preserve">SPRING, COIL, UPPER </t>
  </si>
  <si>
    <t>THREAD, STEERING WHEEL, LOOPING LEATHER, BLACK 5</t>
  </si>
  <si>
    <t>THREAD, STITCHING, 1500 BEIGE, M20, PET, T-135 U</t>
  </si>
  <si>
    <t>THREAD, STITCHING, 1500 BLACK, M20, PET, T-135 U</t>
  </si>
  <si>
    <t>THREAD, STITCHING, 1500, LIGHT GREY, M20, PET, T-</t>
  </si>
  <si>
    <t>Stitching Thread for SW,  YELLOW, LUCID LIME, M20</t>
  </si>
  <si>
    <t>12195</t>
  </si>
  <si>
    <t>651015300B</t>
  </si>
  <si>
    <t>655818900B</t>
  </si>
  <si>
    <t>655931500A</t>
  </si>
  <si>
    <t>651015100A</t>
  </si>
  <si>
    <t>650557200G</t>
  </si>
  <si>
    <t>634240200A</t>
  </si>
  <si>
    <t>653052600A</t>
  </si>
  <si>
    <t>656011400A</t>
  </si>
  <si>
    <t>652466500A</t>
  </si>
  <si>
    <t>608067201A</t>
  </si>
  <si>
    <t>639590100B</t>
  </si>
  <si>
    <t>644345600A</t>
  </si>
  <si>
    <t>628408700A</t>
  </si>
  <si>
    <t>651409900A</t>
  </si>
  <si>
    <t>608225700A</t>
  </si>
  <si>
    <t>651166400C</t>
  </si>
  <si>
    <t>610952600A</t>
  </si>
  <si>
    <t>654331700A</t>
  </si>
  <si>
    <t>655379600A</t>
  </si>
  <si>
    <t>653642900A</t>
  </si>
  <si>
    <t>664168000A</t>
  </si>
  <si>
    <t>Balance</t>
  </si>
  <si>
    <t>Supplier</t>
  </si>
  <si>
    <t>F</t>
  </si>
  <si>
    <t>port</t>
  </si>
  <si>
    <t>INDEL4</t>
  </si>
  <si>
    <t>T.A AMERICA CORPORATION, 12414 MCCANN DRIVE 90670   , U
NITED STATES</t>
  </si>
  <si>
    <t>INNSA1</t>
  </si>
  <si>
    <t>TECHNO ASSOCIE SINGAPORE PTE LTD 19 JALAN KILANG BARAT 06-07 ACETECH CENTRE SINGAPORE 159361  SINGAPORE</t>
  </si>
  <si>
    <t>INPTL6</t>
  </si>
  <si>
    <t>INMAA1</t>
  </si>
  <si>
    <t>NANJING WELBOW METALS CO.,LTD NO.9 EAST XIUSHAN ROAD LISHUI ECONOMIC DEVELOPMENT ZONE NANJING, CHINA</t>
  </si>
  <si>
    <t>GNTHERM AUTOMOTIVE SYSTEMS (CHINA) LTD LANG FANG ECONOMIC AND TECHNICAL DE VELOPMENT ZONE, JINYUAN ROAD, LANG FANG, HEBEI, P.R CHINA CHINA</t>
  </si>
  <si>
    <t>JOHN WHILE SPRINGS (THAILAND) CO.,LTD. 700/607 MOO4, AMATA CITY CHONBURI INDUSTRIAL ESTATE TAMBON BANKAO, AMPHUR PATHONG CHONBURI,, THAILAND</t>
  </si>
  <si>
    <t>INPPG6</t>
  </si>
  <si>
    <t>INGHR6</t>
  </si>
  <si>
    <t>TECHNO ASSOCIE SINGAPORE PTE LTD. 19 JALAN KILANG BARAT #06-07 ACETEC H CENTRE SINGAPORE 159361  Singapore</t>
  </si>
  <si>
    <t>Johnson Electric Industrial Manufactory,Limited 6/F, 12 Science Park East Avenue, H ong Kong Science Park Shatin,NT  Hong Kong</t>
  </si>
  <si>
    <t>JOHNSON ELECTRIC INDUSTRIAL MANUFACTORY, LIMITED 6/F, 12 12 SCIENCE PARK EAST AVENUE HONG KONG SCIENCE PARK SHATIN, NT, HONG KONG
0</t>
  </si>
  <si>
    <t>NANJING WELBOW METALS CO.,LTD. No.9 East Xiushan Road, Lishui Econ omic Development Zone, Nanjing  China</t>
  </si>
  <si>
    <t>PT. MASTROTTO INDONESIA KAWASAN INDUSTRI SENFULJL. LINTANG RAYA KAV. F4-F5SENTUL BOGOR, 16810  INDONESIA</t>
  </si>
  <si>
    <t>INBLR4</t>
  </si>
  <si>
    <t>INKQZ6</t>
  </si>
  <si>
    <t>ENSHU MOLDING PRODUCTS (THAILAND) CO., LTD. 700/904 MOO 5 TAMBOL NONGKAKHA, AMPHUR PANTHONG, CHONBURI, 20160 THAILAND</t>
  </si>
  <si>
    <t>INWFD6</t>
  </si>
  <si>
    <t>P</t>
  </si>
  <si>
    <t>JACE KOGYO CO., LTD,. 582, KAMIECHI, ATSUGI-SHI, KANAGAWA 243-0801 JAPAN  Japan</t>
  </si>
  <si>
    <t>Autoliv (Jiangsu) Automotive Safety Components Co. , Ltd No.1 Autoliv Ave   Xuebu Town ,Jintan,Jiangsu,  213245   CHINA  China</t>
  </si>
  <si>
    <t>Autoliv (Jiangsu) Automotive Safety Components Co. , Ltd No.1 Autoliv Ave Xuebu Town,J intan,Jiangsu, 213245 CHINA  China</t>
  </si>
  <si>
    <t>HMT (HAI PHONG) NEW TECHNICAL MATERIALS COMPANY LI MITED WORKSHOP NO.1, STANDARD FACTO RY AT BLOCK CN1 AN DUONG INDUSTRIAL ZONE, HONG PHONG COMMUNE AN DUONG Viet Nam</t>
  </si>
  <si>
    <t>TEXMASTER VIETNAM CO., LTD LAND LOT C 4C CN MY PHUOC IP3 THOI HOA WARD, BEN CAT TOWN BINH DUONG P ROVINCE VIET NAM, , Viet Nam Viet Nam</t>
  </si>
  <si>
    <t>AUTOLIV (THAILAND) LTD. 700/908 MOO.5, TAMBOL NONGKAKHA, AM PHUR PANTHONG, CHONBURI 20160  Thailand</t>
  </si>
  <si>
    <t>OCHIAI CO., LTD. 1-11-12 KAMEIDO KOTO-KU TOKYO, JAPA N Tokyo, , Japan  Japan</t>
  </si>
  <si>
    <t>Feb-24-Ghari</t>
  </si>
  <si>
    <t>Feb-24-Delhi-ACC</t>
  </si>
  <si>
    <t>April-Ghari</t>
  </si>
  <si>
    <t>May-Ghari</t>
  </si>
  <si>
    <t>Sep-Ghari</t>
  </si>
  <si>
    <t>Dec-Ghari</t>
  </si>
  <si>
    <t>Jan-Ghari</t>
  </si>
  <si>
    <t>Jun-Ghari</t>
  </si>
  <si>
    <t>Oct-Nov Ghari</t>
  </si>
  <si>
    <t>Apr-Nov-Delhi</t>
  </si>
  <si>
    <t>Dec-Delhi</t>
  </si>
  <si>
    <t>Jan-Delhi</t>
  </si>
  <si>
    <t>Mar 24- Ghari</t>
  </si>
  <si>
    <t>Mar 24-Delhi</t>
  </si>
  <si>
    <t>Aug24-Ghari</t>
  </si>
  <si>
    <t>Jul -Ghari</t>
  </si>
  <si>
    <t>Group</t>
  </si>
  <si>
    <t>UNIT</t>
  </si>
  <si>
    <t>Nos</t>
  </si>
  <si>
    <t>TEXMASTER VIETNAM CO., LTD LAND LOT C 4C CN MY PHUOC IP3 THOI HOA WARD, BEN CAT TOWN BINH DUONG P ROVINCE VIET NAM, Viet Nam</t>
  </si>
  <si>
    <t>ARGENT INTERNATIONAL INC TAX ID 38-2181842 41016 CONCEPT DR PLYMOUTH MI 481704252 UNITED STATES  United States</t>
  </si>
  <si>
    <t>Chennai-April</t>
  </si>
  <si>
    <t>Chennai-May</t>
  </si>
  <si>
    <t>Chennai-June</t>
  </si>
  <si>
    <t>Chennai-July</t>
  </si>
  <si>
    <t>Chennai-August</t>
  </si>
  <si>
    <t>Chennai-Oct</t>
  </si>
  <si>
    <t>Chennai-Sept</t>
  </si>
  <si>
    <t>CUSHION COMPONENTS</t>
  </si>
  <si>
    <t>Cushion ICAB FI 2 Row C</t>
  </si>
  <si>
    <t>INFLATOR, ASP-2, GEN15,</t>
  </si>
  <si>
    <t>LABEL, BLANK, BAR CODE,</t>
  </si>
  <si>
    <t>2581469</t>
  </si>
  <si>
    <t>2649770</t>
  </si>
  <si>
    <t>Chennai-April -1</t>
  </si>
  <si>
    <t>AB Cushion ICAB FI 2 Row C KSID, ASP5.1, BUTTON HOL</t>
  </si>
  <si>
    <t>AB INFLATOR, ASP-2, GEN15,</t>
  </si>
  <si>
    <t>AB INFLATOR, ASP-5.1, P20, SRR, IMI, SERV, NO STUDS</t>
  </si>
  <si>
    <t>AB Cushion ICAB FI 2 Row C</t>
  </si>
  <si>
    <t>Month</t>
  </si>
  <si>
    <t>HMT(HAI PHONG)NEW TECHNICAL MATERIALS COMPANY LIMI TED WORKSHOP NO1 STANDARD FACTYORY AT BLOCK CN1 AN DOUNG INDUSTRIAL ZO NE HONG PHONG COMMUNE AN DOUNG DIST Viet Nam</t>
  </si>
  <si>
    <t>CTH</t>
  </si>
  <si>
    <t>April 24-Ghari</t>
  </si>
  <si>
    <t>April24 - Delhi</t>
  </si>
  <si>
    <t>May-24 - Ghari</t>
  </si>
  <si>
    <t>Final/P</t>
  </si>
  <si>
    <t>JOHNSON ELECTRIC INDUSTRIAL MANUFACTORY, LIMITED // 6/F, 12SCIE NCE PARK EAST AVENUE, HONG KONGSCIE NCE PARK SHATIN, NT HONG KONG</t>
  </si>
  <si>
    <t>JOHNSON ELECTRIC IND MFTY LTD CO LTD // G/FL, JOHNSON BUILDING, 6-22 DAI SHUN STREET, TAIPO IND ESTTAI P O, NT, HONG KONG</t>
  </si>
  <si>
    <t>TOYOTA TSUSHO CORPORATION., 3-13, KONAN 2- CHOME, MINATO-KU, TOKYO 108-8208  JAPAN</t>
  </si>
  <si>
    <t>GENTHERM AUTOMOTIVE SYSTEMS (CHINA) LTD // LANGFANG  ECONOMIC &amp;TECHNICA L DEVELOPMENT ZONE,JINYUANROAD LANG FANG, HEBEI P.R. C 065001 CHINA</t>
  </si>
  <si>
    <t>NHK SALES CO,LTD 2-4-7 KITASHINYOKOHAMA KOHOKU-KU YO KOHAMA-SHI KANAGAWA JAPAN  Japan</t>
  </si>
  <si>
    <t>AUTOLIV (JIANGSU) AUTOMOTIVE SAFETY COMPONENTS CO., LTD NO.1 AUTOLIV AVE XUEBU TOWN JINTAN ,,JIANGSU, CHINA</t>
  </si>
  <si>
    <t>PT. MASTROTTO INDONESIA KAWASAN INDUSTRI SENTUL JL. LINTAN G RAYA KAV.F4-F5 SENTUL BOGOR 16810 INDONESIA Indonesia</t>
  </si>
  <si>
    <t>PT. MASTROTTO INDONESIA KAWASAN INDUSTRI SENTUL JL. LINTANG RAYA KAV.F4-F5 SENTUL BOGOR 16810 INDONESIA INDONESIA</t>
  </si>
  <si>
    <t>EASYLINK INDUSTRIAL CO. LTD 6F-1, NO.284 CHUNG CHENG 1ST RD TAIWAN, TAIWAN</t>
  </si>
  <si>
    <t>T.A AMERICA CORPORATION 12414 MCCANN DRIVE 90670   UNITED STATES</t>
  </si>
  <si>
    <t>LISI KNIPPING ESPANA E-28942 FUENLABRADA  , S
PAIN</t>
  </si>
  <si>
    <t>SHANGHAI FIRMUS SCIENCE &amp; TECHNOLOGY CO LTD NO 2003 MEIXING ROAD BAOSHAN DISTRI CT SHANGHAI CHINA Shanghai, , China  China</t>
  </si>
  <si>
    <t>LISI KNIPPING ESPANA CALLE ENEBRO N-2 E-28942 FUENLABRADA, SPAIN</t>
  </si>
  <si>
    <t>TOYOTA TSUSHO  CORPORATION 3-13, KONAN 2- CHOME, MINATO-KU, TOKYO,108-8208  JAPAN</t>
  </si>
  <si>
    <t>TOYOTA TSUSHO CORPORATION., 3-13, KONAN 2-CHOME, MINATO-KU TOKYO 108-8208  JAPAN</t>
  </si>
  <si>
    <t>NANJING WELBOW METALS CO.,LTD. NO.9 EAST XIUSHAN ROAD, LISHUI ECONOMIC DEVELOPMENT ZONE, NANJING, CHINA</t>
  </si>
  <si>
    <t>P.T MASTROTTO INDONESIA. KAWASAN INDUSTRI SENTUL JI. LINTANG RAYA KAV. F4-F5 SENTUL BOGOR 16810 INDONESIA</t>
  </si>
  <si>
    <t>T.A AMERICA CORPORATION 12414 MCCANN DRIVE 90670  UNITED STATES</t>
  </si>
  <si>
    <t>JOHN WHILE SPRINGS (THAILAND) CO., LTD. 700/607 MOO4 AMATA CITY CHONBURI IN DUSTRIAL ESTATE TAMBON BANKAO AMPHU R PANTHONG Thailand</t>
  </si>
  <si>
    <t>NANJING WELBOW METALS CO.,LTD No.9 East Xiushan Road, Lishui Econ omic Development Zone, Nanjing, Chi na China</t>
  </si>
  <si>
    <t>NANJING WELBOW METALS CO.,LTD. NO.9 EAST XIUSHAN ROAD, LISHUI ECONOMIC DEVELOPMENT ZONE, NANJING,, CHINA</t>
  </si>
  <si>
    <t>LISI AUTOMOTIVE KNIPPING ESPANA. S.A C/. ENEBRO, 2 POL. IND. EL TEMPRANAR 28942 FUENLABRADA MADRID ESPANA SPAIN</t>
  </si>
  <si>
    <t>GENTHERM AUTOMOTIVE SYSTEMS (CHINA) LTD. LANGFANG ECONOMIC AND TECHNICAL DEVELOPMENT ZONE, JINYUAN ROAD, LANGFANG, HEBEI, 065001 P.R., CHINA
0</t>
  </si>
  <si>
    <t>AUTOLIV (JIANGSU) AUTOMOTIVE SAFETY COMPONENTS CO., LTD NO.1 AUTOLIV AVE XUEBU TOWN JINTAN ,,JIANGSU, 213245 CHINA</t>
  </si>
  <si>
    <t>NANJING WELBOW METALS CO., LTD. NO.9 EAST XIUSHAN ROAD, LISHUI ECONOMIC DEVELOPMENT ZONE NANJING CHINA</t>
  </si>
  <si>
    <t>PT MASTROTTO INDONESIA KAWASAN INDUSTRI SENTULJI, LINTANG RAYA KAV F4-F5SENTUL BOGOR, 16810  INDONESIA</t>
  </si>
  <si>
    <t>JOHN WHILE SPRINGS (THAILAND) CO., LTD. 700/607 MOO4,AMATA CITY CHONBU RI INDUSTRIAL ESTATE TAMBON BANKAO, AMPHUR PATHONG CHONBURI 20160,, THAILAND
0</t>
  </si>
  <si>
    <t>LESJOFORS SPRINGS AND PRESSINGS (THAILAND) CO., LTD. 700/607 MOO 4, AMATA CITY CHONBURI INDUSTRIAL ESTA TE, TAMBON BANKAO, AMPHUR PANTHONG, THAILAND</t>
  </si>
  <si>
    <t>JOHNSON ELECTRIC INDUSTRIAL MANUFACTORY, LIMITED 6/F, 12 SCIENCE PARK EAST AVENUE,HO NG KONG SCIENCE PARK SHATIN, NT HON G KONG Hong Kong</t>
  </si>
  <si>
    <t>INTKD6</t>
  </si>
  <si>
    <t>NANJING WELBOW METALS CO.,LTD No.9 East Xiushan Road, Lishui Econ omic Development Zone, Nanjing  China</t>
  </si>
  <si>
    <t>T.A AMERICA CORPORATION 12414 MCCANN DRIVE 90670  , U
NITED STATES</t>
  </si>
  <si>
    <t>T.A. AMERICA CORPORATION 12414 MCCANN DRIVE 90670 UNITED STATES</t>
  </si>
  <si>
    <t>LISI AUTOMATIVE KNIPPING ESPANA S.A .ENABRO 2 POL.IND EI TEMPRANAR 2894 2 FUENLABRADA MADRIDESPANA  SPAIN</t>
  </si>
  <si>
    <t>LESJOFORS SPRINGS AND PRESSINGS (THAILAND) CO., LT D. 700/607 MOO4 AMATA CITY CHONBURI INDUSTRIAL ESTATE TAMBON BANKAO AM PHUR PANTHONG Thailand</t>
  </si>
  <si>
    <t>PT. MASTROTTO INDONESIA KAWASAN INDUSTRI SENTUL JL.LINTANG RAYA KAV, F4-F5 SENTUL BOGOR, 16810 INDONESIA</t>
  </si>
  <si>
    <t>T.A. AMERICA CORPORATION 12414 McCANN DRIVE SANTA FE SPRINGS , CA, 90670 USA  United States</t>
  </si>
  <si>
    <t>EASYLINK INDUSTRIAL CO.,LTD 6F-1,NO.284 CHUNG CHENG 1ST RD KAOHSIUNG,TAIWAN  TAIWAN</t>
  </si>
  <si>
    <t>JOHNSON ELECTRIC INDUSTRIAL MANU FACTORY LTD. 6/F 12 SCIENCE PARK EAST AVENUE,HONG KONG SCIENCE PARK SHATIN, NT, HONG KONG HONG KONG</t>
  </si>
  <si>
    <t>PT. MASTROTTO INDONESIA KAWASAN INDUSTRI SENTUL JL. LINTANG RAYA KAV F4-F5  Indonesia</t>
  </si>
  <si>
    <t>GENTHERM AUTOMOTIVE SYSTEMS (CHINA) LTD LANGFANG ECONOMIC &amp;TECHNICAL DEVELO PMENT ZONE JINYUAN ROAD, LANG FANG, HEBEI P.R. CHINA 065001 China</t>
  </si>
  <si>
    <t>LISI AUTOMOTIVE KNIPPING ESPANA S.A. C/ENEBRO, 2 POL. IND. EL TEMPRANER 28942 FUENLABRADA MADRID, SPAIN</t>
  </si>
  <si>
    <t>JOHN WHILE SPRING (THAILAND) CO.,LTD 700/607 MOO4,AMATA CITY CHONBURI INDUSTRIAL ESTATE TAMBON BANKAO, AMPHUR PANTHONG CHONBURI 20160 THAILAND</t>
  </si>
  <si>
    <t>JOHN WHILE SPRINGS (THAILAND) CO.,LTD. 700/607 MOO4, AMATA CITY CHONBURI INDUSTRIAL ESTATE TAMBON BANKAO, AMPHUR PATHONG CHONBURI, THAILAND</t>
  </si>
  <si>
    <t>Chennai - May 24</t>
  </si>
  <si>
    <t>Chennai - April 24</t>
  </si>
  <si>
    <t>AUTOLIV (THAILAND) LTD 700/908 MOO.5, TAMBOL NONGKAKHA, AM PHUR PANTHONG, CHONBURI 20160  Thailand</t>
  </si>
  <si>
    <t>AGRATI - MEDINA, LLC 955 LAKE RD.  MEDINA, OH 44256 USA   United States</t>
  </si>
  <si>
    <t>BOLTUN CORPORATION NO.1 HSIN TIEN 2ND ST RENDE DIST TAINAN CITY 717  TAIWAN</t>
  </si>
  <si>
    <t>DONGWON CORPORATION CO LTD 481 JIMUN-RO WONGOK-MYEON ANSEONG-S I GYEONGGI-DO KOREA  Korea, Republic of</t>
  </si>
  <si>
    <t>CHUNG WOO CO LTD 10038 56 GAHYEON-RO 4 BEON-GIL TONGJIN-EUP GIMPO-SI GYEONGGI-DO 10038 KOREA REPULIC OF KOREA,REPUBLIC OF</t>
  </si>
  <si>
    <t>BAND-IT IDEX INC A UNIT OF IDEX CORPORATION, 4799 DA HLIA ST, DENVER CO 80216-0307 UNITE D STATES, United States</t>
  </si>
  <si>
    <t>ITW DELTAR FASTENERS 1700 FIRST AVENUE CHIPPEWA FALLS WI 54729 UNITED STATES New York, , Un ited States United States</t>
  </si>
  <si>
    <t>EDWIN DEUTGEN KUNSTSTOFFTECHNIK GMBH KUMPENKAMPSHEIDE 1 - 29320 HERMANNSBURG GERMANY DE</t>
  </si>
  <si>
    <t>NOVAPAX KUNSTSTOFFTECHNIK STEINER GMBH &amp; CO KG SCHATZELBERGSTRABE 4-10 D-12099 BERLIN DE</t>
  </si>
  <si>
    <t>STUDER-BIENNAFORM, BRANCH OF NOTZ METAL INC. BERNSTRASSE 24 CH-2555 BRUGG BE   Switzerland</t>
  </si>
  <si>
    <t>ZINKTEKNIK AB INDUSTRIVAEGEN 16 SE-333 72 BREDARYD SWEDEN SE</t>
  </si>
  <si>
    <t>GETAC PRECISION TECHNOLOGY VIETNAM CO., LTD LO L1-2-3-5-6-7,KCN QUE VO,BAC NINH Hanoi, , Viet Nam  Viet Nam</t>
  </si>
  <si>
    <t>M/S. ITW AUTOMOTIVE PRODUCTS GMBH BAHNHOFSTRABE 50 A, D-29693,HODENHA GEN, GERMANY  GERMANY</t>
  </si>
  <si>
    <t>EGON GROSSHAUS GMBH &amp; CO. KG BONZELERHAMMER D-57368 LENNESTADT GERMANY DE</t>
  </si>
  <si>
    <t>M/S. ADVANEX (THAILAND) LTD. AYUTTHAYA FACTORY (HEAD OFFICE) 151 MOO1 HI-TECH INDUSTRIAL ESTATE T.B ANN-LEN A BANGPA-IN AYUTTHAYA 13160 THAILAND</t>
  </si>
  <si>
    <t>KASEI (THAILAND) CO., LTD. KABINBURI INDUSTRIAL ZONE 517/3 MOO 9 KABINBURI-KORAT RD, TAMBOL NONGKI A.KABINBURI, PRACHINBURI 25110 THAILAND</t>
  </si>
  <si>
    <t>M/S. NOVAPAX KUNSTSOFFTECHNIK STEIN ER GMBH &amp; CO.KG SCHAETZELBERGSTRABE 4-10 12099  BERLIN GERMANY  GERMANY</t>
  </si>
  <si>
    <t>M/S. DYNACAST DEUTSCHLAND GMBH PRAZISIONS-KLEINTEILE AUS DRUCKGUSS (ZN,MG,AI) ZERTLFLZLERT NACH IATF 16949 HUFINGER STRABE 24 78199 BRAU GERMANY</t>
  </si>
  <si>
    <t>HANKOOK CAPABILITY CO., LTD 61, Yuchonsandan-ro, Geumwang-eup, Eumseong-gun,Chungcheongbuk-do, Rep ublic of Korea(27680) Korea, Republic of</t>
  </si>
  <si>
    <t>BAUMANN SPRINGS LTD., FABRIKSTRASSE CH-8734 ERMENSWIL SWITZERLAND CH</t>
  </si>
  <si>
    <t>HANKOOK CAPABILITY CO LTD., 61 YUCHONSANDAN-RO GEUMWANG-EUP EUMSEONG-GUN CHUNGCHEONGBUK-DO REPUBLIC OF KOREA(27680) KOREA,REPUBLIC OF</t>
  </si>
  <si>
    <t>M/S. TOKYO BYOKANE (THAILAND) CO., LTD. NO 9/67-68 MOO 5 PHAHOLYOTHIN ROAD TAMBOL KLONGNUENG AMPHUR KLONG NUENG PATHUMTHANI 12120 THAILAND THAILAND</t>
  </si>
  <si>
    <t>ENSHU MOLDING PRODUCTS(THAILAND)CO,LTD 700/904, MOO5, TAMBOL NANGKATHA, AM PHUR PANTHONG,CHONBURI, THAILAND  Thailand</t>
  </si>
  <si>
    <t>TSUCHIYA CO.,LTD. 2-5-3, SHIBADAIMON, MINATO-KU, TOKY O, 105-0012, JAPAN  Japan</t>
  </si>
  <si>
    <t>HMT (HAI PHONG) NEW TECHNICAL MATERIALS COMPANY LT D ADD: Workshop No.1, Standard fact ory at block CN1 An Duong Industria l Zone, Hong Phong Commune, An Duon Viet Nam</t>
  </si>
  <si>
    <t>TSUCHIYA CO.,LTD. 2-5-3, SHIBADAIMON, MINATO-KU, TOKY O, 105-0012, JAPAN Tokyo, , Japan  Japan</t>
  </si>
  <si>
    <t>May -24 Delhi</t>
  </si>
  <si>
    <t>Jun -24 Ghari</t>
  </si>
  <si>
    <t>Jun -24 Delhi</t>
  </si>
  <si>
    <t>Chennai-June 24</t>
  </si>
  <si>
    <t>SU2ID CUSHION COMPONENTS CVR NON-WOVEN LH STD</t>
  </si>
  <si>
    <t>Jul -24 Ghari</t>
  </si>
  <si>
    <t>PCS</t>
  </si>
  <si>
    <t>NOS</t>
  </si>
  <si>
    <t>M/S. TSUCHIYA CO.,LTD .. 2-5-3, SHIBADAIMON MINATO-KU, TOK YO,105-0012,JAPAN  JAPAN</t>
  </si>
  <si>
    <t>TSUCHIYA CO LTD 2-5-3 SHIBADAIMON MINATO-KU TOKYO 105-0012  , J
APAN</t>
  </si>
  <si>
    <t>INKAT1</t>
  </si>
  <si>
    <t>KGS</t>
  </si>
  <si>
    <t>M/S. TEXMASTER VIETNAM CO LTD LAND LOT C 4C CN MY PHUOC IP3, THOI HOA WARD BEN CAT TOWN BINH DUONG P ORVINCE VIETNAM VIETNAM, DEMOCRATIC REP.</t>
  </si>
  <si>
    <t>ENSHU MOLDING PRODUCTS (THAILAND) CO., LTD. 700/904 MOO 5 NONGKAKHA, AMPHUR PANTHO CHONBURI, 20160 THAILAND</t>
  </si>
  <si>
    <t>TEXMASTER VIETNAM CO.,LTD. LAND LOT C 4C CN,MY PHUOC IP3,THOI HOA WARD,BEN CAT TOWN, BINH DUONG PROVINCE VIETNAM, DEMOCRATIC REP.</t>
  </si>
  <si>
    <t>M/S. ARGENT INTERNATIONAL INC TAX ID 38-2181842  41016 CONCEPT DR IVE  PLYMOUTH MI 481704252 UNITED S TATES UNITED STATES</t>
  </si>
  <si>
    <t>TSUCHIYA CO LTD 2-5-3 SHIBADAIMON MINATO-KU TOKYO 105-0012  JAPAN</t>
  </si>
  <si>
    <t>PULLFLEX CAOUTCHOUCS ET PLASTIQUES CELLULAIR ES ROUTE D AUTHOU F-27800 BRIONNE F rance France</t>
  </si>
  <si>
    <t>ARGENT INTERNATIONAL INC TAX ID 38-2181842 41016 CONCEPT DR PLYMOUTH MI 481704252 UNITED STATES New York, , United States United States</t>
  </si>
  <si>
    <t>M/S. ARGENT INTERNATIONAL INC TAX ID 38-2181842  41016 CONCEPT DR PLYMOUTH MI 481704252 UNITED STATE  S U
NITED STATES</t>
  </si>
  <si>
    <t>TEXMASTER VIETNAM CO.,LTD LAND LOT C 4C CN,MY PHUOC IP3,THOI HOA WARD,BEN CAT TOWN, BINH DUONG PROVINCE VIETNAM, DEMOCRATIC REP</t>
  </si>
  <si>
    <t>M/S. TEXMASTER VIETNAM CO LTD LAND LOT C 4C CN MY PHOC IP THOI HO A WARD BEN CAT TOWN BINH DUONG PORV INCE VEITNAM VIETNAM, DEMOCRATIC REP.</t>
  </si>
  <si>
    <t>AUTOLIV (THAILAND) LTD 700/908 MOO 5 TAMBOL NONGKAKHA AMPH UR PANTHONG CHONBURI 20160 Chonburi Thailand Thailand</t>
  </si>
  <si>
    <t>AUTOLIV (THAILAND) LTD. 700/908 MOO.5, TAMBOL NONGKAKHA AMP HUR PANTHONG, CHONBURI 20160  Thailand</t>
  </si>
  <si>
    <t>HMT (HAI PHONG) NEW TECHNICAL MATERIALS COMPANY LI MITED ADD: Workshop No.1, Standard factory at block CN1 An Duong Indus trial Zone, Hong Phong Commune,An D Viet Nam</t>
  </si>
  <si>
    <t>ADAMPAK (THAILAND) LTD. 700/686 MOO 1 AMATA NAKORN INDUSTRI AL ESTATE T. PHANTHONG A.PHANTHONG CHONBURI 20160 THAILAND CHONBURI , Thailand</t>
  </si>
  <si>
    <t>AUTOLIV (JIANGSU) AUTOMOTIVE SAFETY COMPONENTS CO., LTD NO.1 AUTOLIV AVE XUEBU TOWN, JINTAN, JIANGSU 213245 CHINA</t>
  </si>
  <si>
    <t>BAND-IT-IDEX INC A UNIT OF IDEX CORPORATION 4799 DAH LIA ST DENVER ,CO  United States</t>
  </si>
  <si>
    <t>M/S. PULLFLEX CAOUTCHOUCS ET PLASTIQUES CELLULAIR ES ROUTE D AUTHOU F-27800 BRIONNE  FRANCE</t>
  </si>
  <si>
    <t>AUTOLIV (THAILAND) LTD 700/908 MOO 5 TAMBOL NONGKAKHA, AMP HUR, PANTHONG CHONBURI 20160 Chonbu ri, , Thailand Thailand</t>
  </si>
  <si>
    <t>AUTOLIV (THAILAND) LTD 700/908 MOO.5, TAMBOL NONGKAKHA, AM PHUR PANTHONG, CHONBURI 20160 Bangk ok, , Thailand Thailand</t>
  </si>
  <si>
    <t>HMT(HAIPHONG) NEW TECHNICAL MATERIALS COMPANY LTD WORKSHOP NO 1,STANDARD FACTOR Y AT BLOCK CN1 AN DUONG INDL ZONE, HONG PHONG COMMUNE AN DUONG DIST, VIETNAM, DEMOCRATIC REP</t>
  </si>
  <si>
    <t>TEXMASTER VIETNAM CO.,LTD. LAND LOT C 4C CN, MY PHUOC IP3,THOI HOA WARD,BEN CAT TOWN,BINH DUONG PROVINCE, VIETNAM, DEMOCRATIC REP.</t>
  </si>
  <si>
    <t>Sr. No. For DBK IIA</t>
  </si>
  <si>
    <t>TECH. CHAR.</t>
  </si>
  <si>
    <t>S.NO. IN DBK I STATEMENT</t>
  </si>
  <si>
    <t>Chennai-July 24</t>
  </si>
  <si>
    <t>AUTOLIV (THAILAND) LTD 700/908 MOO 5 TAMBOL NONGKAKHA AMPH UR PANTHONG CHONBURI 20160 Chonburi , Thailand Thailand</t>
  </si>
  <si>
    <t>BAND-IT IDEX INC A UNIT OF INDEX CORPORATION, 4799 D AHLIA ST, DENVER UNITED STATES, , U nited States United States</t>
  </si>
  <si>
    <t>Aug -24 Ghari</t>
  </si>
  <si>
    <t>GENTHERM AUTOMOTIVE SYSTEMS (CHINA) L.T.D LANGFANG ECONOMIC AND TECHNICAL DEV ELOPMENT ZONE JINYUAN ROAD LANGFANG 065001 China</t>
  </si>
  <si>
    <t>T.A AMERICA CORPORATION 12414 MCCANN DRIVE 90670 UNITED STA TES  United States</t>
  </si>
  <si>
    <t>LISI KNIPPING ESPANA CALLE ENEBRO N-2 E-28942 FUENLABRADA SPAIN</t>
  </si>
  <si>
    <t>LABEL, BLANK, BAR CODE</t>
  </si>
  <si>
    <t>HMT (HAIPHONG) NEW TECHNICAL MATERIALS COMPANY LTD WORKSHOP NO 1 STANDARD FACTORY AT BLOCK CN1 AN DUONG INDUSTRIAL ZONE, HONG PHONG COMMUNE AN DUONG DISTRIC VIETNAM, DEMOCRATIC REP</t>
  </si>
  <si>
    <t>GETAC PRECISION TECHNOLOGY VIETNAM CO., LTD LO L1-2-3-5-6-7,KCN QUE VO,BAC NINH   Viet Nam</t>
  </si>
  <si>
    <t>Chennai-Aug 24</t>
  </si>
  <si>
    <t>AMANNSEWINGTHREADS (YANCHENG )COLTD 16 LIJIANG ROAD ECONOMIC DEVELOPMENT ZONE *JIANGSU P.R.CYANCHENGYANCHE NGChina, Peoples Republic224007</t>
  </si>
  <si>
    <t>GENTHERM AUTOMOTIVE SYSTEMS (CHINA) LTD NO. 3 JINYUAN ROAD, LANGFANG ECONOM IC AND TECHNICAL DEVELOPMENT ZONE, LANGFANG China</t>
  </si>
  <si>
    <t>Sep -24 Ghari</t>
  </si>
  <si>
    <t>JOHNSON ELECTRIC INDUSTRIAL MANUFACTORY, LIMITED 6/F, 12 SCIENCE PARK EAST AVENUE, H ONG KONG SCIENCE PARK SHATIN, NT  Hong Kong</t>
  </si>
  <si>
    <t>NANJING WELBOW METALS CO.LTD NO.9, EAST XIUSHAN ROAD, LISHUI ECO NOMIC DEVELOPMENT ZONE, NANJING CHI NA , , China China</t>
  </si>
  <si>
    <t>EASYLINK INDUSTRIAL CO.,LTD 6F-1, NO 284 CHUNG CHENG 1ST RD*,KAOHSIUNG CITY TAIWAN,KAOHSIUNG CITY,KAOHSIUNG,TAIWAN, 999999</t>
  </si>
  <si>
    <t>Chennai-Sep 24</t>
  </si>
  <si>
    <t>AUTOLIV (JIANGSU) AUTOMOTIVE SAFETY COMPONENTS CO LTD No.1 Autoliv Ave Xuebu Town,Jin tan,Jiangsu,  213245 CHINA  China</t>
  </si>
  <si>
    <t>Autoliv (Jiangsu) Automotive Safety Components Co. , Ltd No.1 Autoliv Ave   Xuebu Town Jintan,Jiangsu  213245   CHINA  China</t>
  </si>
  <si>
    <t>JOHNSON ELECTRIC INDUSTRIAL MANUFACTORY LIMITED 6/F 12  SCIENCE PARK EAST AVENUE, , HONG KONG SCIENCE PARK SHATIN, NT HONG KONG , , Hong Kong Hong Kong</t>
  </si>
  <si>
    <t>SQM</t>
  </si>
  <si>
    <t>Oct -24 Ghari</t>
  </si>
  <si>
    <t>TOYOTA TSUSHO CORPORATION 3-13, KONAN 2- CHOME, MINATO-KU, TO KYO 108-8208 JAPAN  Japan</t>
  </si>
  <si>
    <t>LESJOFORS SPRINGS AND PRESSINGS (THAILAND) CO. LTD . 700/607 MOO 4, AMATA CITY CHONBUR I INDUSTRIAL ESTATE, TAMBON BANKAO, AMPHUR PANTHONG, CHONBURI 20160, T Thailand</t>
  </si>
  <si>
    <t>T. A. AMERICA CORPORATION 12414 McCANN DRIVE,90670   UNITED STATES</t>
  </si>
  <si>
    <t>AUTOLIV (JIANGSU) AUTOMOTIVE SAFETY COMPONENTS CO. , LTD NO.1 AUTOLIV AVE, XUEBU TOWN, JINTAN, JIANGSU, 213245 Jiangsiu, , China China</t>
  </si>
  <si>
    <t>Dec -24 Ghari</t>
  </si>
  <si>
    <t>T.A AMERICA CORPORATION 12414 MCCANN DRIVE 90670  . U
NITED STATES</t>
  </si>
  <si>
    <t>T.A. AMERICA CORPORATION 12414 MCCANN DRIVE 90670, UNITED STATES</t>
  </si>
  <si>
    <t>TECHNO ASSOCIE SINGAPORE PTE LTD 19 JALAN KILANG BARAT, #06-07 ACETE CH CENTRE SINGAPORE 159361  Singapore</t>
  </si>
  <si>
    <t>LISI AUTOMOTIVE KNIPPING ESPANA S.A C/. ENEBRO 2 POL. IND. EI TEMPRANAR 28942 FUENLABRADA MADRID-ESPANA  Spain</t>
  </si>
  <si>
    <t>Chennai-Jan 25</t>
  </si>
  <si>
    <t>Metal Emblem, HMC,</t>
  </si>
  <si>
    <t>CUSHION COMPONENTS CVR NON-WOVEN RH SU2ID</t>
  </si>
  <si>
    <t>HMT (HAIPONG) NEW TECHNICAL MATERIALS COMPANY LIMI TED Workshop No.1, Standard Factory at block CN1 An Duong Industrial Z one, Hong Phong Commune, An Duong D Viet Nam</t>
  </si>
  <si>
    <t>DOOSAN PRECISION CO,.LTD. 17555,110,GWANSAN-GIL,WONGOK-MYEON ANSEONG -SI,GYEONGGI-DO, REPUBLIC O F KOREA Incheon, , Korea, Republic Korea, Republic of</t>
  </si>
  <si>
    <t>Jan -25 Ghari</t>
  </si>
  <si>
    <t>Feb -25 Ghari</t>
  </si>
  <si>
    <t>JOHNSON ELECTRIC INDUSTRIAL MANUFACTORY LIMITED 6/F, 12  SCIENCE PARK EAST AVENUE, HONGKONG SCIENCE PARK SHATIN, NT HO NG KONG , , Hong Kong Hong Kong</t>
  </si>
  <si>
    <t>TECHNO ASSOCIE SINGAPORE PTE LTD 19 JALAN KILANG BARAT, #06-07 ACETE CH CENTRE, 159361 SINGAPORE  Singapore</t>
  </si>
  <si>
    <t>Chennai-Feb 25</t>
  </si>
  <si>
    <t>AGRATI-MEDINA, LLC 955 LAKE RD., MEDINA, OH 44256  UNITED STATES</t>
  </si>
  <si>
    <t>Mar -25 Ghari</t>
  </si>
  <si>
    <t>NANJING WELBOW METALS CO., LTD. NO.9 EAST XIUSHAN ROAD,LISHUI ECONO MIC DEVELOPMENT ZONE  NANJING, CHIN  A C
HINA</t>
  </si>
  <si>
    <t>GENTHERM AUTOMOTIVE SYSTEMS (CHINA) LTD NO. 3 JINYUAN ROAD, LANGFANG ECONOM IC AND TECHNICAL DEVELOPMENT ZONE,L ANGFANG HEBEI CHINA 065001 China</t>
  </si>
  <si>
    <t>NANJING WELBOW METALS CO., LTD. NO.9 EAST XIUSHAN ROAD, LISHUI ECON OMIC DEVELOPMENT ZONE, NANJING, CHI NA CHINA</t>
  </si>
  <si>
    <t>Chennai-Mar 25</t>
  </si>
  <si>
    <t>RING, CRIMP, CLAMP, BAND</t>
  </si>
  <si>
    <t>STUD, M6 X 1.0, 16.0</t>
  </si>
  <si>
    <t>LESJOFORS SPRINGS AND PRESSINGS (THAILAND) CO., LT D (FORMERLY KNOWN AS JOHN WHILE SPR INGS THAILAND) CO LTD.) 700/607  MO O 4 AMATA CITY CHONBURI INDUSTRIAL Thailand</t>
  </si>
  <si>
    <t>WEBBING, COATING, P10960 P109604</t>
  </si>
  <si>
    <t>WEBBING, COATING, P17101 P171013</t>
  </si>
  <si>
    <t>WEBBING, COATING, P70007 P700078</t>
  </si>
  <si>
    <t>WEBBING, COATING, P70014 P700146</t>
  </si>
  <si>
    <t>WEBBING YARN PET PERF FIBERS 550DTEX F70 V0</t>
  </si>
  <si>
    <t>WEBBING YARN PET PERF FIBERS 275DTEX F35 V0</t>
  </si>
  <si>
    <t>WEBBING YARN PET PERF FIBERS 110DTEX F35, V0</t>
  </si>
  <si>
    <t>WEBBING, YARN, PET, OTIZ 575 DTEX, F97, Z130, WHI</t>
  </si>
  <si>
    <t>WEBBING,YARN,PET,Hyosung 830, F96, V0, White</t>
  </si>
  <si>
    <t>WEBBING YARN PET HYOSUNG 1670DTEX F144 V0 WHIT</t>
  </si>
  <si>
    <t>NANJING WELBOW METALS CO., LTD NO.9 EAST XIUSHAN ROAD, LISHUI ECON OMIC DEVELOPMENT ZONE, NANJING, CHI NA CHINA</t>
  </si>
  <si>
    <t>NANJING WELBOW METALS CO., LTD. NO.9 EAST XIUSHAN ROAD , LISHUI ECO NOMIC DEVELOPMENT ZONE, NANJING , C HINA CHINA</t>
  </si>
  <si>
    <t>EASYLINK INDUSTRIAL CO LTD 6F-1 NO.284 CHUNG CHENG 1ST RD KAOHSIUNG  TAIWAN</t>
  </si>
  <si>
    <t>TEXMASTER VIETNAM CO.,LTD LAND LOT C 4C CN,MY PHUOC IP3,THOI HOA WARD,BEN CAT CITY, BINH DUONG PROVINCE VIETNAM, DEMOCRATIC REP</t>
  </si>
  <si>
    <t>GENTHERM AUTOMOTIVE SYSTEMS (CHINA)LTD Langfang Economic and Technical Dev elopment zone,Jinyuan Road onelangf ang065001,Hebei ProvinceChina065000 CHINA</t>
  </si>
  <si>
    <t>Autoliv (Jiangsu) Automotive Safety Components Co. , Ltd No.1 Autoliv Ave Xuebu Town,J intan Jiangsu213245 CHINA  China</t>
  </si>
  <si>
    <t>HANKOOK CAPABILITY CO., LTD 61 Yuchonsandan ro Geumwang-eup Eum seong-gun Chungcheongbuk-do Republi c of Korea(27680) Korea, Republic of</t>
  </si>
  <si>
    <t>TANATEX CHEMICALS B.V EINSTEINSTRAAT 11 PO BOX 46-6710 BA EDE THE NETHERLANDS NETHERLANDS</t>
  </si>
  <si>
    <t>INDORAMA VENTURS MOBILITY (KAIPING) CO.,LTD NO 3 HONG QIAO ROAD, CHANGSHA, KAIP ING CITY, GUANGDONG, 529300 R.P. CH IAN China</t>
  </si>
  <si>
    <t>Indorama Ventures Mobility (Kaiping) Co., Ltd. No 3 Hong Qiao Road, Changsha, Kaip ing city, Guangdong, 529300 P.R. Ch ina China</t>
  </si>
  <si>
    <t>Indorama Ventures Mobility (Kaiping) Co., Ltd No 3 Hong Qiao Road, Changsha, Kaip ing city, Guangdong, 529300 P.R. Ch ina China</t>
  </si>
  <si>
    <t>ORIENTAL INDUSTRIES (SUZHOU)LTD. 1688 YIN ZHONG SOUTH ROAD,HE DONG INDUSTRIAL PARK,WU ZHONG ECONOMIC DEVELOPMENT DISTRICT,SUZHOU CHINA</t>
  </si>
  <si>
    <t>HYOSUNG ADVANCED MATERIALS CORPORATION 119,MAPO-DAERO,MAPO-GU SEOUL, SOUTH KOREA KR
04144</t>
  </si>
  <si>
    <t>BAND-IT-IDEX, INC 4799 DAHLIA ST DENVER CO 80216-0307  UNITED STATES</t>
  </si>
  <si>
    <t>AUTOLIV (JIANGSU) AUTOMOTIVE SAFETY COMPONENTS CO. , LTD NO.1 AUTOLIV AVE XUEBU TOWN J INTAN JIANGSU 213245 Jiangsiu   Chi na China</t>
  </si>
  <si>
    <t>TEXMASTER VIETNAM CO., LTD LAND LOT C 4C CN MY PHONE IP3 THOI HOA WARD, BEN CAT TOWN BINH DUONG P ROVINCE VIET NAM, , Viet Nam Viet Nam</t>
  </si>
  <si>
    <t>BLR ICD,INBD, Che Apr-25</t>
  </si>
  <si>
    <t>BLR ICD,INBD, Che May-25</t>
  </si>
  <si>
    <t>TEXMASTER VIETNAM CO.,LTD. LAND LOT C 4C CN,MY PHUOC IP3,THOI HOA WARD,BEN CAT CITY, BINH DUONG PROVINCE VIETNAM, DEMOCRATIC REP</t>
  </si>
  <si>
    <t>PT MASTROTTO INDONESIA KAWASAN INDUSTRI SENTUI JL. LINTANG RAYA KAV F4-F5 SENTUL BOGOR 16810  INDONESIA</t>
  </si>
  <si>
    <t>LESJOFORS SPRINGS AND PRESSING (THAILAND) CO. LTD. 700/607 MOO 4, AMATA CITY CHONBURI INDUSTRIAL ESTATE, TAMBON BANKAO, A MPHUR PANTHONG, CHONBURI 20160, THA Thailand</t>
  </si>
  <si>
    <t>WEBBING, COATING,P322550</t>
  </si>
  <si>
    <t>BLR ICD,INBD, Che Jun to Aug-25</t>
  </si>
  <si>
    <t>SPRING, WIRE, COMPRESSIO D210</t>
  </si>
  <si>
    <t>INCML6</t>
  </si>
  <si>
    <t>NANJING WELBOW METALS CO., LTD NO.9 EAST XIUSHAN ROAD , LISHUI ECO NOMIC DEVELOPMENT ZONE, NANJING , C HINA CHINA</t>
  </si>
  <si>
    <t>LESJOFORS SPRINGS AND PRESSINGS (THAILAND) CO. LTD . 700/607 MOO 4,AMATA CITY CHONBURI INDUSTRIAL ESTATE, TAMBON BANKAO, AMPHUR PANTHONG,CHONBURI 20160,THAI Thailand</t>
  </si>
  <si>
    <t>TOKYO BYOKANE (THAILAND)CO.,LTD NO.9/67-68 MOO 5 PHAHOLYOTHIN ROAD TAMBOL KLONGNUENG AMPHUR KLONGLUANG PATHUMTHANI 12120 THAILAND</t>
  </si>
  <si>
    <t>BAND-IT-IDEX INC A UNIT OF IDEX CORPORATION 4799 DAHLIA ST DENVER CO 80216-0307 US</t>
  </si>
  <si>
    <t>HMT (HAIPHONG) NEW TECHNICAL MATERIALS COMPANY LTD WORKSHOP NO 1 STANDARD FACTORY AT BLOCK CN1 AN DUONG INDUSTRIAL ZONE, HONGPHONG COMMUNE AN DUONG DISTRICT VIETNAM, DEMOCRATIC REP</t>
  </si>
  <si>
    <t>MEI-AN AUTOLIV CO.LTD. NO.706 , FU KUO RD., TAOYUAN CITY, TAIWA R.O.C. Taipei, , Taiwan  Taiwan</t>
  </si>
  <si>
    <t>TORAY TEXTILES (THAILAND) PUBLIC COMPANY LIMITED 5TH FLOOR BUBHAJIT BUILDING 20 NORTH SATHORN ROAD SILOM BANGRAK BANGKOK 10500 THAILAND</t>
  </si>
  <si>
    <t>BLR ICD, ACC, INBD, Che Sep to Oct-25</t>
  </si>
  <si>
    <t>WEBBING, COATING,P170036</t>
  </si>
  <si>
    <t>WEBBING, COATING,P609705</t>
  </si>
  <si>
    <t>WEBBING, YARN PET, HYOSU VIETNAM, 1100 DTEX, F96,</t>
  </si>
  <si>
    <t>Yarn for Webbing, PET, H Hyosung Vietnam, 1670 dt</t>
  </si>
  <si>
    <t>Yarn for Webbing, PET, H Hyosung Vietnam, 830 dte</t>
  </si>
  <si>
    <t>YARN, PERFORMANCE 275DTE X/F35/Z60 WHITE</t>
  </si>
  <si>
    <t>NANJING WELBOW METALS CO., LTD NO.9 EAST XIUSHAN ROAD , LISHUI ECO NOMIC DEVELOPMENT ZONE, NANJING ,  CHINA</t>
  </si>
  <si>
    <t>T.A. AMERICA CORPORATION 12414 MCCANN DRIVE SANTA FE SPRINGS CA, 90670 USA  United States</t>
  </si>
  <si>
    <t>HYOSUNG DONG NAI CO LTD N3 ST NHON TRACH 5 INDUSTRIAL ZONE DONG NAI PROVINCE VIETNAM  VN</t>
  </si>
  <si>
    <t>TEX MATERIAL, FABRIC, SILICONE COATED</t>
  </si>
  <si>
    <t>Yarn for Webbing, PET, INDORAMA</t>
  </si>
  <si>
    <t>Invoice Sr No.</t>
  </si>
  <si>
    <t>Item Sr No.</t>
  </si>
  <si>
    <t>649421100A</t>
  </si>
  <si>
    <t>640294200A</t>
  </si>
  <si>
    <t>654590900A</t>
  </si>
  <si>
    <t>666041200A</t>
  </si>
  <si>
    <t>622408300A</t>
  </si>
  <si>
    <t>656334900F</t>
  </si>
  <si>
    <t>640294000A</t>
  </si>
  <si>
    <t>666041100A</t>
  </si>
  <si>
    <t>654590700A</t>
  </si>
  <si>
    <t>642837500B</t>
  </si>
  <si>
    <t>661147800B</t>
  </si>
  <si>
    <t>654590800A</t>
  </si>
  <si>
    <t>597509600A</t>
  </si>
  <si>
    <t>597509800A</t>
  </si>
  <si>
    <t>597509900A</t>
  </si>
  <si>
    <t>597510000B</t>
  </si>
  <si>
    <t>597510100A</t>
  </si>
  <si>
    <t>625254901A</t>
  </si>
  <si>
    <t>623642402A</t>
  </si>
  <si>
    <t>625255601A</t>
  </si>
  <si>
    <t>640839400A</t>
  </si>
  <si>
    <t>623851800A</t>
  </si>
  <si>
    <t>625236501A</t>
  </si>
  <si>
    <t>02-941520</t>
  </si>
  <si>
    <t>604121024A</t>
  </si>
  <si>
    <t>630771800A</t>
  </si>
  <si>
    <t>630770900A</t>
  </si>
  <si>
    <t>623642117A</t>
  </si>
  <si>
    <t>666794000A</t>
  </si>
  <si>
    <t>625236508A</t>
  </si>
  <si>
    <t>623851805A</t>
  </si>
  <si>
    <t>621440100A</t>
  </si>
  <si>
    <t>Duty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</si>
</sst>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 * #,##0_ ;_ * \-#,##0_ ;_ * &quot;-&quot;_ ;_ @_ "/>
    <numFmt numFmtId="165" formatCode="_ &quot;₹&quot;\ * #,##0.00_ ;_ &quot;₹&quot;\ * \-#,##0.00_ ;_ &quot;₹&quot;\ * &quot;-&quot;??_ ;_ @_ "/>
    <numFmt numFmtId="166" formatCode="_ * #,##0.00_ ;_ * \-#,##0.00_ ;_ * &quot;-&quot;??_ ;_ @_ "/>
    <numFmt numFmtId="167" formatCode="_(* #,##0.00_);_(* \(#,##0.00\);_(* &quot;-&quot;??_);_(@_)"/>
    <numFmt numFmtId="168" formatCode="_ * #,##0_ ;_ * \-#,##0_ ;_ * &quot;-&quot;??_ ;_ @_ "/>
    <numFmt numFmtId="169" formatCode="0.0"/>
  </numFmts>
  <fonts count="1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Helv"/>
      <charset val="204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/>
    <xf numFmtId="166" fontId="7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  <xf numFmtId="0" fontId="8" fillId="0" borderId="0"/>
    <xf numFmtId="0" fontId="8" fillId="0" borderId="0" applyFont="0" applyFill="0" applyBorder="0" applyAlignment="0" applyProtection="0"/>
    <xf numFmtId="0" fontId="9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0" fontId="8" fillId="0" borderId="0"/>
    <xf numFmtId="166" fontId="8" fillId="0" borderId="0" applyFont="0" applyFill="0" applyBorder="0" applyAlignment="0" applyProtection="0"/>
  </cellStyleXfs>
  <cellXfs count="27">
    <xf numFmtId="0" fontId="0" fillId="0" borderId="0" xfId="0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1" xfId="0" applyFont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vertical="top" wrapText="1"/>
    </xf>
    <xf numFmtId="168" fontId="6" fillId="0" borderId="1" xfId="1" applyNumberFormat="1" applyFont="1" applyFill="1" applyBorder="1"/>
    <xf numFmtId="164" fontId="6" fillId="2" borderId="1" xfId="0" applyNumberFormat="1" applyFont="1" applyFill="1" applyBorder="1"/>
    <xf numFmtId="169" fontId="6" fillId="0" borderId="1" xfId="0" applyNumberFormat="1" applyFont="1" applyBorder="1"/>
    <xf numFmtId="166" fontId="6" fillId="0" borderId="1" xfId="1" applyFont="1" applyFill="1" applyBorder="1"/>
    <xf numFmtId="168" fontId="6" fillId="0" borderId="1" xfId="0" applyNumberFormat="1" applyFont="1" applyBorder="1"/>
    <xf numFmtId="0" fontId="6" fillId="2" borderId="1" xfId="0" applyFont="1" applyFill="1" applyBorder="1" applyAlignment="1">
      <alignment horizontal="right"/>
    </xf>
    <xf numFmtId="0" fontId="6" fillId="2" borderId="1" xfId="0" applyFont="1" applyFill="1" applyBorder="1" applyAlignment="1">
      <alignment horizontal="right" vertical="center"/>
    </xf>
    <xf numFmtId="0" fontId="6" fillId="0" borderId="1" xfId="0" applyFont="1" applyBorder="1" applyAlignment="1">
      <alignment horizontal="right"/>
    </xf>
    <xf numFmtId="168" fontId="6" fillId="0" borderId="1" xfId="1" applyNumberFormat="1" applyFont="1" applyFill="1" applyBorder="1" applyAlignment="1">
      <alignment horizontal="right"/>
    </xf>
    <xf numFmtId="0" fontId="6" fillId="0" borderId="2" xfId="0" applyFont="1" applyBorder="1"/>
    <xf numFmtId="0" fontId="6" fillId="2" borderId="1" xfId="0" applyFont="1" applyFill="1" applyBorder="1" applyAlignment="1">
      <alignment horizontal="left"/>
    </xf>
    <xf numFmtId="0" fontId="5" fillId="2" borderId="1" xfId="0" applyFont="1" applyFill="1" applyBorder="1"/>
    <xf numFmtId="0" fontId="4" fillId="2" borderId="1" xfId="0" applyFont="1" applyFill="1" applyBorder="1"/>
    <xf numFmtId="14" fontId="0" fillId="2" borderId="1" xfId="0" applyNumberFormat="1" applyFill="1" applyBorder="1"/>
    <xf numFmtId="0" fontId="3" fillId="2" borderId="1" xfId="0" applyFont="1" applyFill="1" applyBorder="1"/>
    <xf numFmtId="0" fontId="2" fillId="2" borderId="1" xfId="0" applyFont="1" applyFill="1" applyBorder="1"/>
    <xf numFmtId="168" fontId="6" fillId="0" borderId="0" xfId="0" applyNumberFormat="1" applyFont="1"/>
    <xf numFmtId="0" fontId="1" fillId="2" borderId="1" xfId="0" applyFont="1" applyFill="1" applyBorder="1"/>
  </cellXfs>
  <cellStyles count="13">
    <cellStyle name="Comma" xfId="1" builtinId="3"/>
    <cellStyle name="Comma 2" xfId="2" xr:uid="{5F56C88B-8715-4F31-8FE9-82D357FA4519}"/>
    <cellStyle name="Comma 2 2" xfId="8" xr:uid="{CCE6E85E-1EEB-4B4C-BEE4-A64AE8E6FC35}"/>
    <cellStyle name="Comma 2 2 2" xfId="12" xr:uid="{B395B1F7-7EE4-4899-82BF-2F68B340A7F8}"/>
    <cellStyle name="Comma 3" xfId="4" xr:uid="{911655C1-3F0F-47F9-867C-4802E616705C}"/>
    <cellStyle name="Comma 3 2" xfId="10" xr:uid="{C64DF1FF-1604-495F-8ED0-8065D77B961D}"/>
    <cellStyle name="Currency 2" xfId="9" xr:uid="{F0302990-DB88-4F7B-BE4C-4C6EB56310F5}"/>
    <cellStyle name="Normal" xfId="0" builtinId="0"/>
    <cellStyle name="Normal 2" xfId="5" xr:uid="{FDBB251E-EB15-4554-BA44-3A1D82790EAA}"/>
    <cellStyle name="Normal 2 2" xfId="11" xr:uid="{7BE0F517-7438-4BE5-A650-F675B1507695}"/>
    <cellStyle name="Normal 3" xfId="3" xr:uid="{8AECA863-5B91-4CCF-8322-FF53D4C7B7AB}"/>
    <cellStyle name="Percent 2" xfId="6" xr:uid="{BECB65C7-1E56-492D-985D-D15DCD83F903}"/>
    <cellStyle name="Style 1" xfId="7" xr:uid="{25C0E8CA-9A22-44A5-A8BF-8F99A1B17A32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47B2C-8486-4B3D-BD99-0CE29F7D3E88}">
  <dimension ref="A1:AG2000"/>
  <sheetViews>
    <sheetView tabSelected="1" topLeftCell="P1" workbookViewId="0">
      <selection activeCell="S1" sqref="S1"/>
    </sheetView>
  </sheetViews>
  <sheetFormatPr defaultColWidth="8.85546875" defaultRowHeight="15"/>
  <cols>
    <col min="1" max="1" width="6.28515625" style="5" bestFit="1" customWidth="1"/>
    <col min="2" max="2" width="5.7109375" style="5" bestFit="1" customWidth="1"/>
    <col min="3" max="3" width="79.42578125" style="5" bestFit="1" customWidth="1"/>
    <col min="4" max="4" width="22.28515625" style="5" bestFit="1" customWidth="1"/>
    <col min="5" max="5" width="13.140625" style="5" bestFit="1" customWidth="1"/>
    <col min="6" max="6" width="20" style="5" bestFit="1" customWidth="1"/>
    <col min="7" max="7" width="54.5703125" style="5" bestFit="1" customWidth="1"/>
    <col min="8" max="8" width="6.28515625" style="5" bestFit="1" customWidth="1"/>
    <col min="9" max="9" width="8.140625" style="5" bestFit="1" customWidth="1"/>
    <col min="10" max="11" width="8.140625" style="5" customWidth="1"/>
    <col min="12" max="12" width="8" style="5" bestFit="1" customWidth="1"/>
    <col min="13" max="13" width="10.28515625" style="5" bestFit="1" customWidth="1"/>
    <col min="14" max="14" width="8.140625" style="5" bestFit="1" customWidth="1"/>
    <col min="15" max="15" width="5.28515625" style="5" bestFit="1" customWidth="1"/>
    <col min="16" max="16" width="8.28515625" style="5" bestFit="1" customWidth="1"/>
    <col min="17" max="17" width="12" style="5" bestFit="1" customWidth="1"/>
    <col min="18" max="18" width="9" style="5" bestFit="1" customWidth="1"/>
    <col min="19" max="19" width="9.5703125" style="5" bestFit="1" customWidth="1"/>
    <col min="20" max="20" width="202.42578125" style="5" bestFit="1" customWidth="1"/>
    <col min="21" max="21" width="6.7109375" style="5" bestFit="1" customWidth="1"/>
    <col min="22" max="24" width="12" style="5" bestFit="1" customWidth="1"/>
    <col min="25" max="25" width="8.28515625" style="5" bestFit="1" customWidth="1"/>
    <col min="26" max="26" width="7.5703125" style="5" bestFit="1" customWidth="1"/>
    <col min="27" max="27" width="9.7109375" style="5" bestFit="1" customWidth="1"/>
    <col min="28" max="28" width="9.28515625" style="5" bestFit="1" customWidth="1"/>
    <col min="29" max="29" width="12" style="5" bestFit="1" customWidth="1"/>
    <col min="30" max="30" width="11.28515625" style="5" bestFit="1" customWidth="1"/>
    <col min="31" max="31" width="9.7109375" style="5" bestFit="1" customWidth="1"/>
    <col min="32" max="16384" width="8.85546875" style="5"/>
  </cols>
  <sheetData>
    <row r="1" spans="1:31" ht="60">
      <c r="A1" s="1" t="s">
        <v>224</v>
      </c>
      <c r="B1" s="1" t="s">
        <v>2</v>
      </c>
      <c r="C1" s="2" t="s">
        <v>125</v>
      </c>
      <c r="D1" s="1" t="s">
        <v>247</v>
      </c>
      <c r="E1" s="1" t="s">
        <v>0</v>
      </c>
      <c r="F1" s="1" t="s">
        <v>359</v>
      </c>
      <c r="G1" s="3" t="s">
        <v>1</v>
      </c>
      <c r="H1" s="3" t="s">
        <v>360</v>
      </c>
      <c r="I1" s="3" t="s">
        <v>361</v>
      </c>
      <c r="J1" s="3" t="s">
        <v>467</v>
      </c>
      <c r="K1" s="3" t="s">
        <v>468</v>
      </c>
      <c r="L1" s="3" t="s">
        <v>3</v>
      </c>
      <c r="M1" s="3" t="s">
        <v>4</v>
      </c>
      <c r="N1" s="3" t="s">
        <v>179</v>
      </c>
      <c r="O1" s="3" t="s">
        <v>225</v>
      </c>
      <c r="P1" s="3" t="s">
        <v>5</v>
      </c>
      <c r="Q1" s="3" t="s">
        <v>6</v>
      </c>
      <c r="R1" s="3" t="s">
        <v>249</v>
      </c>
      <c r="S1" s="3" t="s">
        <v>501</v>
      </c>
      <c r="T1" s="4" t="s">
        <v>177</v>
      </c>
      <c r="U1" s="4" t="s">
        <v>253</v>
      </c>
      <c r="V1" s="1" t="s">
        <v>40</v>
      </c>
      <c r="W1" s="1" t="s">
        <v>41</v>
      </c>
      <c r="X1" s="1" t="s">
        <v>42</v>
      </c>
      <c r="Y1" s="1" t="s">
        <v>43</v>
      </c>
      <c r="Z1" s="1" t="s">
        <v>44</v>
      </c>
      <c r="AA1" s="1" t="s">
        <v>122</v>
      </c>
      <c r="AB1" s="3" t="s">
        <v>123</v>
      </c>
      <c r="AC1" s="1" t="s">
        <v>124</v>
      </c>
      <c r="AD1" s="1" t="s">
        <v>132</v>
      </c>
      <c r="AE1" s="1" t="s">
        <v>176</v>
      </c>
    </row>
    <row r="2" spans="1:31">
      <c r="A2" s="6">
        <v>1</v>
      </c>
      <c r="B2" s="6">
        <v>1</v>
      </c>
      <c r="C2" s="6" t="str">
        <f t="shared" ref="C2:C65" si="0">E2&amp;G2&amp;L2&amp;M2&amp;P2</f>
        <v>655818900BACTUATOR VIBRATION MOTOR ASSY WITH BRACKET BC3 CU4188676449404800</v>
      </c>
      <c r="D2" s="6" t="s">
        <v>210</v>
      </c>
      <c r="E2" s="6" t="s">
        <v>156</v>
      </c>
      <c r="F2" s="6"/>
      <c r="G2" s="7" t="s">
        <v>133</v>
      </c>
      <c r="H2" s="7"/>
      <c r="I2" s="7"/>
      <c r="J2" s="7"/>
      <c r="K2" s="7"/>
      <c r="L2" s="7">
        <v>4188676</v>
      </c>
      <c r="M2" s="22">
        <v>44940</v>
      </c>
      <c r="N2" s="8" t="s">
        <v>180</v>
      </c>
      <c r="O2" s="8"/>
      <c r="P2" s="7">
        <v>4800</v>
      </c>
      <c r="Q2" s="7">
        <v>1663398.28</v>
      </c>
      <c r="R2" s="7">
        <v>85011019</v>
      </c>
      <c r="S2" s="7">
        <v>10</v>
      </c>
      <c r="T2" s="7" t="s">
        <v>254</v>
      </c>
      <c r="U2" s="7" t="s">
        <v>178</v>
      </c>
      <c r="V2" s="6">
        <f t="shared" ref="V2:V65" si="1">Q2*S2%</f>
        <v>166339.82800000001</v>
      </c>
      <c r="W2" s="6">
        <f t="shared" ref="W2:W65" si="2">V2*0.1</f>
        <v>16633.982800000002</v>
      </c>
      <c r="X2" s="6">
        <f t="shared" ref="X2:X65" si="3">V2+W2</f>
        <v>182973.81080000001</v>
      </c>
      <c r="Y2" s="6">
        <f t="shared" ref="Y2:Y65" si="4">X2/P2</f>
        <v>38.119543916666665</v>
      </c>
      <c r="Z2" s="6">
        <f t="shared" ref="Z2:Z65" si="5">Q2/P2</f>
        <v>346.54130833333335</v>
      </c>
      <c r="AA2" s="9">
        <f t="shared" ref="AA2:AA65" si="6">P2</f>
        <v>4800</v>
      </c>
      <c r="AB2" s="10">
        <v>4800</v>
      </c>
      <c r="AC2" s="11">
        <f>Y2*AB2</f>
        <v>182973.81079999998</v>
      </c>
      <c r="AD2" s="12">
        <f t="shared" ref="AD2:AD65" si="7">SUMIF($C$2:$C$2284,C2,$AB$2:$AB$2284)</f>
        <v>4800</v>
      </c>
      <c r="AE2" s="13">
        <f t="shared" ref="AE2:AE14" si="8">AA2-AD2</f>
        <v>0</v>
      </c>
    </row>
    <row r="3" spans="1:31">
      <c r="A3" s="6">
        <v>1</v>
      </c>
      <c r="B3" s="6">
        <f t="shared" ref="B3:B24" si="9">B2+1</f>
        <v>2</v>
      </c>
      <c r="C3" s="6" t="str">
        <f t="shared" si="0"/>
        <v>655818900BACTUATOR VIBRATION MOTOR ASSY WITH BRACKET BC3 CU4727521449774800</v>
      </c>
      <c r="D3" s="6" t="s">
        <v>210</v>
      </c>
      <c r="E3" s="6" t="s">
        <v>156</v>
      </c>
      <c r="F3" s="6"/>
      <c r="G3" s="7" t="s">
        <v>133</v>
      </c>
      <c r="H3" s="7"/>
      <c r="I3" s="7"/>
      <c r="J3" s="7"/>
      <c r="K3" s="7"/>
      <c r="L3" s="7">
        <v>4727521</v>
      </c>
      <c r="M3" s="22">
        <v>44977</v>
      </c>
      <c r="N3" s="8" t="s">
        <v>189</v>
      </c>
      <c r="O3" s="8"/>
      <c r="P3" s="7">
        <v>4800</v>
      </c>
      <c r="Q3" s="7">
        <v>1600933.42</v>
      </c>
      <c r="R3" s="7">
        <v>85011019</v>
      </c>
      <c r="S3" s="7">
        <v>10</v>
      </c>
      <c r="T3" s="7" t="s">
        <v>255</v>
      </c>
      <c r="U3" s="7" t="s">
        <v>178</v>
      </c>
      <c r="V3" s="6">
        <f t="shared" si="1"/>
        <v>160093.342</v>
      </c>
      <c r="W3" s="6">
        <f t="shared" si="2"/>
        <v>16009.334200000001</v>
      </c>
      <c r="X3" s="6">
        <f t="shared" si="3"/>
        <v>176102.67620000002</v>
      </c>
      <c r="Y3" s="6">
        <f t="shared" si="4"/>
        <v>36.688057541666673</v>
      </c>
      <c r="Z3" s="6">
        <f t="shared" si="5"/>
        <v>333.5277958333333</v>
      </c>
      <c r="AA3" s="9">
        <f t="shared" si="6"/>
        <v>4800</v>
      </c>
      <c r="AB3" s="10">
        <v>1842</v>
      </c>
      <c r="AC3" s="11">
        <f t="shared" ref="AC3:AC66" si="10">AB3*Y3</f>
        <v>67579.401991750012</v>
      </c>
      <c r="AD3" s="12">
        <f t="shared" si="7"/>
        <v>4800</v>
      </c>
      <c r="AE3" s="13">
        <f t="shared" si="8"/>
        <v>0</v>
      </c>
    </row>
    <row r="4" spans="1:31">
      <c r="A4" s="6">
        <v>1</v>
      </c>
      <c r="B4" s="6">
        <f t="shared" si="9"/>
        <v>3</v>
      </c>
      <c r="C4" s="6" t="str">
        <f t="shared" si="0"/>
        <v>655931500AARMATURE, MONOBLOCK ASW4, HYUNDAI BC3-CUV3951506449243267</v>
      </c>
      <c r="D4" s="6" t="s">
        <v>210</v>
      </c>
      <c r="E4" s="6" t="s">
        <v>157</v>
      </c>
      <c r="F4" s="6"/>
      <c r="G4" s="7" t="s">
        <v>134</v>
      </c>
      <c r="H4" s="7"/>
      <c r="I4" s="7"/>
      <c r="J4" s="7"/>
      <c r="K4" s="7"/>
      <c r="L4" s="7">
        <v>3951506</v>
      </c>
      <c r="M4" s="22">
        <v>44924</v>
      </c>
      <c r="N4" s="8" t="s">
        <v>184</v>
      </c>
      <c r="O4" s="8"/>
      <c r="P4" s="7">
        <v>3267</v>
      </c>
      <c r="Q4" s="7">
        <v>1684507.73</v>
      </c>
      <c r="R4" s="7">
        <v>87089400</v>
      </c>
      <c r="S4" s="7">
        <v>15</v>
      </c>
      <c r="T4" s="7" t="s">
        <v>186</v>
      </c>
      <c r="U4" s="7" t="s">
        <v>178</v>
      </c>
      <c r="V4" s="6">
        <f t="shared" si="1"/>
        <v>252676.15949999998</v>
      </c>
      <c r="W4" s="6">
        <f t="shared" si="2"/>
        <v>25267.615949999999</v>
      </c>
      <c r="X4" s="6">
        <f t="shared" si="3"/>
        <v>277943.77544999996</v>
      </c>
      <c r="Y4" s="6">
        <f t="shared" si="4"/>
        <v>85.076147979797966</v>
      </c>
      <c r="Z4" s="6">
        <f t="shared" si="5"/>
        <v>515.61301805938172</v>
      </c>
      <c r="AA4" s="9">
        <f t="shared" si="6"/>
        <v>3267</v>
      </c>
      <c r="AB4" s="10">
        <v>0</v>
      </c>
      <c r="AC4" s="11">
        <f t="shared" si="10"/>
        <v>0</v>
      </c>
      <c r="AD4" s="12">
        <f t="shared" si="7"/>
        <v>3267</v>
      </c>
      <c r="AE4" s="13">
        <f t="shared" si="8"/>
        <v>0</v>
      </c>
    </row>
    <row r="5" spans="1:31">
      <c r="A5" s="6">
        <v>1</v>
      </c>
      <c r="B5" s="6">
        <f t="shared" si="9"/>
        <v>4</v>
      </c>
      <c r="C5" s="6" t="str">
        <f t="shared" si="0"/>
        <v>655931500AARMATURE, MONOBLOCK ASW4, HYUNDAI BC3-CUV3906367449213240</v>
      </c>
      <c r="D5" s="6" t="s">
        <v>210</v>
      </c>
      <c r="E5" s="6" t="s">
        <v>157</v>
      </c>
      <c r="F5" s="6"/>
      <c r="G5" s="7" t="s">
        <v>134</v>
      </c>
      <c r="H5" s="7"/>
      <c r="I5" s="7"/>
      <c r="J5" s="7"/>
      <c r="K5" s="7"/>
      <c r="L5" s="7">
        <v>3906367</v>
      </c>
      <c r="M5" s="22">
        <v>44921</v>
      </c>
      <c r="N5" s="8" t="s">
        <v>184</v>
      </c>
      <c r="O5" s="8"/>
      <c r="P5" s="7">
        <v>3240</v>
      </c>
      <c r="Q5" s="7">
        <v>1672164.48</v>
      </c>
      <c r="R5" s="7">
        <v>87089400</v>
      </c>
      <c r="S5" s="7">
        <v>15</v>
      </c>
      <c r="T5" s="7" t="s">
        <v>186</v>
      </c>
      <c r="U5" s="7" t="s">
        <v>178</v>
      </c>
      <c r="V5" s="6">
        <f t="shared" si="1"/>
        <v>250824.67199999999</v>
      </c>
      <c r="W5" s="6">
        <f t="shared" si="2"/>
        <v>25082.467199999999</v>
      </c>
      <c r="X5" s="6">
        <f t="shared" si="3"/>
        <v>275907.13919999998</v>
      </c>
      <c r="Y5" s="6">
        <f t="shared" si="4"/>
        <v>85.156524444444443</v>
      </c>
      <c r="Z5" s="6">
        <f t="shared" si="5"/>
        <v>516.10014814814815</v>
      </c>
      <c r="AA5" s="9">
        <f t="shared" si="6"/>
        <v>3240</v>
      </c>
      <c r="AB5" s="10">
        <v>3240</v>
      </c>
      <c r="AC5" s="11">
        <f t="shared" si="10"/>
        <v>275907.13919999998</v>
      </c>
      <c r="AD5" s="12">
        <f t="shared" si="7"/>
        <v>3240</v>
      </c>
      <c r="AE5" s="13">
        <f t="shared" si="8"/>
        <v>0</v>
      </c>
    </row>
    <row r="6" spans="1:31">
      <c r="A6" s="6">
        <v>1</v>
      </c>
      <c r="B6" s="6">
        <f t="shared" si="9"/>
        <v>5</v>
      </c>
      <c r="C6" s="6" t="str">
        <f t="shared" si="0"/>
        <v>655931500AARMATURE, MONOBLOCK ASW4, HYUNDAI BC3-CUV3743545449101944</v>
      </c>
      <c r="D6" s="6" t="s">
        <v>210</v>
      </c>
      <c r="E6" s="6" t="s">
        <v>157</v>
      </c>
      <c r="F6" s="6"/>
      <c r="G6" s="7" t="s">
        <v>134</v>
      </c>
      <c r="H6" s="7"/>
      <c r="I6" s="7"/>
      <c r="J6" s="7"/>
      <c r="K6" s="7"/>
      <c r="L6" s="7">
        <v>3743545</v>
      </c>
      <c r="M6" s="22">
        <v>44910</v>
      </c>
      <c r="N6" s="8" t="s">
        <v>184</v>
      </c>
      <c r="O6" s="8"/>
      <c r="P6" s="7">
        <v>1944</v>
      </c>
      <c r="Q6" s="7">
        <v>971893.73</v>
      </c>
      <c r="R6" s="7">
        <v>87089400</v>
      </c>
      <c r="S6" s="7">
        <v>15</v>
      </c>
      <c r="T6" s="7" t="s">
        <v>186</v>
      </c>
      <c r="U6" s="7" t="s">
        <v>178</v>
      </c>
      <c r="V6" s="6">
        <f t="shared" si="1"/>
        <v>145784.0595</v>
      </c>
      <c r="W6" s="6">
        <f t="shared" si="2"/>
        <v>14578.40595</v>
      </c>
      <c r="X6" s="6">
        <f t="shared" si="3"/>
        <v>160362.46545000002</v>
      </c>
      <c r="Y6" s="6">
        <f t="shared" si="4"/>
        <v>82.490980169753101</v>
      </c>
      <c r="Z6" s="6">
        <f t="shared" si="5"/>
        <v>499.94533436213993</v>
      </c>
      <c r="AA6" s="9">
        <f t="shared" si="6"/>
        <v>1944</v>
      </c>
      <c r="AB6" s="10">
        <v>488</v>
      </c>
      <c r="AC6" s="11">
        <f t="shared" si="10"/>
        <v>40255.598322839513</v>
      </c>
      <c r="AD6" s="12">
        <f t="shared" si="7"/>
        <v>1944</v>
      </c>
      <c r="AE6" s="13">
        <f t="shared" si="8"/>
        <v>0</v>
      </c>
    </row>
    <row r="7" spans="1:31">
      <c r="A7" s="6">
        <v>1</v>
      </c>
      <c r="B7" s="6">
        <f t="shared" si="9"/>
        <v>6</v>
      </c>
      <c r="C7" s="6" t="str">
        <f t="shared" si="0"/>
        <v>655931500AARMATURE, MONOBLOCK ASW4, HYUNDAI BC3-CUV3743534449103240</v>
      </c>
      <c r="D7" s="6" t="s">
        <v>210</v>
      </c>
      <c r="E7" s="6" t="s">
        <v>157</v>
      </c>
      <c r="F7" s="6"/>
      <c r="G7" s="7" t="s">
        <v>134</v>
      </c>
      <c r="H7" s="7"/>
      <c r="I7" s="7"/>
      <c r="J7" s="7"/>
      <c r="K7" s="7"/>
      <c r="L7" s="7">
        <v>3743534</v>
      </c>
      <c r="M7" s="22">
        <v>44910</v>
      </c>
      <c r="N7" s="8" t="s">
        <v>184</v>
      </c>
      <c r="O7" s="8"/>
      <c r="P7" s="7">
        <v>3240</v>
      </c>
      <c r="Q7" s="7">
        <v>1619054.93</v>
      </c>
      <c r="R7" s="7">
        <v>87089400</v>
      </c>
      <c r="S7" s="7">
        <v>15</v>
      </c>
      <c r="T7" s="7" t="s">
        <v>186</v>
      </c>
      <c r="U7" s="7" t="s">
        <v>178</v>
      </c>
      <c r="V7" s="6">
        <f t="shared" si="1"/>
        <v>242858.23949999997</v>
      </c>
      <c r="W7" s="6">
        <f t="shared" si="2"/>
        <v>24285.823949999998</v>
      </c>
      <c r="X7" s="6">
        <f t="shared" si="3"/>
        <v>267144.06344999996</v>
      </c>
      <c r="Y7" s="6">
        <f t="shared" si="4"/>
        <v>82.451871435185168</v>
      </c>
      <c r="Z7" s="6">
        <f t="shared" si="5"/>
        <v>499.70831172839502</v>
      </c>
      <c r="AA7" s="9">
        <f t="shared" si="6"/>
        <v>3240</v>
      </c>
      <c r="AB7" s="10">
        <v>3240</v>
      </c>
      <c r="AC7" s="11">
        <f t="shared" si="10"/>
        <v>267144.06344999996</v>
      </c>
      <c r="AD7" s="12">
        <f t="shared" si="7"/>
        <v>3240</v>
      </c>
      <c r="AE7" s="13">
        <f t="shared" si="8"/>
        <v>0</v>
      </c>
    </row>
    <row r="8" spans="1:31">
      <c r="A8" s="6">
        <v>1</v>
      </c>
      <c r="B8" s="6">
        <f t="shared" si="9"/>
        <v>7</v>
      </c>
      <c r="C8" s="6" t="str">
        <f t="shared" si="0"/>
        <v>651015100AARMATURE, MONOBLOCK, ASW4, HYUNDAI BC34761407449801647</v>
      </c>
      <c r="D8" s="6" t="s">
        <v>210</v>
      </c>
      <c r="E8" s="6" t="s">
        <v>158</v>
      </c>
      <c r="F8" s="6"/>
      <c r="G8" s="7" t="s">
        <v>135</v>
      </c>
      <c r="H8" s="7"/>
      <c r="I8" s="7"/>
      <c r="J8" s="7"/>
      <c r="K8" s="7"/>
      <c r="L8" s="7">
        <v>4761407</v>
      </c>
      <c r="M8" s="22">
        <v>44980</v>
      </c>
      <c r="N8" s="8" t="s">
        <v>184</v>
      </c>
      <c r="O8" s="8"/>
      <c r="P8" s="7">
        <v>1647</v>
      </c>
      <c r="Q8" s="7">
        <v>830362.69</v>
      </c>
      <c r="R8" s="7">
        <v>87089400</v>
      </c>
      <c r="S8" s="7">
        <v>15</v>
      </c>
      <c r="T8" s="7" t="s">
        <v>186</v>
      </c>
      <c r="U8" s="7" t="s">
        <v>178</v>
      </c>
      <c r="V8" s="6">
        <f t="shared" si="1"/>
        <v>124554.40349999999</v>
      </c>
      <c r="W8" s="6">
        <f t="shared" si="2"/>
        <v>12455.440349999999</v>
      </c>
      <c r="X8" s="6">
        <f t="shared" si="3"/>
        <v>137009.84384999998</v>
      </c>
      <c r="Y8" s="6">
        <f t="shared" si="4"/>
        <v>83.187519034608357</v>
      </c>
      <c r="Z8" s="6">
        <f t="shared" si="5"/>
        <v>504.16678202792951</v>
      </c>
      <c r="AA8" s="9">
        <f t="shared" si="6"/>
        <v>1647</v>
      </c>
      <c r="AB8" s="10">
        <v>1518</v>
      </c>
      <c r="AC8" s="11">
        <f t="shared" si="10"/>
        <v>126278.65389453548</v>
      </c>
      <c r="AD8" s="12">
        <f t="shared" si="7"/>
        <v>1647</v>
      </c>
      <c r="AE8" s="13">
        <f t="shared" si="8"/>
        <v>0</v>
      </c>
    </row>
    <row r="9" spans="1:31">
      <c r="A9" s="6">
        <v>1</v>
      </c>
      <c r="B9" s="6">
        <f t="shared" si="9"/>
        <v>8</v>
      </c>
      <c r="C9" s="6" t="str">
        <f t="shared" si="0"/>
        <v>650557200GCUSHION, FOLDED, C AND S HONDA 2JX3460410448902160</v>
      </c>
      <c r="D9" s="6" t="s">
        <v>210</v>
      </c>
      <c r="E9" s="6" t="s">
        <v>159</v>
      </c>
      <c r="F9" s="6"/>
      <c r="G9" s="7" t="s">
        <v>136</v>
      </c>
      <c r="H9" s="7"/>
      <c r="I9" s="7"/>
      <c r="J9" s="7"/>
      <c r="K9" s="7"/>
      <c r="L9" s="7">
        <v>3460410</v>
      </c>
      <c r="M9" s="22">
        <v>44890</v>
      </c>
      <c r="N9" s="8" t="s">
        <v>184</v>
      </c>
      <c r="O9" s="8"/>
      <c r="P9" s="7">
        <v>2160</v>
      </c>
      <c r="Q9" s="7">
        <v>2624382.73</v>
      </c>
      <c r="R9" s="7">
        <v>87089500</v>
      </c>
      <c r="S9" s="7">
        <v>5</v>
      </c>
      <c r="T9" s="7" t="s">
        <v>256</v>
      </c>
      <c r="U9" s="7" t="s">
        <v>178</v>
      </c>
      <c r="V9" s="6">
        <f t="shared" si="1"/>
        <v>131219.13649999999</v>
      </c>
      <c r="W9" s="6">
        <f t="shared" si="2"/>
        <v>13121.91365</v>
      </c>
      <c r="X9" s="6">
        <f t="shared" si="3"/>
        <v>144341.05015</v>
      </c>
      <c r="Y9" s="6">
        <f t="shared" si="4"/>
        <v>66.824560254629631</v>
      </c>
      <c r="Z9" s="6">
        <f t="shared" si="5"/>
        <v>1214.9920046296297</v>
      </c>
      <c r="AA9" s="9">
        <f t="shared" si="6"/>
        <v>2160</v>
      </c>
      <c r="AB9" s="10">
        <v>940</v>
      </c>
      <c r="AC9" s="11">
        <f t="shared" si="10"/>
        <v>62815.086639351852</v>
      </c>
      <c r="AD9" s="12">
        <f t="shared" si="7"/>
        <v>2160</v>
      </c>
      <c r="AE9" s="13">
        <f t="shared" si="8"/>
        <v>0</v>
      </c>
    </row>
    <row r="10" spans="1:31">
      <c r="A10" s="6">
        <v>1</v>
      </c>
      <c r="B10" s="6">
        <f t="shared" si="9"/>
        <v>9</v>
      </c>
      <c r="C10" s="6" t="str">
        <f t="shared" si="0"/>
        <v>651015300BELEMENT, HEATER, HYBRID 3835546449164900</v>
      </c>
      <c r="D10" s="6" t="s">
        <v>210</v>
      </c>
      <c r="E10" s="6" t="s">
        <v>155</v>
      </c>
      <c r="F10" s="6"/>
      <c r="G10" s="7" t="s">
        <v>137</v>
      </c>
      <c r="H10" s="7"/>
      <c r="I10" s="7"/>
      <c r="J10" s="7"/>
      <c r="K10" s="7"/>
      <c r="L10" s="7">
        <v>3835546</v>
      </c>
      <c r="M10" s="22">
        <v>44916</v>
      </c>
      <c r="N10" s="8" t="s">
        <v>189</v>
      </c>
      <c r="O10" s="8"/>
      <c r="P10" s="7">
        <v>4900</v>
      </c>
      <c r="Q10" s="7">
        <v>2746678.42</v>
      </c>
      <c r="R10" s="7">
        <v>87089400</v>
      </c>
      <c r="S10" s="7">
        <v>15</v>
      </c>
      <c r="T10" s="7" t="s">
        <v>257</v>
      </c>
      <c r="U10" s="7" t="s">
        <v>178</v>
      </c>
      <c r="V10" s="6">
        <f t="shared" si="1"/>
        <v>412001.76299999998</v>
      </c>
      <c r="W10" s="6">
        <f t="shared" si="2"/>
        <v>41200.176299999999</v>
      </c>
      <c r="X10" s="6">
        <f t="shared" si="3"/>
        <v>453201.93929999997</v>
      </c>
      <c r="Y10" s="6">
        <f t="shared" si="4"/>
        <v>92.490191693877549</v>
      </c>
      <c r="Z10" s="6">
        <f t="shared" si="5"/>
        <v>560.54661632653062</v>
      </c>
      <c r="AA10" s="9">
        <f t="shared" si="6"/>
        <v>4900</v>
      </c>
      <c r="AB10" s="10">
        <v>2462</v>
      </c>
      <c r="AC10" s="11">
        <f t="shared" si="10"/>
        <v>227710.85195032653</v>
      </c>
      <c r="AD10" s="12">
        <f t="shared" si="7"/>
        <v>4900</v>
      </c>
      <c r="AE10" s="13">
        <f t="shared" si="8"/>
        <v>0</v>
      </c>
    </row>
    <row r="11" spans="1:31">
      <c r="A11" s="6">
        <v>1</v>
      </c>
      <c r="B11" s="6">
        <f t="shared" si="9"/>
        <v>10</v>
      </c>
      <c r="C11" s="6" t="str">
        <f t="shared" si="0"/>
        <v>634240200AHORN CONTACT, CU 521662145010720000</v>
      </c>
      <c r="D11" s="6" t="s">
        <v>210</v>
      </c>
      <c r="E11" s="6" t="s">
        <v>160</v>
      </c>
      <c r="F11" s="6"/>
      <c r="G11" s="7" t="s">
        <v>138</v>
      </c>
      <c r="H11" s="7"/>
      <c r="I11" s="7"/>
      <c r="J11" s="7"/>
      <c r="K11" s="7"/>
      <c r="L11" s="7">
        <v>5216621</v>
      </c>
      <c r="M11" s="22">
        <v>45010</v>
      </c>
      <c r="N11" s="8" t="s">
        <v>189</v>
      </c>
      <c r="O11" s="8"/>
      <c r="P11" s="7">
        <v>720000</v>
      </c>
      <c r="Q11" s="7">
        <v>803516.76</v>
      </c>
      <c r="R11" s="7">
        <v>87089900</v>
      </c>
      <c r="S11" s="7">
        <v>15</v>
      </c>
      <c r="T11" s="7" t="s">
        <v>258</v>
      </c>
      <c r="U11" s="7" t="s">
        <v>178</v>
      </c>
      <c r="V11" s="6">
        <f t="shared" si="1"/>
        <v>120527.514</v>
      </c>
      <c r="W11" s="6">
        <f t="shared" si="2"/>
        <v>12052.751400000001</v>
      </c>
      <c r="X11" s="6">
        <f t="shared" si="3"/>
        <v>132580.2654</v>
      </c>
      <c r="Y11" s="6">
        <f t="shared" si="4"/>
        <v>0.18413925750000001</v>
      </c>
      <c r="Z11" s="6">
        <f t="shared" si="5"/>
        <v>1.1159954999999999</v>
      </c>
      <c r="AA11" s="9">
        <f t="shared" si="6"/>
        <v>720000</v>
      </c>
      <c r="AB11" s="10">
        <v>32560</v>
      </c>
      <c r="AC11" s="11">
        <f t="shared" si="10"/>
        <v>5995.5742242000006</v>
      </c>
      <c r="AD11" s="12">
        <f t="shared" si="7"/>
        <v>707364</v>
      </c>
      <c r="AE11" s="13">
        <f t="shared" si="8"/>
        <v>12636</v>
      </c>
    </row>
    <row r="12" spans="1:31">
      <c r="A12" s="6">
        <v>1</v>
      </c>
      <c r="B12" s="6">
        <f t="shared" si="9"/>
        <v>11</v>
      </c>
      <c r="C12" s="6" t="str">
        <f t="shared" si="0"/>
        <v>653052600AINFLATOR, APP-4.6, 2.2MO STANDARD_MIB, SQUARE_61X393527044923864</v>
      </c>
      <c r="D12" s="6" t="s">
        <v>210</v>
      </c>
      <c r="E12" s="6" t="s">
        <v>161</v>
      </c>
      <c r="F12" s="6"/>
      <c r="G12" s="7" t="s">
        <v>139</v>
      </c>
      <c r="H12" s="7"/>
      <c r="I12" s="7"/>
      <c r="J12" s="7"/>
      <c r="K12" s="7"/>
      <c r="L12" s="7">
        <v>3935270</v>
      </c>
      <c r="M12" s="22">
        <v>44923</v>
      </c>
      <c r="N12" s="8" t="s">
        <v>184</v>
      </c>
      <c r="O12" s="8"/>
      <c r="P12" s="7">
        <v>864</v>
      </c>
      <c r="Q12" s="7">
        <v>482986.52</v>
      </c>
      <c r="R12" s="7">
        <v>87089500</v>
      </c>
      <c r="S12" s="7">
        <v>15</v>
      </c>
      <c r="T12" s="7" t="s">
        <v>259</v>
      </c>
      <c r="U12" s="7" t="s">
        <v>200</v>
      </c>
      <c r="V12" s="6">
        <f t="shared" si="1"/>
        <v>72447.978000000003</v>
      </c>
      <c r="W12" s="6">
        <f t="shared" si="2"/>
        <v>7244.7978000000003</v>
      </c>
      <c r="X12" s="6">
        <f t="shared" si="3"/>
        <v>79692.775800000003</v>
      </c>
      <c r="Y12" s="6">
        <f t="shared" si="4"/>
        <v>92.237009027777788</v>
      </c>
      <c r="Z12" s="6">
        <f t="shared" si="5"/>
        <v>559.01217592592593</v>
      </c>
      <c r="AA12" s="9">
        <f t="shared" si="6"/>
        <v>864</v>
      </c>
      <c r="AB12" s="10">
        <v>864</v>
      </c>
      <c r="AC12" s="11">
        <f t="shared" si="10"/>
        <v>79692.775800000003</v>
      </c>
      <c r="AD12" s="12">
        <f t="shared" si="7"/>
        <v>864</v>
      </c>
      <c r="AE12" s="13">
        <f t="shared" si="8"/>
        <v>0</v>
      </c>
    </row>
    <row r="13" spans="1:31">
      <c r="A13" s="6">
        <v>1</v>
      </c>
      <c r="B13" s="6">
        <f t="shared" si="9"/>
        <v>12</v>
      </c>
      <c r="C13" s="6" t="str">
        <f t="shared" si="0"/>
        <v>653052600AINFLATOR, APP-4.6, 2.2MO STANDARD_MIB, SQUARE_61X3458622448902592</v>
      </c>
      <c r="D13" s="6" t="s">
        <v>210</v>
      </c>
      <c r="E13" s="6" t="s">
        <v>161</v>
      </c>
      <c r="F13" s="6"/>
      <c r="G13" s="7" t="s">
        <v>139</v>
      </c>
      <c r="H13" s="7"/>
      <c r="I13" s="7"/>
      <c r="J13" s="7"/>
      <c r="K13" s="7"/>
      <c r="L13" s="7">
        <v>3458622</v>
      </c>
      <c r="M13" s="22">
        <v>44890</v>
      </c>
      <c r="N13" s="8" t="s">
        <v>184</v>
      </c>
      <c r="O13" s="8"/>
      <c r="P13" s="7">
        <v>2592</v>
      </c>
      <c r="Q13" s="7">
        <v>1420525.03</v>
      </c>
      <c r="R13" s="7">
        <v>87089500</v>
      </c>
      <c r="S13" s="7">
        <v>15</v>
      </c>
      <c r="T13" s="7" t="s">
        <v>259</v>
      </c>
      <c r="U13" s="7" t="s">
        <v>200</v>
      </c>
      <c r="V13" s="6">
        <f t="shared" si="1"/>
        <v>213078.75450000001</v>
      </c>
      <c r="W13" s="6">
        <f t="shared" si="2"/>
        <v>21307.875450000003</v>
      </c>
      <c r="X13" s="6">
        <f t="shared" si="3"/>
        <v>234386.62995</v>
      </c>
      <c r="Y13" s="6">
        <f t="shared" si="4"/>
        <v>90.426940567129634</v>
      </c>
      <c r="Z13" s="6">
        <f t="shared" si="5"/>
        <v>548.04206404320985</v>
      </c>
      <c r="AA13" s="9">
        <f t="shared" si="6"/>
        <v>2592</v>
      </c>
      <c r="AB13" s="10">
        <v>76</v>
      </c>
      <c r="AC13" s="11">
        <f t="shared" si="10"/>
        <v>6872.4474831018524</v>
      </c>
      <c r="AD13" s="12">
        <f t="shared" si="7"/>
        <v>2592</v>
      </c>
      <c r="AE13" s="13">
        <f t="shared" si="8"/>
        <v>0</v>
      </c>
    </row>
    <row r="14" spans="1:31">
      <c r="A14" s="6">
        <v>1</v>
      </c>
      <c r="B14" s="6">
        <f t="shared" si="9"/>
        <v>13</v>
      </c>
      <c r="C14" s="6" t="str">
        <f t="shared" si="0"/>
        <v>653052600AINFLATOR, APP-4.6, 2.2MO STANDARD_MIB, SQUARE_61X336263444883864</v>
      </c>
      <c r="D14" s="6" t="s">
        <v>210</v>
      </c>
      <c r="E14" s="6" t="s">
        <v>161</v>
      </c>
      <c r="F14" s="6"/>
      <c r="G14" s="7" t="s">
        <v>139</v>
      </c>
      <c r="H14" s="7"/>
      <c r="I14" s="7"/>
      <c r="J14" s="7"/>
      <c r="K14" s="7"/>
      <c r="L14" s="7">
        <v>3362634</v>
      </c>
      <c r="M14" s="22">
        <v>44883</v>
      </c>
      <c r="N14" s="8" t="s">
        <v>184</v>
      </c>
      <c r="O14" s="8"/>
      <c r="P14" s="7">
        <v>864</v>
      </c>
      <c r="Q14" s="7">
        <v>473859.86</v>
      </c>
      <c r="R14" s="7">
        <v>87089500</v>
      </c>
      <c r="S14" s="7">
        <v>15</v>
      </c>
      <c r="T14" s="7" t="s">
        <v>259</v>
      </c>
      <c r="U14" s="7" t="s">
        <v>200</v>
      </c>
      <c r="V14" s="6">
        <f t="shared" si="1"/>
        <v>71078.978999999992</v>
      </c>
      <c r="W14" s="6">
        <f t="shared" si="2"/>
        <v>7107.8978999999999</v>
      </c>
      <c r="X14" s="6">
        <f t="shared" si="3"/>
        <v>78186.876899999988</v>
      </c>
      <c r="Y14" s="6">
        <f t="shared" si="4"/>
        <v>90.494070486111099</v>
      </c>
      <c r="Z14" s="6">
        <f t="shared" si="5"/>
        <v>548.44891203703708</v>
      </c>
      <c r="AA14" s="9">
        <f t="shared" si="6"/>
        <v>864</v>
      </c>
      <c r="AB14" s="10">
        <v>0</v>
      </c>
      <c r="AC14" s="11">
        <f t="shared" si="10"/>
        <v>0</v>
      </c>
      <c r="AD14" s="12">
        <f t="shared" si="7"/>
        <v>864</v>
      </c>
      <c r="AE14" s="13">
        <f t="shared" si="8"/>
        <v>0</v>
      </c>
    </row>
    <row r="15" spans="1:31">
      <c r="A15" s="6">
        <v>1</v>
      </c>
      <c r="B15" s="6">
        <f t="shared" si="9"/>
        <v>14</v>
      </c>
      <c r="C15" s="6" t="str">
        <f t="shared" si="0"/>
        <v>656011400ALEATHER, HIDE TOP GRAIN, GREY, FOSSIL GREY, T9Y,722294145143466.39</v>
      </c>
      <c r="D15" s="6" t="s">
        <v>210</v>
      </c>
      <c r="E15" s="6" t="s">
        <v>162</v>
      </c>
      <c r="F15" s="6"/>
      <c r="G15" s="7" t="s">
        <v>140</v>
      </c>
      <c r="H15" s="7"/>
      <c r="I15" s="7"/>
      <c r="J15" s="7"/>
      <c r="K15" s="7"/>
      <c r="L15" s="7">
        <v>7222941</v>
      </c>
      <c r="M15" s="22">
        <v>45143</v>
      </c>
      <c r="N15" s="8" t="s">
        <v>180</v>
      </c>
      <c r="O15" s="8"/>
      <c r="P15" s="7">
        <v>466.39</v>
      </c>
      <c r="Q15" s="7">
        <v>1147356.54</v>
      </c>
      <c r="R15" s="7">
        <v>41071200</v>
      </c>
      <c r="S15" s="7">
        <v>10</v>
      </c>
      <c r="T15" s="7" t="s">
        <v>260</v>
      </c>
      <c r="U15" s="7" t="s">
        <v>178</v>
      </c>
      <c r="V15" s="6">
        <f t="shared" si="1"/>
        <v>114735.65400000001</v>
      </c>
      <c r="W15" s="6">
        <f t="shared" si="2"/>
        <v>11473.565400000001</v>
      </c>
      <c r="X15" s="6">
        <f t="shared" si="3"/>
        <v>126209.21940000002</v>
      </c>
      <c r="Y15" s="6">
        <f t="shared" si="4"/>
        <v>270.60875962177579</v>
      </c>
      <c r="Z15" s="6">
        <f t="shared" si="5"/>
        <v>2460.0796329252344</v>
      </c>
      <c r="AA15" s="9">
        <f t="shared" si="6"/>
        <v>466.39</v>
      </c>
      <c r="AB15" s="10">
        <v>28.185232000000003</v>
      </c>
      <c r="AC15" s="11">
        <f t="shared" si="10"/>
        <v>7627.1706711719835</v>
      </c>
      <c r="AD15" s="12">
        <f t="shared" si="7"/>
        <v>466.42970200000002</v>
      </c>
      <c r="AE15" s="13">
        <v>0</v>
      </c>
    </row>
    <row r="16" spans="1:31">
      <c r="A16" s="6">
        <v>1</v>
      </c>
      <c r="B16" s="6">
        <f t="shared" si="9"/>
        <v>15</v>
      </c>
      <c r="C16" s="6" t="str">
        <f t="shared" si="0"/>
        <v>652466500ALEATHER, HIDE TOP GRAIN, OBSIDIAN BLACK, NNB, BLA4680928449742120</v>
      </c>
      <c r="D16" s="6" t="s">
        <v>210</v>
      </c>
      <c r="E16" s="6" t="s">
        <v>163</v>
      </c>
      <c r="F16" s="6"/>
      <c r="G16" s="7" t="s">
        <v>141</v>
      </c>
      <c r="H16" s="7"/>
      <c r="I16" s="7"/>
      <c r="J16" s="7"/>
      <c r="K16" s="7"/>
      <c r="L16" s="7">
        <v>4680928</v>
      </c>
      <c r="M16" s="22">
        <v>44974</v>
      </c>
      <c r="N16" s="8" t="s">
        <v>184</v>
      </c>
      <c r="O16" s="8"/>
      <c r="P16" s="7">
        <v>2120</v>
      </c>
      <c r="Q16" s="7">
        <v>5532518</v>
      </c>
      <c r="R16" s="7">
        <v>41071200</v>
      </c>
      <c r="S16" s="7">
        <v>0</v>
      </c>
      <c r="T16" s="7" t="s">
        <v>261</v>
      </c>
      <c r="U16" s="7" t="s">
        <v>178</v>
      </c>
      <c r="V16" s="6">
        <f t="shared" si="1"/>
        <v>0</v>
      </c>
      <c r="W16" s="6">
        <f t="shared" si="2"/>
        <v>0</v>
      </c>
      <c r="X16" s="6">
        <f t="shared" si="3"/>
        <v>0</v>
      </c>
      <c r="Y16" s="6">
        <f t="shared" si="4"/>
        <v>0</v>
      </c>
      <c r="Z16" s="6">
        <f t="shared" si="5"/>
        <v>2609.6783018867923</v>
      </c>
      <c r="AA16" s="9">
        <f t="shared" si="6"/>
        <v>2120</v>
      </c>
      <c r="AB16" s="10">
        <v>1966.25</v>
      </c>
      <c r="AC16" s="11">
        <f t="shared" si="10"/>
        <v>0</v>
      </c>
      <c r="AD16" s="12">
        <f t="shared" si="7"/>
        <v>2119.5</v>
      </c>
      <c r="AE16" s="13">
        <f t="shared" ref="AE16:AE34" si="11">AA16-AD16</f>
        <v>0.5</v>
      </c>
    </row>
    <row r="17" spans="1:31">
      <c r="A17" s="6">
        <v>1</v>
      </c>
      <c r="B17" s="6">
        <f t="shared" si="9"/>
        <v>16</v>
      </c>
      <c r="C17" s="6" t="str">
        <f t="shared" si="0"/>
        <v>608067201ANUT, ISO, M5 351094044894800000</v>
      </c>
      <c r="D17" s="6" t="s">
        <v>210</v>
      </c>
      <c r="E17" s="6" t="s">
        <v>164</v>
      </c>
      <c r="F17" s="6"/>
      <c r="G17" s="7" t="s">
        <v>142</v>
      </c>
      <c r="H17" s="7"/>
      <c r="I17" s="7"/>
      <c r="J17" s="7"/>
      <c r="K17" s="7"/>
      <c r="L17" s="7">
        <v>3510940</v>
      </c>
      <c r="M17" s="22">
        <v>44894</v>
      </c>
      <c r="N17" s="8" t="s">
        <v>189</v>
      </c>
      <c r="O17" s="8" t="s">
        <v>332</v>
      </c>
      <c r="P17" s="7">
        <v>800000</v>
      </c>
      <c r="Q17" s="7">
        <v>1498489.13</v>
      </c>
      <c r="R17" s="7">
        <v>87089500</v>
      </c>
      <c r="S17" s="7">
        <v>15</v>
      </c>
      <c r="T17" s="7" t="s">
        <v>183</v>
      </c>
      <c r="U17" s="7" t="s">
        <v>178</v>
      </c>
      <c r="V17" s="6">
        <f t="shared" si="1"/>
        <v>224773.36949999997</v>
      </c>
      <c r="W17" s="6">
        <f t="shared" si="2"/>
        <v>22477.336949999997</v>
      </c>
      <c r="X17" s="6">
        <f t="shared" si="3"/>
        <v>247250.70644999997</v>
      </c>
      <c r="Y17" s="6">
        <f t="shared" si="4"/>
        <v>0.30906338306249997</v>
      </c>
      <c r="Z17" s="6">
        <f t="shared" si="5"/>
        <v>1.8731114124999999</v>
      </c>
      <c r="AA17" s="9">
        <f t="shared" si="6"/>
        <v>800000</v>
      </c>
      <c r="AB17" s="10">
        <v>3760</v>
      </c>
      <c r="AC17" s="11">
        <f t="shared" si="10"/>
        <v>1162.0783203149999</v>
      </c>
      <c r="AD17" s="12">
        <f t="shared" si="7"/>
        <v>70960</v>
      </c>
      <c r="AE17" s="13">
        <f t="shared" si="11"/>
        <v>729040</v>
      </c>
    </row>
    <row r="18" spans="1:31">
      <c r="A18" s="6">
        <v>1</v>
      </c>
      <c r="B18" s="6">
        <f t="shared" si="9"/>
        <v>17</v>
      </c>
      <c r="C18" s="6" t="str">
        <f t="shared" si="0"/>
        <v>639590100BSCREW SELF TAPPING INTERNAL T15, 15.0240572444816120000</v>
      </c>
      <c r="D18" s="6" t="s">
        <v>210</v>
      </c>
      <c r="E18" s="6" t="s">
        <v>165</v>
      </c>
      <c r="F18" s="6"/>
      <c r="G18" s="7" t="s">
        <v>143</v>
      </c>
      <c r="H18" s="7"/>
      <c r="I18" s="7"/>
      <c r="J18" s="7"/>
      <c r="K18" s="7"/>
      <c r="L18" s="7">
        <v>2405724</v>
      </c>
      <c r="M18" s="22">
        <v>44816</v>
      </c>
      <c r="N18" s="8" t="s">
        <v>180</v>
      </c>
      <c r="O18" s="8"/>
      <c r="P18" s="7">
        <v>120000</v>
      </c>
      <c r="Q18" s="7">
        <v>132082.13</v>
      </c>
      <c r="R18" s="7">
        <v>87089900</v>
      </c>
      <c r="S18" s="7">
        <v>15</v>
      </c>
      <c r="T18" s="7" t="s">
        <v>262</v>
      </c>
      <c r="U18" s="7" t="s">
        <v>178</v>
      </c>
      <c r="V18" s="6">
        <f t="shared" si="1"/>
        <v>19812.319500000001</v>
      </c>
      <c r="W18" s="6">
        <f t="shared" si="2"/>
        <v>1981.2319500000003</v>
      </c>
      <c r="X18" s="6">
        <f t="shared" si="3"/>
        <v>21793.551450000003</v>
      </c>
      <c r="Y18" s="6">
        <f t="shared" si="4"/>
        <v>0.18161292875000001</v>
      </c>
      <c r="Z18" s="6">
        <f t="shared" si="5"/>
        <v>1.1006844166666667</v>
      </c>
      <c r="AA18" s="9">
        <f t="shared" si="6"/>
        <v>120000</v>
      </c>
      <c r="AB18" s="10">
        <v>62244</v>
      </c>
      <c r="AC18" s="11">
        <f t="shared" si="10"/>
        <v>11304.315137115002</v>
      </c>
      <c r="AD18" s="12">
        <f t="shared" si="7"/>
        <v>120000</v>
      </c>
      <c r="AE18" s="13">
        <f t="shared" si="11"/>
        <v>0</v>
      </c>
    </row>
    <row r="19" spans="1:31">
      <c r="A19" s="6">
        <v>1</v>
      </c>
      <c r="B19" s="6">
        <f t="shared" si="9"/>
        <v>18</v>
      </c>
      <c r="C19" s="6" t="str">
        <f t="shared" si="0"/>
        <v>644345600ASCREW, SELF-TAPPING, PLA PLASTIC, 3.0, CROSS30474624486130000</v>
      </c>
      <c r="D19" s="6" t="s">
        <v>210</v>
      </c>
      <c r="E19" s="6" t="s">
        <v>166</v>
      </c>
      <c r="F19" s="6"/>
      <c r="G19" s="7" t="s">
        <v>144</v>
      </c>
      <c r="H19" s="7"/>
      <c r="I19" s="7"/>
      <c r="J19" s="7"/>
      <c r="K19" s="7"/>
      <c r="L19" s="7">
        <v>3047462</v>
      </c>
      <c r="M19" s="22">
        <v>44861</v>
      </c>
      <c r="N19" s="8" t="s">
        <v>182</v>
      </c>
      <c r="O19" s="8"/>
      <c r="P19" s="7">
        <v>30000</v>
      </c>
      <c r="Q19" s="7">
        <v>24310.74</v>
      </c>
      <c r="R19" s="7">
        <v>87089500</v>
      </c>
      <c r="S19" s="7">
        <v>15</v>
      </c>
      <c r="T19" s="7" t="s">
        <v>183</v>
      </c>
      <c r="U19" s="7" t="s">
        <v>178</v>
      </c>
      <c r="V19" s="6">
        <f t="shared" si="1"/>
        <v>3646.6110000000003</v>
      </c>
      <c r="W19" s="6">
        <f t="shared" si="2"/>
        <v>364.66110000000003</v>
      </c>
      <c r="X19" s="6">
        <f t="shared" si="3"/>
        <v>4011.2721000000001</v>
      </c>
      <c r="Y19" s="6">
        <f t="shared" si="4"/>
        <v>0.13370907000000001</v>
      </c>
      <c r="Z19" s="6">
        <f t="shared" si="5"/>
        <v>0.81035800000000002</v>
      </c>
      <c r="AA19" s="9">
        <f t="shared" si="6"/>
        <v>30000</v>
      </c>
      <c r="AB19" s="10">
        <v>16280</v>
      </c>
      <c r="AC19" s="11">
        <f t="shared" si="10"/>
        <v>2176.7836596000002</v>
      </c>
      <c r="AD19" s="12">
        <f t="shared" si="7"/>
        <v>30000</v>
      </c>
      <c r="AE19" s="13">
        <f t="shared" si="11"/>
        <v>0</v>
      </c>
    </row>
    <row r="20" spans="1:31" ht="30">
      <c r="A20" s="6">
        <v>1</v>
      </c>
      <c r="B20" s="6">
        <f t="shared" si="9"/>
        <v>19</v>
      </c>
      <c r="C20" s="6" t="str">
        <f t="shared" si="0"/>
        <v>628408700ASCREW, STANDARD, METRIC, M5, HEXALOBULAR INTERNAL36994284490760000</v>
      </c>
      <c r="D20" s="6" t="s">
        <v>210</v>
      </c>
      <c r="E20" s="6" t="s">
        <v>167</v>
      </c>
      <c r="F20" s="6"/>
      <c r="G20" s="7" t="s">
        <v>145</v>
      </c>
      <c r="H20" s="7"/>
      <c r="I20" s="7"/>
      <c r="J20" s="7"/>
      <c r="K20" s="7"/>
      <c r="L20" s="7">
        <v>3699428</v>
      </c>
      <c r="M20" s="22">
        <v>44907</v>
      </c>
      <c r="N20" s="8" t="s">
        <v>185</v>
      </c>
      <c r="O20" s="8"/>
      <c r="P20" s="7">
        <v>60000</v>
      </c>
      <c r="Q20" s="7">
        <v>320497.71000000002</v>
      </c>
      <c r="R20" s="7">
        <v>87089900</v>
      </c>
      <c r="S20" s="7">
        <v>15</v>
      </c>
      <c r="T20" s="7" t="s">
        <v>263</v>
      </c>
      <c r="U20" s="7" t="s">
        <v>178</v>
      </c>
      <c r="V20" s="6">
        <f t="shared" si="1"/>
        <v>48074.656500000005</v>
      </c>
      <c r="W20" s="6">
        <f t="shared" si="2"/>
        <v>4807.465650000001</v>
      </c>
      <c r="X20" s="6">
        <f t="shared" si="3"/>
        <v>52882.122150000003</v>
      </c>
      <c r="Y20" s="6">
        <f t="shared" si="4"/>
        <v>0.8813687025000001</v>
      </c>
      <c r="Z20" s="6">
        <f t="shared" si="5"/>
        <v>5.3416285000000006</v>
      </c>
      <c r="AA20" s="9">
        <f t="shared" si="6"/>
        <v>60000</v>
      </c>
      <c r="AB20" s="10">
        <v>24480</v>
      </c>
      <c r="AC20" s="11">
        <f t="shared" si="10"/>
        <v>21575.905837200004</v>
      </c>
      <c r="AD20" s="12">
        <f t="shared" si="7"/>
        <v>60000</v>
      </c>
      <c r="AE20" s="13">
        <f t="shared" si="11"/>
        <v>0</v>
      </c>
    </row>
    <row r="21" spans="1:31">
      <c r="A21" s="6">
        <v>1</v>
      </c>
      <c r="B21" s="6">
        <f t="shared" si="9"/>
        <v>20</v>
      </c>
      <c r="C21" s="6" t="str">
        <f t="shared" si="0"/>
        <v>651409900ASCREW, STD METRIC M6 HEXALOBULAR INTERNAL, T446724674497330000</v>
      </c>
      <c r="D21" s="6" t="s">
        <v>210</v>
      </c>
      <c r="E21" s="6" t="s">
        <v>168</v>
      </c>
      <c r="F21" s="6"/>
      <c r="G21" s="7" t="s">
        <v>146</v>
      </c>
      <c r="H21" s="7"/>
      <c r="I21" s="7"/>
      <c r="J21" s="7"/>
      <c r="K21" s="7"/>
      <c r="L21" s="7">
        <v>4672467</v>
      </c>
      <c r="M21" s="22">
        <v>44973</v>
      </c>
      <c r="N21" s="8" t="s">
        <v>182</v>
      </c>
      <c r="O21" s="8"/>
      <c r="P21" s="7">
        <v>30000</v>
      </c>
      <c r="Q21" s="7">
        <v>104837.13</v>
      </c>
      <c r="R21" s="7">
        <v>87089500</v>
      </c>
      <c r="S21" s="7">
        <v>15</v>
      </c>
      <c r="T21" s="7" t="s">
        <v>183</v>
      </c>
      <c r="U21" s="7" t="s">
        <v>178</v>
      </c>
      <c r="V21" s="6">
        <f t="shared" si="1"/>
        <v>15725.5695</v>
      </c>
      <c r="W21" s="6">
        <f t="shared" si="2"/>
        <v>1572.5569500000001</v>
      </c>
      <c r="X21" s="6">
        <f t="shared" si="3"/>
        <v>17298.12645</v>
      </c>
      <c r="Y21" s="6">
        <f t="shared" si="4"/>
        <v>0.57660421500000003</v>
      </c>
      <c r="Z21" s="6">
        <f t="shared" si="5"/>
        <v>3.4945710000000001</v>
      </c>
      <c r="AA21" s="9">
        <f t="shared" si="6"/>
        <v>30000</v>
      </c>
      <c r="AB21" s="10">
        <v>16280</v>
      </c>
      <c r="AC21" s="11">
        <f t="shared" si="10"/>
        <v>9387.1166202000004</v>
      </c>
      <c r="AD21" s="12">
        <f t="shared" si="7"/>
        <v>30000</v>
      </c>
      <c r="AE21" s="13">
        <f t="shared" si="11"/>
        <v>0</v>
      </c>
    </row>
    <row r="22" spans="1:31">
      <c r="A22" s="6">
        <v>1</v>
      </c>
      <c r="B22" s="6">
        <f t="shared" si="9"/>
        <v>21</v>
      </c>
      <c r="C22" s="6" t="str">
        <f t="shared" si="0"/>
        <v>608225700ASCREW,STD METRIIC HEXALOBULAR  M5 T25 12MM56866434504220000</v>
      </c>
      <c r="D22" s="6" t="s">
        <v>210</v>
      </c>
      <c r="E22" s="6" t="s">
        <v>169</v>
      </c>
      <c r="F22" s="6"/>
      <c r="G22" s="7" t="s">
        <v>147</v>
      </c>
      <c r="H22" s="7"/>
      <c r="I22" s="7"/>
      <c r="J22" s="7"/>
      <c r="K22" s="7"/>
      <c r="L22" s="7">
        <v>5686643</v>
      </c>
      <c r="M22" s="22">
        <v>45042</v>
      </c>
      <c r="N22" s="8" t="s">
        <v>180</v>
      </c>
      <c r="O22" s="8"/>
      <c r="P22" s="7">
        <v>20000</v>
      </c>
      <c r="Q22" s="7">
        <v>73110.7</v>
      </c>
      <c r="R22" s="7">
        <v>87089400</v>
      </c>
      <c r="S22" s="7">
        <v>15</v>
      </c>
      <c r="T22" s="7" t="s">
        <v>264</v>
      </c>
      <c r="U22" s="7" t="s">
        <v>178</v>
      </c>
      <c r="V22" s="6">
        <f t="shared" si="1"/>
        <v>10966.605</v>
      </c>
      <c r="W22" s="6">
        <f t="shared" si="2"/>
        <v>1096.6605</v>
      </c>
      <c r="X22" s="6">
        <f t="shared" si="3"/>
        <v>12063.2655</v>
      </c>
      <c r="Y22" s="6">
        <f t="shared" si="4"/>
        <v>0.603163275</v>
      </c>
      <c r="Z22" s="6">
        <f t="shared" si="5"/>
        <v>3.655535</v>
      </c>
      <c r="AA22" s="9">
        <f t="shared" si="6"/>
        <v>20000</v>
      </c>
      <c r="AB22" s="10">
        <v>13284</v>
      </c>
      <c r="AC22" s="11">
        <f t="shared" si="10"/>
        <v>8012.4209450999997</v>
      </c>
      <c r="AD22" s="12">
        <f t="shared" si="7"/>
        <v>20000</v>
      </c>
      <c r="AE22" s="13">
        <f t="shared" si="11"/>
        <v>0</v>
      </c>
    </row>
    <row r="23" spans="1:31">
      <c r="A23" s="6">
        <v>1</v>
      </c>
      <c r="B23" s="6">
        <f t="shared" si="9"/>
        <v>22</v>
      </c>
      <c r="C23" s="6" t="str">
        <f t="shared" si="0"/>
        <v>651166400CSPRING, COIL, UPPER 49425624499230000</v>
      </c>
      <c r="D23" s="6" t="s">
        <v>210</v>
      </c>
      <c r="E23" s="6" t="s">
        <v>170</v>
      </c>
      <c r="F23" s="6"/>
      <c r="G23" s="7" t="s">
        <v>148</v>
      </c>
      <c r="H23" s="7"/>
      <c r="I23" s="7"/>
      <c r="J23" s="7"/>
      <c r="K23" s="7"/>
      <c r="L23" s="7">
        <v>4942562</v>
      </c>
      <c r="M23" s="22">
        <v>44992</v>
      </c>
      <c r="N23" s="8" t="s">
        <v>180</v>
      </c>
      <c r="O23" s="8"/>
      <c r="P23" s="7">
        <v>30000</v>
      </c>
      <c r="Q23" s="7">
        <v>60728.28</v>
      </c>
      <c r="R23" s="7">
        <v>87089900</v>
      </c>
      <c r="S23" s="7">
        <v>15</v>
      </c>
      <c r="T23" s="7" t="s">
        <v>188</v>
      </c>
      <c r="U23" s="7" t="s">
        <v>178</v>
      </c>
      <c r="V23" s="6">
        <f t="shared" si="1"/>
        <v>9109.2420000000002</v>
      </c>
      <c r="W23" s="6">
        <f t="shared" si="2"/>
        <v>910.92420000000004</v>
      </c>
      <c r="X23" s="6">
        <f t="shared" si="3"/>
        <v>10020.1662</v>
      </c>
      <c r="Y23" s="6">
        <f t="shared" si="4"/>
        <v>0.33400553999999999</v>
      </c>
      <c r="Z23" s="6">
        <f t="shared" si="5"/>
        <v>2.024276</v>
      </c>
      <c r="AA23" s="9">
        <f t="shared" si="6"/>
        <v>30000</v>
      </c>
      <c r="AB23" s="10">
        <v>24480</v>
      </c>
      <c r="AC23" s="11">
        <f t="shared" si="10"/>
        <v>8176.4556192</v>
      </c>
      <c r="AD23" s="12">
        <f t="shared" si="7"/>
        <v>30000</v>
      </c>
      <c r="AE23" s="13">
        <f t="shared" si="11"/>
        <v>0</v>
      </c>
    </row>
    <row r="24" spans="1:31">
      <c r="A24" s="6">
        <v>1</v>
      </c>
      <c r="B24" s="6">
        <f t="shared" si="9"/>
        <v>23</v>
      </c>
      <c r="C24" s="6" t="str">
        <f t="shared" si="0"/>
        <v>630580800ALABEL, RAW MATERIAL, BLA K12 TPC BUCKLE5160585449362400000</v>
      </c>
      <c r="D24" s="6" t="s">
        <v>210</v>
      </c>
      <c r="E24" s="6" t="s">
        <v>71</v>
      </c>
      <c r="F24" s="6"/>
      <c r="G24" s="7" t="s">
        <v>31</v>
      </c>
      <c r="H24" s="7"/>
      <c r="I24" s="7"/>
      <c r="J24" s="7"/>
      <c r="K24" s="7"/>
      <c r="L24" s="7">
        <v>5160585</v>
      </c>
      <c r="M24" s="22">
        <v>44936</v>
      </c>
      <c r="N24" s="8" t="s">
        <v>196</v>
      </c>
      <c r="O24" s="8" t="s">
        <v>333</v>
      </c>
      <c r="P24" s="7">
        <v>2400000</v>
      </c>
      <c r="Q24" s="7">
        <v>86522.34</v>
      </c>
      <c r="R24" s="7">
        <v>87082900</v>
      </c>
      <c r="S24" s="7">
        <v>15</v>
      </c>
      <c r="T24" s="7" t="s">
        <v>265</v>
      </c>
      <c r="U24" s="7" t="s">
        <v>178</v>
      </c>
      <c r="V24" s="6">
        <f t="shared" si="1"/>
        <v>12978.350999999999</v>
      </c>
      <c r="W24" s="6">
        <f t="shared" si="2"/>
        <v>1297.8351</v>
      </c>
      <c r="X24" s="6">
        <f t="shared" si="3"/>
        <v>14276.186099999999</v>
      </c>
      <c r="Y24" s="6">
        <f t="shared" si="4"/>
        <v>5.9484108749999999E-3</v>
      </c>
      <c r="Z24" s="6">
        <f t="shared" si="5"/>
        <v>3.6050974999999999E-2</v>
      </c>
      <c r="AA24" s="9">
        <f t="shared" si="6"/>
        <v>2400000</v>
      </c>
      <c r="AB24" s="10">
        <v>8140</v>
      </c>
      <c r="AC24" s="11">
        <f t="shared" si="10"/>
        <v>48.420064522499999</v>
      </c>
      <c r="AD24" s="12">
        <f t="shared" si="7"/>
        <v>548546</v>
      </c>
      <c r="AE24" s="13">
        <f t="shared" si="11"/>
        <v>1851454</v>
      </c>
    </row>
    <row r="25" spans="1:31">
      <c r="A25" s="6">
        <v>2</v>
      </c>
      <c r="B25" s="6">
        <v>1</v>
      </c>
      <c r="C25" s="6" t="str">
        <f t="shared" si="0"/>
        <v>630580800ALABEL, RAW MATERIAL, BLA K12 TPC BUCKLE5160585449362400000</v>
      </c>
      <c r="D25" s="6" t="s">
        <v>211</v>
      </c>
      <c r="E25" s="6" t="s">
        <v>71</v>
      </c>
      <c r="F25" s="6"/>
      <c r="G25" s="7" t="s">
        <v>31</v>
      </c>
      <c r="H25" s="7"/>
      <c r="I25" s="7"/>
      <c r="J25" s="7"/>
      <c r="K25" s="7"/>
      <c r="L25" s="7">
        <v>5160585</v>
      </c>
      <c r="M25" s="22">
        <v>44936</v>
      </c>
      <c r="N25" s="8" t="s">
        <v>196</v>
      </c>
      <c r="O25" s="8" t="s">
        <v>333</v>
      </c>
      <c r="P25" s="7">
        <v>2400000</v>
      </c>
      <c r="Q25" s="7">
        <v>86522.34</v>
      </c>
      <c r="R25" s="7">
        <v>87082900</v>
      </c>
      <c r="S25" s="7">
        <v>15</v>
      </c>
      <c r="T25" s="7" t="s">
        <v>265</v>
      </c>
      <c r="U25" s="7" t="s">
        <v>178</v>
      </c>
      <c r="V25" s="6">
        <f t="shared" si="1"/>
        <v>12978.350999999999</v>
      </c>
      <c r="W25" s="6">
        <f t="shared" si="2"/>
        <v>1297.8351</v>
      </c>
      <c r="X25" s="6">
        <f t="shared" si="3"/>
        <v>14276.186099999999</v>
      </c>
      <c r="Y25" s="6">
        <f t="shared" si="4"/>
        <v>5.9484108749999999E-3</v>
      </c>
      <c r="Z25" s="6">
        <f t="shared" si="5"/>
        <v>3.6050974999999999E-2</v>
      </c>
      <c r="AA25" s="9">
        <f t="shared" si="6"/>
        <v>2400000</v>
      </c>
      <c r="AB25" s="10">
        <v>10608</v>
      </c>
      <c r="AC25" s="11">
        <f t="shared" si="10"/>
        <v>63.100742562000001</v>
      </c>
      <c r="AD25" s="12">
        <f t="shared" si="7"/>
        <v>548546</v>
      </c>
      <c r="AE25" s="13">
        <f t="shared" si="11"/>
        <v>1851454</v>
      </c>
    </row>
    <row r="26" spans="1:31">
      <c r="A26" s="6">
        <v>2</v>
      </c>
      <c r="B26" s="6">
        <f t="shared" ref="B26:B67" si="12">B25+1</f>
        <v>2</v>
      </c>
      <c r="C26" s="6" t="str">
        <f t="shared" si="0"/>
        <v>655818900BACTUATOR VIBRATION MOTOR ASSY WITH BRACKET BC3 CU4727521449774800</v>
      </c>
      <c r="D26" s="6" t="s">
        <v>211</v>
      </c>
      <c r="E26" s="6" t="s">
        <v>156</v>
      </c>
      <c r="F26" s="6"/>
      <c r="G26" s="7" t="s">
        <v>133</v>
      </c>
      <c r="H26" s="7"/>
      <c r="I26" s="7"/>
      <c r="J26" s="7"/>
      <c r="K26" s="7"/>
      <c r="L26" s="7">
        <v>4727521</v>
      </c>
      <c r="M26" s="22">
        <v>44977</v>
      </c>
      <c r="N26" s="8" t="s">
        <v>189</v>
      </c>
      <c r="O26" s="8"/>
      <c r="P26" s="7">
        <v>4800</v>
      </c>
      <c r="Q26" s="7">
        <v>1600933.42</v>
      </c>
      <c r="R26" s="7">
        <v>85011019</v>
      </c>
      <c r="S26" s="7">
        <v>10</v>
      </c>
      <c r="T26" s="7" t="s">
        <v>255</v>
      </c>
      <c r="U26" s="7" t="s">
        <v>178</v>
      </c>
      <c r="V26" s="6">
        <f t="shared" si="1"/>
        <v>160093.342</v>
      </c>
      <c r="W26" s="6">
        <f t="shared" si="2"/>
        <v>16009.334200000001</v>
      </c>
      <c r="X26" s="6">
        <f t="shared" si="3"/>
        <v>176102.67620000002</v>
      </c>
      <c r="Y26" s="6">
        <f t="shared" si="4"/>
        <v>36.688057541666673</v>
      </c>
      <c r="Z26" s="6">
        <f t="shared" si="5"/>
        <v>333.5277958333333</v>
      </c>
      <c r="AA26" s="9">
        <f t="shared" si="6"/>
        <v>4800</v>
      </c>
      <c r="AB26" s="10">
        <v>2958</v>
      </c>
      <c r="AC26" s="11">
        <f t="shared" si="10"/>
        <v>108523.27420825002</v>
      </c>
      <c r="AD26" s="12">
        <f t="shared" si="7"/>
        <v>4800</v>
      </c>
      <c r="AE26" s="13">
        <f t="shared" si="11"/>
        <v>0</v>
      </c>
    </row>
    <row r="27" spans="1:31">
      <c r="A27" s="6">
        <v>2</v>
      </c>
      <c r="B27" s="6">
        <f t="shared" si="12"/>
        <v>3</v>
      </c>
      <c r="C27" s="6" t="str">
        <f t="shared" si="0"/>
        <v>655931500AARMATURE, MONOBLOCK ASW4, HYUNDAI BC3-CUV3743545449101944</v>
      </c>
      <c r="D27" s="6" t="s">
        <v>211</v>
      </c>
      <c r="E27" s="6" t="s">
        <v>157</v>
      </c>
      <c r="F27" s="6"/>
      <c r="G27" s="7" t="s">
        <v>134</v>
      </c>
      <c r="H27" s="7"/>
      <c r="I27" s="7"/>
      <c r="J27" s="7"/>
      <c r="K27" s="7"/>
      <c r="L27" s="7">
        <v>3743545</v>
      </c>
      <c r="M27" s="22">
        <v>44910</v>
      </c>
      <c r="N27" s="8" t="s">
        <v>184</v>
      </c>
      <c r="O27" s="8"/>
      <c r="P27" s="7">
        <v>1944</v>
      </c>
      <c r="Q27" s="7">
        <v>971893.73</v>
      </c>
      <c r="R27" s="7">
        <v>87089400</v>
      </c>
      <c r="S27" s="7">
        <v>15</v>
      </c>
      <c r="T27" s="7" t="s">
        <v>186</v>
      </c>
      <c r="U27" s="7" t="s">
        <v>178</v>
      </c>
      <c r="V27" s="6">
        <f t="shared" si="1"/>
        <v>145784.0595</v>
      </c>
      <c r="W27" s="6">
        <f t="shared" si="2"/>
        <v>14578.40595</v>
      </c>
      <c r="X27" s="6">
        <f t="shared" si="3"/>
        <v>160362.46545000002</v>
      </c>
      <c r="Y27" s="6">
        <f t="shared" si="4"/>
        <v>82.490980169753101</v>
      </c>
      <c r="Z27" s="6">
        <f t="shared" si="5"/>
        <v>499.94533436213993</v>
      </c>
      <c r="AA27" s="9">
        <f t="shared" si="6"/>
        <v>1944</v>
      </c>
      <c r="AB27" s="10">
        <v>1456</v>
      </c>
      <c r="AC27" s="11">
        <f t="shared" si="10"/>
        <v>120106.86712716051</v>
      </c>
      <c r="AD27" s="12">
        <f t="shared" si="7"/>
        <v>1944</v>
      </c>
      <c r="AE27" s="13">
        <f t="shared" si="11"/>
        <v>0</v>
      </c>
    </row>
    <row r="28" spans="1:31">
      <c r="A28" s="6">
        <v>2</v>
      </c>
      <c r="B28" s="6">
        <f t="shared" si="12"/>
        <v>4</v>
      </c>
      <c r="C28" s="6" t="str">
        <f t="shared" si="0"/>
        <v>655931500AARMATURE, MONOBLOCK ASW4, HYUNDAI BC3-CUV8065638451989720</v>
      </c>
      <c r="D28" s="6" t="s">
        <v>211</v>
      </c>
      <c r="E28" s="6" t="s">
        <v>157</v>
      </c>
      <c r="F28" s="6"/>
      <c r="G28" s="7" t="s">
        <v>134</v>
      </c>
      <c r="H28" s="7"/>
      <c r="I28" s="7"/>
      <c r="J28" s="7"/>
      <c r="K28" s="7"/>
      <c r="L28" s="7">
        <v>8065638</v>
      </c>
      <c r="M28" s="22">
        <v>45198</v>
      </c>
      <c r="N28" s="8" t="e">
        <v>#N/A</v>
      </c>
      <c r="O28" s="8"/>
      <c r="P28" s="7">
        <v>9720</v>
      </c>
      <c r="Q28" s="7">
        <v>4075704.98</v>
      </c>
      <c r="R28" s="7" t="e">
        <v>#N/A</v>
      </c>
      <c r="S28" s="7">
        <v>15</v>
      </c>
      <c r="T28" s="7" t="e">
        <v>#N/A</v>
      </c>
      <c r="U28" s="7" t="e">
        <v>#N/A</v>
      </c>
      <c r="V28" s="6">
        <f t="shared" si="1"/>
        <v>611355.74699999997</v>
      </c>
      <c r="W28" s="6">
        <f t="shared" si="2"/>
        <v>61135.574699999997</v>
      </c>
      <c r="X28" s="6">
        <f t="shared" si="3"/>
        <v>672491.32169999997</v>
      </c>
      <c r="Y28" s="6">
        <f t="shared" si="4"/>
        <v>69.186349969135804</v>
      </c>
      <c r="Z28" s="6">
        <f t="shared" si="5"/>
        <v>419.3112119341564</v>
      </c>
      <c r="AA28" s="9">
        <f t="shared" si="6"/>
        <v>9720</v>
      </c>
      <c r="AB28" s="10">
        <v>3267</v>
      </c>
      <c r="AC28" s="11">
        <f t="shared" si="10"/>
        <v>226031.80534916668</v>
      </c>
      <c r="AD28" s="12">
        <f t="shared" si="7"/>
        <v>9720</v>
      </c>
      <c r="AE28" s="13">
        <f t="shared" si="11"/>
        <v>0</v>
      </c>
    </row>
    <row r="29" spans="1:31">
      <c r="A29" s="6">
        <v>2</v>
      </c>
      <c r="B29" s="6">
        <f t="shared" si="12"/>
        <v>5</v>
      </c>
      <c r="C29" s="6" t="str">
        <f t="shared" si="0"/>
        <v>651015100AARMATURE, MONOBLOCK, ASW4, HYUNDAI BC34761407449801647</v>
      </c>
      <c r="D29" s="6" t="s">
        <v>211</v>
      </c>
      <c r="E29" s="6" t="s">
        <v>158</v>
      </c>
      <c r="F29" s="6"/>
      <c r="G29" s="7" t="s">
        <v>135</v>
      </c>
      <c r="H29" s="7"/>
      <c r="I29" s="7"/>
      <c r="J29" s="7"/>
      <c r="K29" s="7"/>
      <c r="L29" s="7">
        <v>4761407</v>
      </c>
      <c r="M29" s="22">
        <v>44980</v>
      </c>
      <c r="N29" s="8" t="s">
        <v>184</v>
      </c>
      <c r="O29" s="8"/>
      <c r="P29" s="7">
        <v>1647</v>
      </c>
      <c r="Q29" s="7">
        <v>830362.69</v>
      </c>
      <c r="R29" s="7">
        <v>87089400</v>
      </c>
      <c r="S29" s="7">
        <v>15</v>
      </c>
      <c r="T29" s="7" t="s">
        <v>186</v>
      </c>
      <c r="U29" s="7" t="s">
        <v>178</v>
      </c>
      <c r="V29" s="6">
        <f t="shared" si="1"/>
        <v>124554.40349999999</v>
      </c>
      <c r="W29" s="6">
        <f t="shared" si="2"/>
        <v>12455.440349999999</v>
      </c>
      <c r="X29" s="6">
        <f t="shared" si="3"/>
        <v>137009.84384999998</v>
      </c>
      <c r="Y29" s="6">
        <f t="shared" si="4"/>
        <v>83.187519034608357</v>
      </c>
      <c r="Z29" s="6">
        <f t="shared" si="5"/>
        <v>504.16678202792951</v>
      </c>
      <c r="AA29" s="9">
        <f t="shared" si="6"/>
        <v>1647</v>
      </c>
      <c r="AB29" s="10">
        <v>129</v>
      </c>
      <c r="AC29" s="11">
        <f t="shared" si="10"/>
        <v>10731.189955464479</v>
      </c>
      <c r="AD29" s="12">
        <f t="shared" si="7"/>
        <v>1647</v>
      </c>
      <c r="AE29" s="13">
        <f t="shared" si="11"/>
        <v>0</v>
      </c>
    </row>
    <row r="30" spans="1:31">
      <c r="A30" s="6">
        <v>2</v>
      </c>
      <c r="B30" s="6">
        <f t="shared" si="12"/>
        <v>6</v>
      </c>
      <c r="C30" s="6" t="str">
        <f t="shared" si="0"/>
        <v>650557200GCUSHION, FOLDED, C AND S HONDA 2JX3460410448902160</v>
      </c>
      <c r="D30" s="6" t="s">
        <v>211</v>
      </c>
      <c r="E30" s="6" t="s">
        <v>159</v>
      </c>
      <c r="F30" s="6"/>
      <c r="G30" s="7" t="s">
        <v>136</v>
      </c>
      <c r="H30" s="7"/>
      <c r="I30" s="7"/>
      <c r="J30" s="7"/>
      <c r="K30" s="7"/>
      <c r="L30" s="7">
        <v>3460410</v>
      </c>
      <c r="M30" s="22">
        <v>44890</v>
      </c>
      <c r="N30" s="8" t="s">
        <v>184</v>
      </c>
      <c r="O30" s="8"/>
      <c r="P30" s="7">
        <v>2160</v>
      </c>
      <c r="Q30" s="7">
        <v>2624382.73</v>
      </c>
      <c r="R30" s="7">
        <v>87089500</v>
      </c>
      <c r="S30" s="7">
        <v>5</v>
      </c>
      <c r="T30" s="7" t="s">
        <v>256</v>
      </c>
      <c r="U30" s="7" t="s">
        <v>178</v>
      </c>
      <c r="V30" s="6">
        <f t="shared" si="1"/>
        <v>131219.13649999999</v>
      </c>
      <c r="W30" s="6">
        <f t="shared" si="2"/>
        <v>13121.91365</v>
      </c>
      <c r="X30" s="6">
        <f t="shared" si="3"/>
        <v>144341.05015</v>
      </c>
      <c r="Y30" s="6">
        <f t="shared" si="4"/>
        <v>66.824560254629631</v>
      </c>
      <c r="Z30" s="6">
        <f t="shared" si="5"/>
        <v>1214.9920046296297</v>
      </c>
      <c r="AA30" s="9">
        <f t="shared" si="6"/>
        <v>2160</v>
      </c>
      <c r="AB30" s="10">
        <v>480</v>
      </c>
      <c r="AC30" s="11">
        <f t="shared" si="10"/>
        <v>32075.788922222222</v>
      </c>
      <c r="AD30" s="12">
        <f t="shared" si="7"/>
        <v>2160</v>
      </c>
      <c r="AE30" s="13">
        <f t="shared" si="11"/>
        <v>0</v>
      </c>
    </row>
    <row r="31" spans="1:31">
      <c r="A31" s="6">
        <v>2</v>
      </c>
      <c r="B31" s="6">
        <f t="shared" si="12"/>
        <v>7</v>
      </c>
      <c r="C31" s="6" t="str">
        <f t="shared" si="0"/>
        <v>651015300BELEMENT, HEATER, HYBRID 3835546449164900</v>
      </c>
      <c r="D31" s="6" t="s">
        <v>211</v>
      </c>
      <c r="E31" s="6" t="s">
        <v>155</v>
      </c>
      <c r="F31" s="6"/>
      <c r="G31" s="7" t="s">
        <v>137</v>
      </c>
      <c r="H31" s="7"/>
      <c r="I31" s="7"/>
      <c r="J31" s="7"/>
      <c r="K31" s="7"/>
      <c r="L31" s="7">
        <v>3835546</v>
      </c>
      <c r="M31" s="22">
        <v>44916</v>
      </c>
      <c r="N31" s="8" t="s">
        <v>189</v>
      </c>
      <c r="O31" s="8"/>
      <c r="P31" s="7">
        <v>4900</v>
      </c>
      <c r="Q31" s="7">
        <v>2746678.42</v>
      </c>
      <c r="R31" s="7">
        <v>87089400</v>
      </c>
      <c r="S31" s="7">
        <v>15</v>
      </c>
      <c r="T31" s="7" t="s">
        <v>257</v>
      </c>
      <c r="U31" s="7" t="s">
        <v>178</v>
      </c>
      <c r="V31" s="6">
        <f t="shared" si="1"/>
        <v>412001.76299999998</v>
      </c>
      <c r="W31" s="6">
        <f t="shared" si="2"/>
        <v>41200.176299999999</v>
      </c>
      <c r="X31" s="6">
        <f t="shared" si="3"/>
        <v>453201.93929999997</v>
      </c>
      <c r="Y31" s="6">
        <f t="shared" si="4"/>
        <v>92.490191693877549</v>
      </c>
      <c r="Z31" s="6">
        <f t="shared" si="5"/>
        <v>560.54661632653062</v>
      </c>
      <c r="AA31" s="9">
        <f t="shared" si="6"/>
        <v>4900</v>
      </c>
      <c r="AB31" s="10">
        <v>2114</v>
      </c>
      <c r="AC31" s="11">
        <f t="shared" si="10"/>
        <v>195524.26524085714</v>
      </c>
      <c r="AD31" s="12">
        <f t="shared" si="7"/>
        <v>4900</v>
      </c>
      <c r="AE31" s="13">
        <f t="shared" si="11"/>
        <v>0</v>
      </c>
    </row>
    <row r="32" spans="1:31">
      <c r="A32" s="6">
        <v>2</v>
      </c>
      <c r="B32" s="6">
        <f t="shared" si="12"/>
        <v>8</v>
      </c>
      <c r="C32" s="6" t="str">
        <f t="shared" si="0"/>
        <v>634240200AHORN CONTACT, CU 521662145010720000</v>
      </c>
      <c r="D32" s="6" t="s">
        <v>211</v>
      </c>
      <c r="E32" s="6" t="s">
        <v>160</v>
      </c>
      <c r="F32" s="6"/>
      <c r="G32" s="7" t="s">
        <v>138</v>
      </c>
      <c r="H32" s="7"/>
      <c r="I32" s="7"/>
      <c r="J32" s="7"/>
      <c r="K32" s="7"/>
      <c r="L32" s="7">
        <v>5216621</v>
      </c>
      <c r="M32" s="22">
        <v>45010</v>
      </c>
      <c r="N32" s="8" t="s">
        <v>189</v>
      </c>
      <c r="O32" s="8"/>
      <c r="P32" s="7">
        <v>720000</v>
      </c>
      <c r="Q32" s="7">
        <v>803516.76</v>
      </c>
      <c r="R32" s="7">
        <v>87089900</v>
      </c>
      <c r="S32" s="7">
        <v>15</v>
      </c>
      <c r="T32" s="7" t="s">
        <v>258</v>
      </c>
      <c r="U32" s="7" t="s">
        <v>178</v>
      </c>
      <c r="V32" s="6">
        <f t="shared" si="1"/>
        <v>120527.514</v>
      </c>
      <c r="W32" s="6">
        <f t="shared" si="2"/>
        <v>12052.751400000001</v>
      </c>
      <c r="X32" s="6">
        <f t="shared" si="3"/>
        <v>132580.2654</v>
      </c>
      <c r="Y32" s="6">
        <f t="shared" si="4"/>
        <v>0.18413925750000001</v>
      </c>
      <c r="Z32" s="6">
        <f t="shared" si="5"/>
        <v>1.1159954999999999</v>
      </c>
      <c r="AA32" s="9">
        <f t="shared" si="6"/>
        <v>720000</v>
      </c>
      <c r="AB32" s="10">
        <v>42432</v>
      </c>
      <c r="AC32" s="11">
        <f t="shared" si="10"/>
        <v>7813.3969742400004</v>
      </c>
      <c r="AD32" s="12">
        <f t="shared" si="7"/>
        <v>707364</v>
      </c>
      <c r="AE32" s="13">
        <f t="shared" si="11"/>
        <v>12636</v>
      </c>
    </row>
    <row r="33" spans="1:31">
      <c r="A33" s="6">
        <v>2</v>
      </c>
      <c r="B33" s="6">
        <f t="shared" si="12"/>
        <v>9</v>
      </c>
      <c r="C33" s="6" t="str">
        <f t="shared" si="0"/>
        <v>653052600AINFLATOR, APP-4.6, 2.2MO STANDARD_MIB, SQUARE_61X3458622448902592</v>
      </c>
      <c r="D33" s="6" t="s">
        <v>211</v>
      </c>
      <c r="E33" s="6" t="s">
        <v>161</v>
      </c>
      <c r="F33" s="6"/>
      <c r="G33" s="7" t="s">
        <v>139</v>
      </c>
      <c r="H33" s="7"/>
      <c r="I33" s="7"/>
      <c r="J33" s="7"/>
      <c r="K33" s="7"/>
      <c r="L33" s="7">
        <v>3458622</v>
      </c>
      <c r="M33" s="22">
        <v>44890</v>
      </c>
      <c r="N33" s="8" t="s">
        <v>184</v>
      </c>
      <c r="O33" s="8"/>
      <c r="P33" s="7">
        <v>2592</v>
      </c>
      <c r="Q33" s="7">
        <v>1420525.03</v>
      </c>
      <c r="R33" s="7">
        <v>87089500</v>
      </c>
      <c r="S33" s="7">
        <v>15</v>
      </c>
      <c r="T33" s="7" t="s">
        <v>259</v>
      </c>
      <c r="U33" s="7" t="s">
        <v>200</v>
      </c>
      <c r="V33" s="6">
        <f t="shared" si="1"/>
        <v>213078.75450000001</v>
      </c>
      <c r="W33" s="6">
        <f t="shared" si="2"/>
        <v>21307.875450000003</v>
      </c>
      <c r="X33" s="6">
        <f t="shared" si="3"/>
        <v>234386.62995</v>
      </c>
      <c r="Y33" s="6">
        <f t="shared" si="4"/>
        <v>90.426940567129634</v>
      </c>
      <c r="Z33" s="6">
        <f t="shared" si="5"/>
        <v>548.04206404320985</v>
      </c>
      <c r="AA33" s="9">
        <f t="shared" si="6"/>
        <v>2592</v>
      </c>
      <c r="AB33" s="10">
        <v>480</v>
      </c>
      <c r="AC33" s="11">
        <f t="shared" si="10"/>
        <v>43404.931472222226</v>
      </c>
      <c r="AD33" s="12">
        <f t="shared" si="7"/>
        <v>2592</v>
      </c>
      <c r="AE33" s="13">
        <f t="shared" si="11"/>
        <v>0</v>
      </c>
    </row>
    <row r="34" spans="1:31">
      <c r="A34" s="6">
        <v>2</v>
      </c>
      <c r="B34" s="6">
        <f t="shared" si="12"/>
        <v>10</v>
      </c>
      <c r="C34" s="6" t="str">
        <f t="shared" si="0"/>
        <v>653052600AINFLATOR, APP-4.6, 2.2MO STANDARD_MIB, SQUARE_61X336263444883864</v>
      </c>
      <c r="D34" s="6" t="s">
        <v>211</v>
      </c>
      <c r="E34" s="6" t="s">
        <v>161</v>
      </c>
      <c r="F34" s="6"/>
      <c r="G34" s="7" t="s">
        <v>139</v>
      </c>
      <c r="H34" s="7"/>
      <c r="I34" s="7"/>
      <c r="J34" s="7"/>
      <c r="K34" s="7"/>
      <c r="L34" s="7">
        <v>3362634</v>
      </c>
      <c r="M34" s="22">
        <v>44883</v>
      </c>
      <c r="N34" s="8" t="s">
        <v>184</v>
      </c>
      <c r="O34" s="8"/>
      <c r="P34" s="7">
        <v>864</v>
      </c>
      <c r="Q34" s="7">
        <v>473859.86</v>
      </c>
      <c r="R34" s="7">
        <v>87089500</v>
      </c>
      <c r="S34" s="7">
        <v>15</v>
      </c>
      <c r="T34" s="7" t="s">
        <v>259</v>
      </c>
      <c r="U34" s="7" t="s">
        <v>200</v>
      </c>
      <c r="V34" s="6">
        <f t="shared" si="1"/>
        <v>71078.978999999992</v>
      </c>
      <c r="W34" s="6">
        <f t="shared" si="2"/>
        <v>7107.8978999999999</v>
      </c>
      <c r="X34" s="6">
        <f t="shared" si="3"/>
        <v>78186.876899999988</v>
      </c>
      <c r="Y34" s="6">
        <f t="shared" si="4"/>
        <v>90.494070486111099</v>
      </c>
      <c r="Z34" s="6">
        <f t="shared" si="5"/>
        <v>548.44891203703708</v>
      </c>
      <c r="AA34" s="9">
        <f t="shared" si="6"/>
        <v>864</v>
      </c>
      <c r="AB34" s="10">
        <v>0</v>
      </c>
      <c r="AC34" s="11">
        <f t="shared" si="10"/>
        <v>0</v>
      </c>
      <c r="AD34" s="12">
        <f t="shared" si="7"/>
        <v>864</v>
      </c>
      <c r="AE34" s="13">
        <f t="shared" si="11"/>
        <v>0</v>
      </c>
    </row>
    <row r="35" spans="1:31">
      <c r="A35" s="6">
        <v>2</v>
      </c>
      <c r="B35" s="6">
        <f t="shared" si="12"/>
        <v>11</v>
      </c>
      <c r="C35" s="6" t="str">
        <f t="shared" si="0"/>
        <v>656011400ALEATHER, HIDE TOP GRAIN, GREY, FOSSIL GREY, T9Y,722294145143466.39</v>
      </c>
      <c r="D35" s="6" t="s">
        <v>211</v>
      </c>
      <c r="E35" s="6" t="s">
        <v>162</v>
      </c>
      <c r="F35" s="6"/>
      <c r="G35" s="7" t="s">
        <v>140</v>
      </c>
      <c r="H35" s="7"/>
      <c r="I35" s="7"/>
      <c r="J35" s="7"/>
      <c r="K35" s="7"/>
      <c r="L35" s="7">
        <v>7222941</v>
      </c>
      <c r="M35" s="22">
        <v>45143</v>
      </c>
      <c r="N35" s="8" t="s">
        <v>180</v>
      </c>
      <c r="O35" s="8"/>
      <c r="P35" s="7">
        <v>466.39</v>
      </c>
      <c r="Q35" s="7">
        <v>1147356.54</v>
      </c>
      <c r="R35" s="7">
        <v>41071200</v>
      </c>
      <c r="S35" s="7">
        <v>10</v>
      </c>
      <c r="T35" s="7" t="s">
        <v>260</v>
      </c>
      <c r="U35" s="7" t="s">
        <v>178</v>
      </c>
      <c r="V35" s="6">
        <f t="shared" si="1"/>
        <v>114735.65400000001</v>
      </c>
      <c r="W35" s="6">
        <f t="shared" si="2"/>
        <v>11473.565400000001</v>
      </c>
      <c r="X35" s="6">
        <f t="shared" si="3"/>
        <v>126209.21940000002</v>
      </c>
      <c r="Y35" s="6">
        <f t="shared" si="4"/>
        <v>270.60875962177579</v>
      </c>
      <c r="Z35" s="6">
        <f t="shared" si="5"/>
        <v>2460.0796329252344</v>
      </c>
      <c r="AA35" s="9">
        <f t="shared" si="6"/>
        <v>466.39</v>
      </c>
      <c r="AB35" s="10">
        <v>96.489097999999984</v>
      </c>
      <c r="AC35" s="11">
        <f t="shared" si="10"/>
        <v>26110.795126803961</v>
      </c>
      <c r="AD35" s="12">
        <f t="shared" si="7"/>
        <v>466.42970200000002</v>
      </c>
      <c r="AE35" s="13">
        <v>0</v>
      </c>
    </row>
    <row r="36" spans="1:31">
      <c r="A36" s="6">
        <v>2</v>
      </c>
      <c r="B36" s="6">
        <f t="shared" si="12"/>
        <v>12</v>
      </c>
      <c r="C36" s="6" t="str">
        <f t="shared" si="0"/>
        <v>652466500ALEATHER, HIDE TOP GRAIN, OBSIDIAN BLACK, NNB, BLA4680928449742120</v>
      </c>
      <c r="D36" s="6" t="s">
        <v>211</v>
      </c>
      <c r="E36" s="6" t="s">
        <v>163</v>
      </c>
      <c r="F36" s="6"/>
      <c r="G36" s="7" t="s">
        <v>141</v>
      </c>
      <c r="H36" s="7"/>
      <c r="I36" s="7"/>
      <c r="J36" s="7"/>
      <c r="K36" s="7"/>
      <c r="L36" s="7">
        <v>4680928</v>
      </c>
      <c r="M36" s="22">
        <v>44974</v>
      </c>
      <c r="N36" s="8" t="s">
        <v>184</v>
      </c>
      <c r="O36" s="8"/>
      <c r="P36" s="7">
        <v>2120</v>
      </c>
      <c r="Q36" s="7">
        <v>5532518</v>
      </c>
      <c r="R36" s="7">
        <v>41071200</v>
      </c>
      <c r="S36" s="7">
        <v>0</v>
      </c>
      <c r="T36" s="7" t="s">
        <v>261</v>
      </c>
      <c r="U36" s="7" t="s">
        <v>178</v>
      </c>
      <c r="V36" s="6">
        <f t="shared" si="1"/>
        <v>0</v>
      </c>
      <c r="W36" s="6">
        <f t="shared" si="2"/>
        <v>0</v>
      </c>
      <c r="X36" s="6">
        <f t="shared" si="3"/>
        <v>0</v>
      </c>
      <c r="Y36" s="6">
        <f t="shared" si="4"/>
        <v>0</v>
      </c>
      <c r="Z36" s="6">
        <f t="shared" si="5"/>
        <v>2609.6783018867923</v>
      </c>
      <c r="AA36" s="9">
        <f t="shared" si="6"/>
        <v>2120</v>
      </c>
      <c r="AB36" s="10">
        <v>153.24999999999994</v>
      </c>
      <c r="AC36" s="11">
        <f t="shared" si="10"/>
        <v>0</v>
      </c>
      <c r="AD36" s="12">
        <f t="shared" si="7"/>
        <v>2119.5</v>
      </c>
      <c r="AE36" s="13">
        <f t="shared" ref="AE36:AE73" si="13">AA36-AD36</f>
        <v>0.5</v>
      </c>
    </row>
    <row r="37" spans="1:31">
      <c r="A37" s="6">
        <v>2</v>
      </c>
      <c r="B37" s="6">
        <f t="shared" si="12"/>
        <v>13</v>
      </c>
      <c r="C37" s="6" t="str">
        <f t="shared" si="0"/>
        <v>608067201ANUT, ISO, M5 351094044894800000</v>
      </c>
      <c r="D37" s="6" t="s">
        <v>211</v>
      </c>
      <c r="E37" s="6" t="s">
        <v>164</v>
      </c>
      <c r="F37" s="6"/>
      <c r="G37" s="7" t="s">
        <v>142</v>
      </c>
      <c r="H37" s="7"/>
      <c r="I37" s="7"/>
      <c r="J37" s="7"/>
      <c r="K37" s="7"/>
      <c r="L37" s="7">
        <v>3510940</v>
      </c>
      <c r="M37" s="22">
        <v>44894</v>
      </c>
      <c r="N37" s="8" t="s">
        <v>189</v>
      </c>
      <c r="O37" s="8" t="s">
        <v>332</v>
      </c>
      <c r="P37" s="7">
        <v>800000</v>
      </c>
      <c r="Q37" s="7">
        <v>1498489.13</v>
      </c>
      <c r="R37" s="7">
        <v>87089500</v>
      </c>
      <c r="S37" s="7">
        <v>15</v>
      </c>
      <c r="T37" s="7" t="s">
        <v>183</v>
      </c>
      <c r="U37" s="7" t="s">
        <v>178</v>
      </c>
      <c r="V37" s="6">
        <f t="shared" si="1"/>
        <v>224773.36949999997</v>
      </c>
      <c r="W37" s="6">
        <f t="shared" si="2"/>
        <v>22477.336949999997</v>
      </c>
      <c r="X37" s="6">
        <f t="shared" si="3"/>
        <v>247250.70644999997</v>
      </c>
      <c r="Y37" s="6">
        <f t="shared" si="4"/>
        <v>0.30906338306249997</v>
      </c>
      <c r="Z37" s="6">
        <f t="shared" si="5"/>
        <v>1.8731114124999999</v>
      </c>
      <c r="AA37" s="9">
        <f t="shared" si="6"/>
        <v>800000</v>
      </c>
      <c r="AB37" s="10">
        <v>1920</v>
      </c>
      <c r="AC37" s="11">
        <f t="shared" si="10"/>
        <v>593.40169547999994</v>
      </c>
      <c r="AD37" s="12">
        <f t="shared" si="7"/>
        <v>70960</v>
      </c>
      <c r="AE37" s="13">
        <f t="shared" si="13"/>
        <v>729040</v>
      </c>
    </row>
    <row r="38" spans="1:31">
      <c r="A38" s="6">
        <v>2</v>
      </c>
      <c r="B38" s="6">
        <f t="shared" si="12"/>
        <v>14</v>
      </c>
      <c r="C38" s="6" t="str">
        <f t="shared" si="0"/>
        <v>639590100BSCREW SELF TAPPING INTERNAL T15, 15.0240572444816120000</v>
      </c>
      <c r="D38" s="6" t="s">
        <v>211</v>
      </c>
      <c r="E38" s="6" t="s">
        <v>165</v>
      </c>
      <c r="F38" s="6"/>
      <c r="G38" s="7" t="s">
        <v>143</v>
      </c>
      <c r="H38" s="7"/>
      <c r="I38" s="7"/>
      <c r="J38" s="7"/>
      <c r="K38" s="7"/>
      <c r="L38" s="7">
        <v>2405724</v>
      </c>
      <c r="M38" s="22">
        <v>44816</v>
      </c>
      <c r="N38" s="8" t="s">
        <v>180</v>
      </c>
      <c r="O38" s="8"/>
      <c r="P38" s="7">
        <v>120000</v>
      </c>
      <c r="Q38" s="7">
        <v>132082.13</v>
      </c>
      <c r="R38" s="7">
        <v>87089900</v>
      </c>
      <c r="S38" s="7">
        <v>15</v>
      </c>
      <c r="T38" s="7" t="s">
        <v>262</v>
      </c>
      <c r="U38" s="7" t="s">
        <v>178</v>
      </c>
      <c r="V38" s="6">
        <f t="shared" si="1"/>
        <v>19812.319500000001</v>
      </c>
      <c r="W38" s="6">
        <f t="shared" si="2"/>
        <v>1981.2319500000003</v>
      </c>
      <c r="X38" s="6">
        <f t="shared" si="3"/>
        <v>21793.551450000003</v>
      </c>
      <c r="Y38" s="6">
        <f t="shared" si="4"/>
        <v>0.18161292875000001</v>
      </c>
      <c r="Z38" s="6">
        <f t="shared" si="5"/>
        <v>1.1006844166666667</v>
      </c>
      <c r="AA38" s="9">
        <f t="shared" si="6"/>
        <v>120000</v>
      </c>
      <c r="AB38" s="10">
        <v>57756</v>
      </c>
      <c r="AC38" s="11">
        <f t="shared" si="10"/>
        <v>10489.236312885001</v>
      </c>
      <c r="AD38" s="12">
        <f t="shared" si="7"/>
        <v>120000</v>
      </c>
      <c r="AE38" s="13">
        <f t="shared" si="13"/>
        <v>0</v>
      </c>
    </row>
    <row r="39" spans="1:31">
      <c r="A39" s="6">
        <v>2</v>
      </c>
      <c r="B39" s="6">
        <f t="shared" si="12"/>
        <v>15</v>
      </c>
      <c r="C39" s="6" t="str">
        <f t="shared" si="0"/>
        <v>644345600ASCREW, SELF-TAPPING, PLA PLASTIC, 3.0, CROSS30474624486130000</v>
      </c>
      <c r="D39" s="6" t="s">
        <v>211</v>
      </c>
      <c r="E39" s="6" t="s">
        <v>166</v>
      </c>
      <c r="F39" s="6"/>
      <c r="G39" s="7" t="s">
        <v>144</v>
      </c>
      <c r="H39" s="7"/>
      <c r="I39" s="7"/>
      <c r="J39" s="7"/>
      <c r="K39" s="7"/>
      <c r="L39" s="7">
        <v>3047462</v>
      </c>
      <c r="M39" s="22">
        <v>44861</v>
      </c>
      <c r="N39" s="8" t="s">
        <v>182</v>
      </c>
      <c r="O39" s="8"/>
      <c r="P39" s="7">
        <v>30000</v>
      </c>
      <c r="Q39" s="7">
        <v>24310.74</v>
      </c>
      <c r="R39" s="7">
        <v>87089500</v>
      </c>
      <c r="S39" s="7">
        <v>15</v>
      </c>
      <c r="T39" s="7" t="s">
        <v>183</v>
      </c>
      <c r="U39" s="7" t="s">
        <v>178</v>
      </c>
      <c r="V39" s="6">
        <f t="shared" si="1"/>
        <v>3646.6110000000003</v>
      </c>
      <c r="W39" s="6">
        <f t="shared" si="2"/>
        <v>364.66110000000003</v>
      </c>
      <c r="X39" s="6">
        <f t="shared" si="3"/>
        <v>4011.2721000000001</v>
      </c>
      <c r="Y39" s="6">
        <f t="shared" si="4"/>
        <v>0.13370907000000001</v>
      </c>
      <c r="Z39" s="6">
        <f t="shared" si="5"/>
        <v>0.81035800000000002</v>
      </c>
      <c r="AA39" s="9">
        <f t="shared" si="6"/>
        <v>30000</v>
      </c>
      <c r="AB39" s="10">
        <v>13720</v>
      </c>
      <c r="AC39" s="11">
        <f t="shared" si="10"/>
        <v>1834.4884404000002</v>
      </c>
      <c r="AD39" s="12">
        <f t="shared" si="7"/>
        <v>30000</v>
      </c>
      <c r="AE39" s="13">
        <f t="shared" si="13"/>
        <v>0</v>
      </c>
    </row>
    <row r="40" spans="1:31" ht="30">
      <c r="A40" s="6">
        <v>2</v>
      </c>
      <c r="B40" s="6">
        <f t="shared" si="12"/>
        <v>16</v>
      </c>
      <c r="C40" s="6" t="str">
        <f t="shared" si="0"/>
        <v>628408700ASCREW, STANDARD, METRIC, M5, HEXALOBULAR INTERNAL36994284490760000</v>
      </c>
      <c r="D40" s="6" t="s">
        <v>211</v>
      </c>
      <c r="E40" s="6" t="s">
        <v>167</v>
      </c>
      <c r="F40" s="6"/>
      <c r="G40" s="7" t="s">
        <v>145</v>
      </c>
      <c r="H40" s="7"/>
      <c r="I40" s="7"/>
      <c r="J40" s="7"/>
      <c r="K40" s="7"/>
      <c r="L40" s="7">
        <v>3699428</v>
      </c>
      <c r="M40" s="22">
        <v>44907</v>
      </c>
      <c r="N40" s="8" t="s">
        <v>185</v>
      </c>
      <c r="O40" s="8"/>
      <c r="P40" s="7">
        <v>60000</v>
      </c>
      <c r="Q40" s="7">
        <v>320497.71000000002</v>
      </c>
      <c r="R40" s="7">
        <v>87089900</v>
      </c>
      <c r="S40" s="7">
        <v>15</v>
      </c>
      <c r="T40" s="7" t="s">
        <v>263</v>
      </c>
      <c r="U40" s="7" t="s">
        <v>178</v>
      </c>
      <c r="V40" s="6">
        <f t="shared" si="1"/>
        <v>48074.656500000005</v>
      </c>
      <c r="W40" s="6">
        <f t="shared" si="2"/>
        <v>4807.465650000001</v>
      </c>
      <c r="X40" s="6">
        <f t="shared" si="3"/>
        <v>52882.122150000003</v>
      </c>
      <c r="Y40" s="6">
        <f t="shared" si="4"/>
        <v>0.8813687025000001</v>
      </c>
      <c r="Z40" s="6">
        <f t="shared" si="5"/>
        <v>5.3416285000000006</v>
      </c>
      <c r="AA40" s="9">
        <f t="shared" si="6"/>
        <v>60000</v>
      </c>
      <c r="AB40" s="10">
        <v>31824</v>
      </c>
      <c r="AC40" s="11">
        <f t="shared" si="10"/>
        <v>28048.677588360002</v>
      </c>
      <c r="AD40" s="12">
        <f t="shared" si="7"/>
        <v>60000</v>
      </c>
      <c r="AE40" s="13">
        <f t="shared" si="13"/>
        <v>0</v>
      </c>
    </row>
    <row r="41" spans="1:31">
      <c r="A41" s="6">
        <v>2</v>
      </c>
      <c r="B41" s="6">
        <f t="shared" si="12"/>
        <v>17</v>
      </c>
      <c r="C41" s="6" t="str">
        <f t="shared" si="0"/>
        <v>651409900ASCREW, STD METRIC M6 HEXALOBULAR INTERNAL, T446724674497330000</v>
      </c>
      <c r="D41" s="6" t="s">
        <v>211</v>
      </c>
      <c r="E41" s="6" t="s">
        <v>168</v>
      </c>
      <c r="F41" s="6"/>
      <c r="G41" s="7" t="s">
        <v>146</v>
      </c>
      <c r="H41" s="7"/>
      <c r="I41" s="7"/>
      <c r="J41" s="7"/>
      <c r="K41" s="7"/>
      <c r="L41" s="7">
        <v>4672467</v>
      </c>
      <c r="M41" s="22">
        <v>44973</v>
      </c>
      <c r="N41" s="8" t="s">
        <v>182</v>
      </c>
      <c r="O41" s="8"/>
      <c r="P41" s="7">
        <v>30000</v>
      </c>
      <c r="Q41" s="7">
        <v>104837.13</v>
      </c>
      <c r="R41" s="7">
        <v>87089500</v>
      </c>
      <c r="S41" s="7">
        <v>15</v>
      </c>
      <c r="T41" s="7" t="s">
        <v>183</v>
      </c>
      <c r="U41" s="7" t="s">
        <v>178</v>
      </c>
      <c r="V41" s="6">
        <f t="shared" si="1"/>
        <v>15725.5695</v>
      </c>
      <c r="W41" s="6">
        <f t="shared" si="2"/>
        <v>1572.5569500000001</v>
      </c>
      <c r="X41" s="6">
        <f t="shared" si="3"/>
        <v>17298.12645</v>
      </c>
      <c r="Y41" s="6">
        <f t="shared" si="4"/>
        <v>0.57660421500000003</v>
      </c>
      <c r="Z41" s="6">
        <f t="shared" si="5"/>
        <v>3.4945710000000001</v>
      </c>
      <c r="AA41" s="9">
        <f t="shared" si="6"/>
        <v>30000</v>
      </c>
      <c r="AB41" s="10">
        <v>13720</v>
      </c>
      <c r="AC41" s="11">
        <f t="shared" si="10"/>
        <v>7911.0098298000003</v>
      </c>
      <c r="AD41" s="12">
        <f t="shared" si="7"/>
        <v>30000</v>
      </c>
      <c r="AE41" s="13">
        <f t="shared" si="13"/>
        <v>0</v>
      </c>
    </row>
    <row r="42" spans="1:31">
      <c r="A42" s="6">
        <v>2</v>
      </c>
      <c r="B42" s="6">
        <f t="shared" si="12"/>
        <v>18</v>
      </c>
      <c r="C42" s="6" t="str">
        <f t="shared" si="0"/>
        <v>608225700ASCREW,STD METRIIC HEXALOBULAR  M5 T25 12MM56866434504220000</v>
      </c>
      <c r="D42" s="6" t="s">
        <v>211</v>
      </c>
      <c r="E42" s="6" t="s">
        <v>169</v>
      </c>
      <c r="F42" s="6"/>
      <c r="G42" s="7" t="s">
        <v>147</v>
      </c>
      <c r="H42" s="7"/>
      <c r="I42" s="7"/>
      <c r="J42" s="7"/>
      <c r="K42" s="7"/>
      <c r="L42" s="7">
        <v>5686643</v>
      </c>
      <c r="M42" s="22">
        <v>45042</v>
      </c>
      <c r="N42" s="8" t="s">
        <v>180</v>
      </c>
      <c r="O42" s="8"/>
      <c r="P42" s="7">
        <v>20000</v>
      </c>
      <c r="Q42" s="7">
        <v>73110.7</v>
      </c>
      <c r="R42" s="7">
        <v>87089400</v>
      </c>
      <c r="S42" s="7">
        <v>15</v>
      </c>
      <c r="T42" s="7" t="s">
        <v>264</v>
      </c>
      <c r="U42" s="7" t="s">
        <v>178</v>
      </c>
      <c r="V42" s="6">
        <f t="shared" si="1"/>
        <v>10966.605</v>
      </c>
      <c r="W42" s="6">
        <f t="shared" si="2"/>
        <v>1096.6605</v>
      </c>
      <c r="X42" s="6">
        <f t="shared" si="3"/>
        <v>12063.2655</v>
      </c>
      <c r="Y42" s="6">
        <f t="shared" si="4"/>
        <v>0.603163275</v>
      </c>
      <c r="Z42" s="6">
        <f t="shared" si="5"/>
        <v>3.655535</v>
      </c>
      <c r="AA42" s="9">
        <f t="shared" si="6"/>
        <v>20000</v>
      </c>
      <c r="AB42" s="10">
        <v>6716</v>
      </c>
      <c r="AC42" s="11">
        <f t="shared" si="10"/>
        <v>4050.8445548999998</v>
      </c>
      <c r="AD42" s="12">
        <f t="shared" si="7"/>
        <v>20000</v>
      </c>
      <c r="AE42" s="13">
        <f t="shared" si="13"/>
        <v>0</v>
      </c>
    </row>
    <row r="43" spans="1:31">
      <c r="A43" s="6">
        <v>2</v>
      </c>
      <c r="B43" s="6">
        <f t="shared" si="12"/>
        <v>19</v>
      </c>
      <c r="C43" s="6" t="str">
        <f t="shared" si="0"/>
        <v>651166400CSPRING, COIL, UPPER 49425624499230000</v>
      </c>
      <c r="D43" s="6" t="s">
        <v>211</v>
      </c>
      <c r="E43" s="6" t="s">
        <v>170</v>
      </c>
      <c r="F43" s="6"/>
      <c r="G43" s="7" t="s">
        <v>148</v>
      </c>
      <c r="H43" s="7"/>
      <c r="I43" s="7"/>
      <c r="J43" s="7"/>
      <c r="K43" s="7"/>
      <c r="L43" s="7">
        <v>4942562</v>
      </c>
      <c r="M43" s="22">
        <v>44992</v>
      </c>
      <c r="N43" s="8" t="s">
        <v>180</v>
      </c>
      <c r="O43" s="8"/>
      <c r="P43" s="7">
        <v>30000</v>
      </c>
      <c r="Q43" s="7">
        <v>60728.28</v>
      </c>
      <c r="R43" s="7">
        <v>87089900</v>
      </c>
      <c r="S43" s="7">
        <v>15</v>
      </c>
      <c r="T43" s="7" t="s">
        <v>188</v>
      </c>
      <c r="U43" s="7" t="s">
        <v>178</v>
      </c>
      <c r="V43" s="6">
        <f t="shared" si="1"/>
        <v>9109.2420000000002</v>
      </c>
      <c r="W43" s="6">
        <f t="shared" si="2"/>
        <v>910.92420000000004</v>
      </c>
      <c r="X43" s="6">
        <f t="shared" si="3"/>
        <v>10020.1662</v>
      </c>
      <c r="Y43" s="6">
        <f t="shared" si="4"/>
        <v>0.33400553999999999</v>
      </c>
      <c r="Z43" s="6">
        <f t="shared" si="5"/>
        <v>2.024276</v>
      </c>
      <c r="AA43" s="9">
        <f t="shared" si="6"/>
        <v>30000</v>
      </c>
      <c r="AB43" s="10">
        <v>5520</v>
      </c>
      <c r="AC43" s="11">
        <f t="shared" si="10"/>
        <v>1843.7105807999999</v>
      </c>
      <c r="AD43" s="12">
        <f t="shared" si="7"/>
        <v>30000</v>
      </c>
      <c r="AE43" s="13">
        <f t="shared" si="13"/>
        <v>0</v>
      </c>
    </row>
    <row r="44" spans="1:31">
      <c r="A44" s="6">
        <v>2</v>
      </c>
      <c r="B44" s="6">
        <f t="shared" si="12"/>
        <v>20</v>
      </c>
      <c r="C44" s="6" t="str">
        <f t="shared" si="0"/>
        <v>608225700ASCREW,STD METRIIC HEXALOBULAR  M5 T25 12MM58632834505530000</v>
      </c>
      <c r="D44" s="6" t="s">
        <v>211</v>
      </c>
      <c r="E44" s="6" t="s">
        <v>169</v>
      </c>
      <c r="F44" s="6"/>
      <c r="G44" s="7" t="s">
        <v>147</v>
      </c>
      <c r="H44" s="7"/>
      <c r="I44" s="7"/>
      <c r="J44" s="7"/>
      <c r="K44" s="7"/>
      <c r="L44" s="7">
        <v>5863283</v>
      </c>
      <c r="M44" s="22">
        <v>45055</v>
      </c>
      <c r="N44" s="8" t="s">
        <v>189</v>
      </c>
      <c r="O44" s="8"/>
      <c r="P44" s="7">
        <v>30000</v>
      </c>
      <c r="Q44" s="7">
        <v>93327.17</v>
      </c>
      <c r="R44" s="7">
        <v>87089400</v>
      </c>
      <c r="S44" s="7">
        <v>15</v>
      </c>
      <c r="T44" s="7" t="s">
        <v>266</v>
      </c>
      <c r="U44" s="7" t="s">
        <v>178</v>
      </c>
      <c r="V44" s="6">
        <f t="shared" si="1"/>
        <v>13999.075499999999</v>
      </c>
      <c r="W44" s="6">
        <f t="shared" si="2"/>
        <v>1399.9075499999999</v>
      </c>
      <c r="X44" s="6">
        <f t="shared" si="3"/>
        <v>15398.983049999999</v>
      </c>
      <c r="Y44" s="6">
        <f t="shared" si="4"/>
        <v>0.51329943499999997</v>
      </c>
      <c r="Z44" s="6">
        <f t="shared" si="5"/>
        <v>3.1109056666666666</v>
      </c>
      <c r="AA44" s="9">
        <f t="shared" si="6"/>
        <v>30000</v>
      </c>
      <c r="AB44" s="10">
        <v>10560</v>
      </c>
      <c r="AC44" s="11">
        <f t="shared" si="10"/>
        <v>5420.4420335999994</v>
      </c>
      <c r="AD44" s="12">
        <f t="shared" si="7"/>
        <v>29316</v>
      </c>
      <c r="AE44" s="13">
        <f t="shared" si="13"/>
        <v>684</v>
      </c>
    </row>
    <row r="45" spans="1:31">
      <c r="A45" s="6">
        <v>2</v>
      </c>
      <c r="B45" s="6">
        <f t="shared" si="12"/>
        <v>21</v>
      </c>
      <c r="C45" s="6" t="str">
        <f t="shared" si="0"/>
        <v>639590100BSCREW SELF TAPPING INTERNAL T15, 15.0993779944782120000</v>
      </c>
      <c r="D45" s="6" t="s">
        <v>211</v>
      </c>
      <c r="E45" s="6" t="s">
        <v>165</v>
      </c>
      <c r="F45" s="6"/>
      <c r="G45" s="7" t="s">
        <v>143</v>
      </c>
      <c r="H45" s="7"/>
      <c r="I45" s="7"/>
      <c r="J45" s="7"/>
      <c r="K45" s="7"/>
      <c r="L45" s="7">
        <v>9937799</v>
      </c>
      <c r="M45" s="22">
        <v>44782</v>
      </c>
      <c r="N45" s="8" t="s">
        <v>180</v>
      </c>
      <c r="O45" s="19" t="s">
        <v>332</v>
      </c>
      <c r="P45" s="7">
        <v>120000</v>
      </c>
      <c r="Q45" s="7">
        <v>131753.76999999999</v>
      </c>
      <c r="R45" s="7">
        <v>87089900</v>
      </c>
      <c r="S45" s="7">
        <v>15</v>
      </c>
      <c r="T45" s="7" t="s">
        <v>262</v>
      </c>
      <c r="U45" s="7" t="s">
        <v>178</v>
      </c>
      <c r="V45" s="6">
        <f t="shared" si="1"/>
        <v>19763.065499999997</v>
      </c>
      <c r="W45" s="6">
        <f t="shared" si="2"/>
        <v>1976.3065499999998</v>
      </c>
      <c r="X45" s="6">
        <f t="shared" si="3"/>
        <v>21739.372049999998</v>
      </c>
      <c r="Y45" s="6">
        <f t="shared" si="4"/>
        <v>0.18116143374999999</v>
      </c>
      <c r="Z45" s="6">
        <f t="shared" si="5"/>
        <v>1.0979480833333333</v>
      </c>
      <c r="AA45" s="9">
        <f t="shared" si="6"/>
        <v>120000</v>
      </c>
      <c r="AB45" s="10">
        <v>23168</v>
      </c>
      <c r="AC45" s="11">
        <f t="shared" si="10"/>
        <v>4197.1480971199999</v>
      </c>
      <c r="AD45" s="12">
        <f t="shared" si="7"/>
        <v>120000</v>
      </c>
      <c r="AE45" s="13">
        <f t="shared" si="13"/>
        <v>0</v>
      </c>
    </row>
    <row r="46" spans="1:31">
      <c r="A46" s="6">
        <v>2</v>
      </c>
      <c r="B46" s="6">
        <f t="shared" si="12"/>
        <v>22</v>
      </c>
      <c r="C46" s="6" t="str">
        <f t="shared" si="0"/>
        <v>644345600ASCREW, SELF-TAPPING, PLA PLASTIC, 3.0, CROSS90853734472590000</v>
      </c>
      <c r="D46" s="6" t="s">
        <v>211</v>
      </c>
      <c r="E46" s="6" t="s">
        <v>166</v>
      </c>
      <c r="F46" s="6"/>
      <c r="G46" s="7" t="s">
        <v>144</v>
      </c>
      <c r="H46" s="7"/>
      <c r="I46" s="7"/>
      <c r="J46" s="7"/>
      <c r="K46" s="7"/>
      <c r="L46" s="7">
        <v>9085373</v>
      </c>
      <c r="M46" s="22">
        <v>44725</v>
      </c>
      <c r="N46" s="8" t="s">
        <v>182</v>
      </c>
      <c r="O46" s="8"/>
      <c r="P46" s="7">
        <v>90000</v>
      </c>
      <c r="Q46" s="7">
        <v>68392.240000000005</v>
      </c>
      <c r="R46" s="7">
        <v>87089500</v>
      </c>
      <c r="S46" s="7">
        <v>15</v>
      </c>
      <c r="T46" s="7" t="s">
        <v>183</v>
      </c>
      <c r="U46" s="7" t="s">
        <v>178</v>
      </c>
      <c r="V46" s="6">
        <f t="shared" si="1"/>
        <v>10258.836000000001</v>
      </c>
      <c r="W46" s="6">
        <f t="shared" si="2"/>
        <v>1025.8836000000001</v>
      </c>
      <c r="X46" s="6">
        <f t="shared" si="3"/>
        <v>11284.7196</v>
      </c>
      <c r="Y46" s="6">
        <f t="shared" si="4"/>
        <v>0.12538577333333334</v>
      </c>
      <c r="Z46" s="6">
        <f t="shared" si="5"/>
        <v>0.7599137777777778</v>
      </c>
      <c r="AA46" s="9">
        <f t="shared" si="6"/>
        <v>90000</v>
      </c>
      <c r="AB46" s="10">
        <v>7496</v>
      </c>
      <c r="AC46" s="11">
        <f t="shared" si="10"/>
        <v>939.89175690666673</v>
      </c>
      <c r="AD46" s="12">
        <f t="shared" si="7"/>
        <v>89034</v>
      </c>
      <c r="AE46" s="13">
        <f t="shared" si="13"/>
        <v>966</v>
      </c>
    </row>
    <row r="47" spans="1:31">
      <c r="A47" s="6">
        <v>2</v>
      </c>
      <c r="B47" s="6">
        <f t="shared" si="12"/>
        <v>23</v>
      </c>
      <c r="C47" s="6" t="str">
        <f t="shared" si="0"/>
        <v>644345600ASCREW, SELF-TAPPING, PLA PLASTIC, 3.0, CROSS35109404489490000</v>
      </c>
      <c r="D47" s="6" t="s">
        <v>211</v>
      </c>
      <c r="E47" s="6" t="s">
        <v>166</v>
      </c>
      <c r="F47" s="6"/>
      <c r="G47" s="7" t="s">
        <v>144</v>
      </c>
      <c r="H47" s="7"/>
      <c r="I47" s="7"/>
      <c r="J47" s="7"/>
      <c r="K47" s="7"/>
      <c r="L47" s="7">
        <v>3510940</v>
      </c>
      <c r="M47" s="22">
        <v>44894</v>
      </c>
      <c r="N47" s="8" t="s">
        <v>189</v>
      </c>
      <c r="O47" s="8"/>
      <c r="P47" s="7">
        <v>90000</v>
      </c>
      <c r="Q47" s="7">
        <v>68808.17</v>
      </c>
      <c r="R47" s="7">
        <v>87089500</v>
      </c>
      <c r="S47" s="7">
        <v>15</v>
      </c>
      <c r="T47" s="7" t="s">
        <v>183</v>
      </c>
      <c r="U47" s="7" t="s">
        <v>178</v>
      </c>
      <c r="V47" s="6">
        <f t="shared" si="1"/>
        <v>10321.225499999999</v>
      </c>
      <c r="W47" s="6">
        <f t="shared" si="2"/>
        <v>1032.1225499999998</v>
      </c>
      <c r="X47" s="6">
        <f t="shared" si="3"/>
        <v>11353.348049999999</v>
      </c>
      <c r="Y47" s="6">
        <f t="shared" si="4"/>
        <v>0.12614831166666665</v>
      </c>
      <c r="Z47" s="6">
        <f t="shared" si="5"/>
        <v>0.76453522222222225</v>
      </c>
      <c r="AA47" s="9">
        <f t="shared" si="6"/>
        <v>90000</v>
      </c>
      <c r="AB47" s="10">
        <v>0</v>
      </c>
      <c r="AC47" s="11">
        <f t="shared" si="10"/>
        <v>0</v>
      </c>
      <c r="AD47" s="12">
        <f t="shared" si="7"/>
        <v>90000</v>
      </c>
      <c r="AE47" s="13">
        <f t="shared" si="13"/>
        <v>0</v>
      </c>
    </row>
    <row r="48" spans="1:31">
      <c r="A48" s="6">
        <v>2</v>
      </c>
      <c r="B48" s="6">
        <f t="shared" si="12"/>
        <v>24</v>
      </c>
      <c r="C48" s="6" t="str">
        <f t="shared" si="0"/>
        <v>650557200GCUSHION, FOLDED, C AND S HONDA 2JX378258844912720</v>
      </c>
      <c r="D48" s="6" t="s">
        <v>211</v>
      </c>
      <c r="E48" s="6" t="s">
        <v>159</v>
      </c>
      <c r="F48" s="6"/>
      <c r="G48" s="7" t="s">
        <v>136</v>
      </c>
      <c r="H48" s="7"/>
      <c r="I48" s="7"/>
      <c r="J48" s="7"/>
      <c r="K48" s="7"/>
      <c r="L48" s="7">
        <v>3782588</v>
      </c>
      <c r="M48" s="22">
        <v>44912</v>
      </c>
      <c r="N48" s="8" t="s">
        <v>184</v>
      </c>
      <c r="O48" s="8"/>
      <c r="P48" s="7">
        <v>720</v>
      </c>
      <c r="Q48" s="7">
        <v>877984.29</v>
      </c>
      <c r="R48" s="7">
        <v>87089500</v>
      </c>
      <c r="S48" s="7">
        <v>5</v>
      </c>
      <c r="T48" s="7" t="s">
        <v>267</v>
      </c>
      <c r="U48" s="7" t="s">
        <v>178</v>
      </c>
      <c r="V48" s="6">
        <f t="shared" si="1"/>
        <v>43899.214500000002</v>
      </c>
      <c r="W48" s="6">
        <f t="shared" si="2"/>
        <v>4389.9214500000007</v>
      </c>
      <c r="X48" s="6">
        <f t="shared" si="3"/>
        <v>48289.135950000004</v>
      </c>
      <c r="Y48" s="6">
        <f t="shared" si="4"/>
        <v>67.068244375000006</v>
      </c>
      <c r="Z48" s="6">
        <f t="shared" si="5"/>
        <v>1219.4226250000002</v>
      </c>
      <c r="AA48" s="9">
        <f t="shared" si="6"/>
        <v>720</v>
      </c>
      <c r="AB48" s="10">
        <v>0</v>
      </c>
      <c r="AC48" s="11">
        <f t="shared" si="10"/>
        <v>0</v>
      </c>
      <c r="AD48" s="12">
        <f t="shared" si="7"/>
        <v>720</v>
      </c>
      <c r="AE48" s="13">
        <f t="shared" si="13"/>
        <v>0</v>
      </c>
    </row>
    <row r="49" spans="1:31">
      <c r="A49" s="6">
        <v>2</v>
      </c>
      <c r="B49" s="6">
        <f t="shared" si="12"/>
        <v>25</v>
      </c>
      <c r="C49" s="6" t="str">
        <f t="shared" si="0"/>
        <v>650557200GCUSHION, FOLDED, C AND S HONDA 2JX398470844926720</v>
      </c>
      <c r="D49" s="6" t="s">
        <v>211</v>
      </c>
      <c r="E49" s="6" t="s">
        <v>159</v>
      </c>
      <c r="F49" s="6"/>
      <c r="G49" s="7" t="s">
        <v>136</v>
      </c>
      <c r="H49" s="7"/>
      <c r="I49" s="7"/>
      <c r="J49" s="7"/>
      <c r="K49" s="7"/>
      <c r="L49" s="7">
        <v>3984708</v>
      </c>
      <c r="M49" s="22">
        <v>44926</v>
      </c>
      <c r="N49" s="8" t="s">
        <v>189</v>
      </c>
      <c r="O49" s="8"/>
      <c r="P49" s="7">
        <v>720</v>
      </c>
      <c r="Q49" s="7">
        <v>890511.92</v>
      </c>
      <c r="R49" s="7">
        <v>87089500</v>
      </c>
      <c r="S49" s="7">
        <v>5</v>
      </c>
      <c r="T49" s="7" t="s">
        <v>267</v>
      </c>
      <c r="U49" s="7" t="s">
        <v>178</v>
      </c>
      <c r="V49" s="6">
        <f t="shared" si="1"/>
        <v>44525.596000000005</v>
      </c>
      <c r="W49" s="6">
        <f t="shared" si="2"/>
        <v>4452.5596000000005</v>
      </c>
      <c r="X49" s="6">
        <f t="shared" si="3"/>
        <v>48978.155600000006</v>
      </c>
      <c r="Y49" s="6">
        <f t="shared" si="4"/>
        <v>68.025216111111121</v>
      </c>
      <c r="Z49" s="6">
        <f t="shared" si="5"/>
        <v>1236.8221111111111</v>
      </c>
      <c r="AA49" s="9">
        <f t="shared" si="6"/>
        <v>720</v>
      </c>
      <c r="AB49" s="10">
        <v>0</v>
      </c>
      <c r="AC49" s="11">
        <f t="shared" si="10"/>
        <v>0</v>
      </c>
      <c r="AD49" s="12">
        <f t="shared" si="7"/>
        <v>720</v>
      </c>
      <c r="AE49" s="13">
        <f t="shared" si="13"/>
        <v>0</v>
      </c>
    </row>
    <row r="50" spans="1:31">
      <c r="A50" s="6">
        <v>2</v>
      </c>
      <c r="B50" s="6">
        <f t="shared" si="12"/>
        <v>26</v>
      </c>
      <c r="C50" s="6" t="str">
        <f t="shared" si="0"/>
        <v>650557200GCUSHION, FOLDED, C AND S HONDA 2JX3323112448811440</v>
      </c>
      <c r="D50" s="6" t="s">
        <v>211</v>
      </c>
      <c r="E50" s="6" t="s">
        <v>159</v>
      </c>
      <c r="F50" s="6"/>
      <c r="G50" s="7" t="s">
        <v>136</v>
      </c>
      <c r="H50" s="7"/>
      <c r="I50" s="7"/>
      <c r="J50" s="7"/>
      <c r="K50" s="7"/>
      <c r="L50" s="7">
        <v>3323112</v>
      </c>
      <c r="M50" s="22">
        <v>44881</v>
      </c>
      <c r="N50" s="8" t="s">
        <v>184</v>
      </c>
      <c r="O50" s="8"/>
      <c r="P50" s="7">
        <v>1440</v>
      </c>
      <c r="Q50" s="7">
        <v>1811293.07</v>
      </c>
      <c r="R50" s="7">
        <v>87089500</v>
      </c>
      <c r="S50" s="7">
        <v>5</v>
      </c>
      <c r="T50" s="7" t="s">
        <v>268</v>
      </c>
      <c r="U50" s="7" t="s">
        <v>178</v>
      </c>
      <c r="V50" s="6">
        <f t="shared" si="1"/>
        <v>90564.653500000015</v>
      </c>
      <c r="W50" s="6">
        <f t="shared" si="2"/>
        <v>9056.4653500000022</v>
      </c>
      <c r="X50" s="6">
        <f t="shared" si="3"/>
        <v>99621.118850000013</v>
      </c>
      <c r="Y50" s="6">
        <f t="shared" si="4"/>
        <v>69.18133253472223</v>
      </c>
      <c r="Z50" s="6">
        <f t="shared" si="5"/>
        <v>1257.8424097222223</v>
      </c>
      <c r="AA50" s="9">
        <f t="shared" si="6"/>
        <v>1440</v>
      </c>
      <c r="AB50" s="10">
        <v>0</v>
      </c>
      <c r="AC50" s="11">
        <f t="shared" si="10"/>
        <v>0</v>
      </c>
      <c r="AD50" s="12">
        <f t="shared" si="7"/>
        <v>1440</v>
      </c>
      <c r="AE50" s="13">
        <f t="shared" si="13"/>
        <v>0</v>
      </c>
    </row>
    <row r="51" spans="1:31">
      <c r="A51" s="6">
        <v>2</v>
      </c>
      <c r="B51" s="6">
        <f t="shared" si="12"/>
        <v>27</v>
      </c>
      <c r="C51" s="6" t="str">
        <f t="shared" si="0"/>
        <v>650557200GCUSHION, FOLDED, C AND S HONDA 2JX3322676448812520</v>
      </c>
      <c r="D51" s="6" t="s">
        <v>211</v>
      </c>
      <c r="E51" s="6" t="s">
        <v>159</v>
      </c>
      <c r="F51" s="6"/>
      <c r="G51" s="7" t="s">
        <v>136</v>
      </c>
      <c r="H51" s="7"/>
      <c r="I51" s="7"/>
      <c r="J51" s="7"/>
      <c r="K51" s="7"/>
      <c r="L51" s="7">
        <v>3322676</v>
      </c>
      <c r="M51" s="22">
        <v>44881</v>
      </c>
      <c r="N51" s="8" t="s">
        <v>184</v>
      </c>
      <c r="O51" s="8"/>
      <c r="P51" s="7">
        <v>2520</v>
      </c>
      <c r="Q51" s="7">
        <v>3146957.71</v>
      </c>
      <c r="R51" s="7">
        <v>87089500</v>
      </c>
      <c r="S51" s="7">
        <v>5</v>
      </c>
      <c r="T51" s="7" t="s">
        <v>267</v>
      </c>
      <c r="U51" s="7" t="s">
        <v>178</v>
      </c>
      <c r="V51" s="6">
        <f t="shared" si="1"/>
        <v>157347.8855</v>
      </c>
      <c r="W51" s="6">
        <f t="shared" si="2"/>
        <v>15734.788550000001</v>
      </c>
      <c r="X51" s="6">
        <f t="shared" si="3"/>
        <v>173082.67405</v>
      </c>
      <c r="Y51" s="6">
        <f t="shared" si="4"/>
        <v>68.683600813492063</v>
      </c>
      <c r="Z51" s="6">
        <f t="shared" si="5"/>
        <v>1248.7927420634921</v>
      </c>
      <c r="AA51" s="9">
        <f t="shared" si="6"/>
        <v>2520</v>
      </c>
      <c r="AB51" s="10">
        <v>0</v>
      </c>
      <c r="AC51" s="11">
        <f t="shared" si="10"/>
        <v>0</v>
      </c>
      <c r="AD51" s="12">
        <f t="shared" si="7"/>
        <v>2520</v>
      </c>
      <c r="AE51" s="13">
        <f t="shared" si="13"/>
        <v>0</v>
      </c>
    </row>
    <row r="52" spans="1:31">
      <c r="A52" s="6">
        <v>2</v>
      </c>
      <c r="B52" s="6">
        <f t="shared" si="12"/>
        <v>28</v>
      </c>
      <c r="C52" s="6" t="str">
        <f t="shared" si="0"/>
        <v>650557200GCUSHION, FOLDED, C AND S HONDA 2JX3498791448931080</v>
      </c>
      <c r="D52" s="6" t="s">
        <v>211</v>
      </c>
      <c r="E52" s="6" t="s">
        <v>159</v>
      </c>
      <c r="F52" s="6"/>
      <c r="G52" s="7" t="s">
        <v>136</v>
      </c>
      <c r="H52" s="7"/>
      <c r="I52" s="7"/>
      <c r="J52" s="7"/>
      <c r="K52" s="7"/>
      <c r="L52" s="7">
        <v>3498791</v>
      </c>
      <c r="M52" s="22">
        <v>44893</v>
      </c>
      <c r="N52" s="8" t="s">
        <v>189</v>
      </c>
      <c r="O52" s="8"/>
      <c r="P52" s="7">
        <v>1080</v>
      </c>
      <c r="Q52" s="7">
        <v>1351206.3</v>
      </c>
      <c r="R52" s="7">
        <v>87089500</v>
      </c>
      <c r="S52" s="7">
        <v>5</v>
      </c>
      <c r="T52" s="7" t="s">
        <v>267</v>
      </c>
      <c r="U52" s="7" t="s">
        <v>178</v>
      </c>
      <c r="V52" s="6">
        <f t="shared" si="1"/>
        <v>67560.315000000002</v>
      </c>
      <c r="W52" s="6">
        <f t="shared" si="2"/>
        <v>6756.031500000001</v>
      </c>
      <c r="X52" s="6">
        <f t="shared" si="3"/>
        <v>74316.3465</v>
      </c>
      <c r="Y52" s="6">
        <f t="shared" si="4"/>
        <v>68.81143194444445</v>
      </c>
      <c r="Z52" s="6">
        <f t="shared" si="5"/>
        <v>1251.1169444444445</v>
      </c>
      <c r="AA52" s="9">
        <f t="shared" si="6"/>
        <v>1080</v>
      </c>
      <c r="AB52" s="10">
        <v>0</v>
      </c>
      <c r="AC52" s="11">
        <f t="shared" si="10"/>
        <v>0</v>
      </c>
      <c r="AD52" s="12">
        <f t="shared" si="7"/>
        <v>1080</v>
      </c>
      <c r="AE52" s="13">
        <f t="shared" si="13"/>
        <v>0</v>
      </c>
    </row>
    <row r="53" spans="1:31">
      <c r="A53" s="6">
        <v>2</v>
      </c>
      <c r="B53" s="6">
        <f t="shared" si="12"/>
        <v>29</v>
      </c>
      <c r="C53" s="6" t="str">
        <f t="shared" si="0"/>
        <v>650557200GCUSHION, FOLDED, C AND S HONDA 2JX3498696448931080</v>
      </c>
      <c r="D53" s="6" t="s">
        <v>211</v>
      </c>
      <c r="E53" s="6" t="s">
        <v>159</v>
      </c>
      <c r="F53" s="6"/>
      <c r="G53" s="7" t="s">
        <v>136</v>
      </c>
      <c r="H53" s="7"/>
      <c r="I53" s="7"/>
      <c r="J53" s="7"/>
      <c r="K53" s="7"/>
      <c r="L53" s="7">
        <v>3498696</v>
      </c>
      <c r="M53" s="22">
        <v>44893</v>
      </c>
      <c r="N53" s="8" t="s">
        <v>189</v>
      </c>
      <c r="O53" s="8"/>
      <c r="P53" s="7">
        <v>1080</v>
      </c>
      <c r="Q53" s="7">
        <v>1361525.46</v>
      </c>
      <c r="R53" s="7">
        <v>87089500</v>
      </c>
      <c r="S53" s="7">
        <v>5</v>
      </c>
      <c r="T53" s="7" t="s">
        <v>267</v>
      </c>
      <c r="U53" s="7" t="s">
        <v>178</v>
      </c>
      <c r="V53" s="6">
        <f t="shared" si="1"/>
        <v>68076.273000000001</v>
      </c>
      <c r="W53" s="6">
        <f t="shared" si="2"/>
        <v>6807.6273000000001</v>
      </c>
      <c r="X53" s="6">
        <f t="shared" si="3"/>
        <v>74883.900300000008</v>
      </c>
      <c r="Y53" s="6">
        <f t="shared" si="4"/>
        <v>69.336944722222228</v>
      </c>
      <c r="Z53" s="6">
        <f t="shared" si="5"/>
        <v>1260.6717222222221</v>
      </c>
      <c r="AA53" s="9">
        <f t="shared" si="6"/>
        <v>1080</v>
      </c>
      <c r="AB53" s="10">
        <v>0</v>
      </c>
      <c r="AC53" s="11">
        <f t="shared" si="10"/>
        <v>0</v>
      </c>
      <c r="AD53" s="12">
        <f t="shared" si="7"/>
        <v>1080</v>
      </c>
      <c r="AE53" s="13">
        <f t="shared" si="13"/>
        <v>0</v>
      </c>
    </row>
    <row r="54" spans="1:31">
      <c r="A54" s="6">
        <v>2</v>
      </c>
      <c r="B54" s="6">
        <f t="shared" si="12"/>
        <v>30</v>
      </c>
      <c r="C54" s="6" t="str">
        <f t="shared" si="0"/>
        <v>650557200GCUSHION, FOLDED, C AND S HONDA 2JX3322516448811800</v>
      </c>
      <c r="D54" s="6" t="s">
        <v>211</v>
      </c>
      <c r="E54" s="6" t="s">
        <v>159</v>
      </c>
      <c r="F54" s="6"/>
      <c r="G54" s="7" t="s">
        <v>136</v>
      </c>
      <c r="H54" s="7"/>
      <c r="I54" s="7"/>
      <c r="J54" s="7"/>
      <c r="K54" s="7"/>
      <c r="L54" s="7">
        <v>3322516</v>
      </c>
      <c r="M54" s="22">
        <v>44881</v>
      </c>
      <c r="N54" s="8" t="s">
        <v>184</v>
      </c>
      <c r="O54" s="8"/>
      <c r="P54" s="7">
        <v>1800</v>
      </c>
      <c r="Q54" s="7">
        <v>2319294.85</v>
      </c>
      <c r="R54" s="7">
        <v>87089500</v>
      </c>
      <c r="S54" s="7">
        <v>5</v>
      </c>
      <c r="T54" s="7" t="s">
        <v>267</v>
      </c>
      <c r="U54" s="7" t="s">
        <v>178</v>
      </c>
      <c r="V54" s="6">
        <f t="shared" si="1"/>
        <v>115964.74250000001</v>
      </c>
      <c r="W54" s="6">
        <f t="shared" si="2"/>
        <v>11596.474250000001</v>
      </c>
      <c r="X54" s="6">
        <f t="shared" si="3"/>
        <v>127561.21675000001</v>
      </c>
      <c r="Y54" s="6">
        <f t="shared" si="4"/>
        <v>70.867342638888886</v>
      </c>
      <c r="Z54" s="6">
        <f t="shared" si="5"/>
        <v>1288.4971388888889</v>
      </c>
      <c r="AA54" s="9">
        <f t="shared" si="6"/>
        <v>1800</v>
      </c>
      <c r="AB54" s="10">
        <v>0</v>
      </c>
      <c r="AC54" s="11">
        <f t="shared" si="10"/>
        <v>0</v>
      </c>
      <c r="AD54" s="12">
        <f t="shared" si="7"/>
        <v>1800</v>
      </c>
      <c r="AE54" s="13">
        <f t="shared" si="13"/>
        <v>0</v>
      </c>
    </row>
    <row r="55" spans="1:31">
      <c r="A55" s="6">
        <v>2</v>
      </c>
      <c r="B55" s="6">
        <f t="shared" si="12"/>
        <v>31</v>
      </c>
      <c r="C55" s="6" t="str">
        <f t="shared" si="0"/>
        <v>650557200GCUSHION, FOLDED, C AND S HONDA 2JX3460410448902160</v>
      </c>
      <c r="D55" s="6" t="s">
        <v>211</v>
      </c>
      <c r="E55" s="6" t="s">
        <v>159</v>
      </c>
      <c r="F55" s="6"/>
      <c r="G55" s="7" t="s">
        <v>136</v>
      </c>
      <c r="H55" s="7"/>
      <c r="I55" s="7"/>
      <c r="J55" s="7"/>
      <c r="K55" s="7"/>
      <c r="L55" s="7">
        <v>3460410</v>
      </c>
      <c r="M55" s="22">
        <v>44890</v>
      </c>
      <c r="N55" s="8" t="s">
        <v>184</v>
      </c>
      <c r="O55" s="8"/>
      <c r="P55" s="7">
        <v>2160</v>
      </c>
      <c r="Q55" s="7">
        <v>2624382.73</v>
      </c>
      <c r="R55" s="7">
        <v>87089500</v>
      </c>
      <c r="S55" s="7">
        <v>5</v>
      </c>
      <c r="T55" s="7" t="s">
        <v>256</v>
      </c>
      <c r="U55" s="7" t="s">
        <v>178</v>
      </c>
      <c r="V55" s="6">
        <f t="shared" si="1"/>
        <v>131219.13649999999</v>
      </c>
      <c r="W55" s="6">
        <f t="shared" si="2"/>
        <v>13121.91365</v>
      </c>
      <c r="X55" s="6">
        <f t="shared" si="3"/>
        <v>144341.05015</v>
      </c>
      <c r="Y55" s="6">
        <f t="shared" si="4"/>
        <v>66.824560254629631</v>
      </c>
      <c r="Z55" s="6">
        <f t="shared" si="5"/>
        <v>1214.9920046296297</v>
      </c>
      <c r="AA55" s="9">
        <f t="shared" si="6"/>
        <v>2160</v>
      </c>
      <c r="AB55" s="10">
        <v>0</v>
      </c>
      <c r="AC55" s="11">
        <f t="shared" si="10"/>
        <v>0</v>
      </c>
      <c r="AD55" s="12">
        <f t="shared" si="7"/>
        <v>2160</v>
      </c>
      <c r="AE55" s="13">
        <f t="shared" si="13"/>
        <v>0</v>
      </c>
    </row>
    <row r="56" spans="1:31">
      <c r="A56" s="6">
        <v>2</v>
      </c>
      <c r="B56" s="6">
        <f t="shared" si="12"/>
        <v>32</v>
      </c>
      <c r="C56" s="6" t="str">
        <f t="shared" si="0"/>
        <v>650557200GCUSHION, FOLDED, C AND S HONDA 2JX371647044908720</v>
      </c>
      <c r="D56" s="6" t="s">
        <v>211</v>
      </c>
      <c r="E56" s="6" t="s">
        <v>159</v>
      </c>
      <c r="F56" s="6"/>
      <c r="G56" s="7" t="s">
        <v>136</v>
      </c>
      <c r="H56" s="7"/>
      <c r="I56" s="7"/>
      <c r="J56" s="7"/>
      <c r="K56" s="7"/>
      <c r="L56" s="7">
        <v>3716470</v>
      </c>
      <c r="M56" s="22">
        <v>44908</v>
      </c>
      <c r="N56" s="8" t="s">
        <v>189</v>
      </c>
      <c r="O56" s="8"/>
      <c r="P56" s="7">
        <v>720</v>
      </c>
      <c r="Q56" s="7">
        <v>882387.25</v>
      </c>
      <c r="R56" s="7">
        <v>87089500</v>
      </c>
      <c r="S56" s="7">
        <v>5</v>
      </c>
      <c r="T56" s="7" t="s">
        <v>267</v>
      </c>
      <c r="U56" s="7" t="s">
        <v>178</v>
      </c>
      <c r="V56" s="6">
        <f t="shared" si="1"/>
        <v>44119.362500000003</v>
      </c>
      <c r="W56" s="6">
        <f t="shared" si="2"/>
        <v>4411.9362500000007</v>
      </c>
      <c r="X56" s="6">
        <f t="shared" si="3"/>
        <v>48531.298750000002</v>
      </c>
      <c r="Y56" s="6">
        <f t="shared" si="4"/>
        <v>67.404581597222219</v>
      </c>
      <c r="Z56" s="6">
        <f t="shared" si="5"/>
        <v>1225.5378472222221</v>
      </c>
      <c r="AA56" s="9">
        <f t="shared" si="6"/>
        <v>720</v>
      </c>
      <c r="AB56" s="10">
        <v>0</v>
      </c>
      <c r="AC56" s="11">
        <f t="shared" si="10"/>
        <v>0</v>
      </c>
      <c r="AD56" s="12">
        <f t="shared" si="7"/>
        <v>720</v>
      </c>
      <c r="AE56" s="13">
        <f t="shared" si="13"/>
        <v>0</v>
      </c>
    </row>
    <row r="57" spans="1:31">
      <c r="A57" s="6">
        <v>2</v>
      </c>
      <c r="B57" s="6">
        <f t="shared" si="12"/>
        <v>33</v>
      </c>
      <c r="C57" s="6" t="str">
        <f t="shared" si="0"/>
        <v>651015100AARMATURE, MONOBLOCK, ASW4, HYUNDAI BC35125412450041944</v>
      </c>
      <c r="D57" s="6" t="s">
        <v>211</v>
      </c>
      <c r="E57" s="6" t="s">
        <v>158</v>
      </c>
      <c r="F57" s="6"/>
      <c r="G57" s="7" t="s">
        <v>135</v>
      </c>
      <c r="H57" s="7"/>
      <c r="I57" s="7"/>
      <c r="J57" s="7"/>
      <c r="K57" s="7"/>
      <c r="L57" s="7">
        <v>5125412</v>
      </c>
      <c r="M57" s="22">
        <v>45004</v>
      </c>
      <c r="N57" s="8" t="s">
        <v>184</v>
      </c>
      <c r="O57" s="8"/>
      <c r="P57" s="7">
        <v>1944</v>
      </c>
      <c r="Q57" s="7">
        <v>942767.83</v>
      </c>
      <c r="R57" s="7">
        <v>87089900</v>
      </c>
      <c r="S57" s="7">
        <v>15</v>
      </c>
      <c r="T57" s="7" t="s">
        <v>269</v>
      </c>
      <c r="U57" s="7" t="s">
        <v>178</v>
      </c>
      <c r="V57" s="6">
        <f t="shared" si="1"/>
        <v>141415.17449999999</v>
      </c>
      <c r="W57" s="6">
        <f t="shared" si="2"/>
        <v>14141.517449999999</v>
      </c>
      <c r="X57" s="6">
        <f t="shared" si="3"/>
        <v>155556.69195000001</v>
      </c>
      <c r="Y57" s="6">
        <f t="shared" si="4"/>
        <v>80.018874459876542</v>
      </c>
      <c r="Z57" s="6">
        <f t="shared" si="5"/>
        <v>484.96287551440327</v>
      </c>
      <c r="AA57" s="9">
        <f t="shared" si="6"/>
        <v>1944</v>
      </c>
      <c r="AB57" s="10">
        <v>1841</v>
      </c>
      <c r="AC57" s="11">
        <f t="shared" si="10"/>
        <v>147314.74788063273</v>
      </c>
      <c r="AD57" s="12">
        <f t="shared" si="7"/>
        <v>1841</v>
      </c>
      <c r="AE57" s="13">
        <f t="shared" si="13"/>
        <v>103</v>
      </c>
    </row>
    <row r="58" spans="1:31">
      <c r="A58" s="6">
        <v>2</v>
      </c>
      <c r="B58" s="6">
        <f t="shared" si="12"/>
        <v>34</v>
      </c>
      <c r="C58" s="6" t="str">
        <f t="shared" si="0"/>
        <v>651166400CSPRING, COIL, UPPER 37875394491335000</v>
      </c>
      <c r="D58" s="6" t="s">
        <v>211</v>
      </c>
      <c r="E58" s="6" t="s">
        <v>170</v>
      </c>
      <c r="F58" s="6"/>
      <c r="G58" s="7" t="s">
        <v>148</v>
      </c>
      <c r="H58" s="7"/>
      <c r="I58" s="7"/>
      <c r="J58" s="7"/>
      <c r="K58" s="7"/>
      <c r="L58" s="7">
        <v>3787539</v>
      </c>
      <c r="M58" s="22">
        <v>44913</v>
      </c>
      <c r="N58" s="8" t="s">
        <v>180</v>
      </c>
      <c r="O58" s="8"/>
      <c r="P58" s="7">
        <v>35000</v>
      </c>
      <c r="Q58" s="7">
        <v>70892.09</v>
      </c>
      <c r="R58" s="7">
        <v>87089900</v>
      </c>
      <c r="S58" s="7">
        <v>15</v>
      </c>
      <c r="T58" s="7" t="s">
        <v>188</v>
      </c>
      <c r="U58" s="7" t="s">
        <v>178</v>
      </c>
      <c r="V58" s="6">
        <f t="shared" si="1"/>
        <v>10633.813499999998</v>
      </c>
      <c r="W58" s="6">
        <f t="shared" si="2"/>
        <v>1063.3813499999999</v>
      </c>
      <c r="X58" s="6">
        <f t="shared" si="3"/>
        <v>11697.194849999998</v>
      </c>
      <c r="Y58" s="6">
        <f t="shared" si="4"/>
        <v>0.3342055671428571</v>
      </c>
      <c r="Z58" s="6">
        <f t="shared" si="5"/>
        <v>2.0254882857142857</v>
      </c>
      <c r="AA58" s="9">
        <f t="shared" si="6"/>
        <v>35000</v>
      </c>
      <c r="AB58" s="10">
        <v>26304</v>
      </c>
      <c r="AC58" s="11">
        <f t="shared" si="10"/>
        <v>8790.9432381257138</v>
      </c>
      <c r="AD58" s="12">
        <f t="shared" si="7"/>
        <v>35000</v>
      </c>
      <c r="AE58" s="13">
        <f t="shared" si="13"/>
        <v>0</v>
      </c>
    </row>
    <row r="59" spans="1:31">
      <c r="A59" s="6">
        <v>2</v>
      </c>
      <c r="B59" s="6">
        <f t="shared" si="12"/>
        <v>35</v>
      </c>
      <c r="C59" s="6" t="str">
        <f t="shared" si="0"/>
        <v>651409900ASCREW, STD METRIC M6 HEXALOBULAR INTERNAL, T457046134504360000</v>
      </c>
      <c r="D59" s="6" t="s">
        <v>211</v>
      </c>
      <c r="E59" s="6" t="s">
        <v>168</v>
      </c>
      <c r="F59" s="6"/>
      <c r="G59" s="7" t="s">
        <v>146</v>
      </c>
      <c r="H59" s="7"/>
      <c r="I59" s="7"/>
      <c r="J59" s="7"/>
      <c r="K59" s="7"/>
      <c r="L59" s="7">
        <v>5704613</v>
      </c>
      <c r="M59" s="22">
        <v>45043</v>
      </c>
      <c r="N59" s="8" t="s">
        <v>182</v>
      </c>
      <c r="O59" s="8"/>
      <c r="P59" s="7">
        <v>60000</v>
      </c>
      <c r="Q59" s="7">
        <v>203214.49</v>
      </c>
      <c r="R59" s="7">
        <v>87089500</v>
      </c>
      <c r="S59" s="7">
        <v>15</v>
      </c>
      <c r="T59" s="7" t="s">
        <v>183</v>
      </c>
      <c r="U59" s="7" t="s">
        <v>178</v>
      </c>
      <c r="V59" s="6">
        <f t="shared" si="1"/>
        <v>30482.173499999997</v>
      </c>
      <c r="W59" s="6">
        <f t="shared" si="2"/>
        <v>3048.2173499999999</v>
      </c>
      <c r="X59" s="6">
        <f t="shared" si="3"/>
        <v>33530.390849999996</v>
      </c>
      <c r="Y59" s="6">
        <f t="shared" si="4"/>
        <v>0.55883984749999993</v>
      </c>
      <c r="Z59" s="6">
        <f t="shared" si="5"/>
        <v>3.3869081666666667</v>
      </c>
      <c r="AA59" s="9">
        <f t="shared" si="6"/>
        <v>60000</v>
      </c>
      <c r="AB59" s="10">
        <v>7496</v>
      </c>
      <c r="AC59" s="11">
        <f t="shared" si="10"/>
        <v>4189.0634968599998</v>
      </c>
      <c r="AD59" s="12">
        <f t="shared" si="7"/>
        <v>60000</v>
      </c>
      <c r="AE59" s="13">
        <f t="shared" si="13"/>
        <v>0</v>
      </c>
    </row>
    <row r="60" spans="1:31">
      <c r="A60" s="6">
        <v>2</v>
      </c>
      <c r="B60" s="6">
        <f t="shared" si="12"/>
        <v>36</v>
      </c>
      <c r="C60" s="6" t="str">
        <f t="shared" si="0"/>
        <v>651409900ASCREW, STD METRIC M6 HEXALOBULAR INTERNAL, T453335284501730000</v>
      </c>
      <c r="D60" s="6" t="s">
        <v>211</v>
      </c>
      <c r="E60" s="6" t="s">
        <v>168</v>
      </c>
      <c r="F60" s="6"/>
      <c r="G60" s="7" t="s">
        <v>146</v>
      </c>
      <c r="H60" s="7"/>
      <c r="I60" s="7"/>
      <c r="J60" s="7"/>
      <c r="K60" s="7"/>
      <c r="L60" s="7">
        <v>5333528</v>
      </c>
      <c r="M60" s="22">
        <v>45017</v>
      </c>
      <c r="N60" s="8" t="s">
        <v>189</v>
      </c>
      <c r="O60" s="8"/>
      <c r="P60" s="7">
        <v>30000</v>
      </c>
      <c r="Q60" s="7">
        <v>100400.94</v>
      </c>
      <c r="R60" s="7">
        <v>87089500</v>
      </c>
      <c r="S60" s="7">
        <v>15</v>
      </c>
      <c r="T60" s="7" t="s">
        <v>183</v>
      </c>
      <c r="U60" s="7" t="s">
        <v>178</v>
      </c>
      <c r="V60" s="6">
        <f t="shared" si="1"/>
        <v>15060.141</v>
      </c>
      <c r="W60" s="6">
        <f t="shared" si="2"/>
        <v>1506.0141000000001</v>
      </c>
      <c r="X60" s="6">
        <f t="shared" si="3"/>
        <v>16566.1551</v>
      </c>
      <c r="Y60" s="6">
        <f t="shared" si="4"/>
        <v>0.55220517000000002</v>
      </c>
      <c r="Z60" s="6">
        <f t="shared" si="5"/>
        <v>3.346698</v>
      </c>
      <c r="AA60" s="9">
        <f t="shared" si="6"/>
        <v>30000</v>
      </c>
      <c r="AB60" s="10">
        <v>0</v>
      </c>
      <c r="AC60" s="11">
        <f t="shared" si="10"/>
        <v>0</v>
      </c>
      <c r="AD60" s="12">
        <f t="shared" si="7"/>
        <v>30000</v>
      </c>
      <c r="AE60" s="13">
        <f t="shared" si="13"/>
        <v>0</v>
      </c>
    </row>
    <row r="61" spans="1:31">
      <c r="A61" s="6">
        <v>2</v>
      </c>
      <c r="B61" s="6">
        <f t="shared" si="12"/>
        <v>37</v>
      </c>
      <c r="C61" s="6" t="str">
        <f t="shared" si="0"/>
        <v>651409900ASCREW, STD METRIC M6 HEXALOBULAR INTERNAL, T453335284501730000</v>
      </c>
      <c r="D61" s="6" t="s">
        <v>211</v>
      </c>
      <c r="E61" s="6" t="s">
        <v>168</v>
      </c>
      <c r="F61" s="6"/>
      <c r="G61" s="7" t="s">
        <v>146</v>
      </c>
      <c r="H61" s="7"/>
      <c r="I61" s="7"/>
      <c r="J61" s="7"/>
      <c r="K61" s="7"/>
      <c r="L61" s="7">
        <v>5333528</v>
      </c>
      <c r="M61" s="22">
        <v>45017</v>
      </c>
      <c r="N61" s="8" t="s">
        <v>189</v>
      </c>
      <c r="O61" s="8"/>
      <c r="P61" s="7">
        <v>30000</v>
      </c>
      <c r="Q61" s="7">
        <v>100400.94</v>
      </c>
      <c r="R61" s="7">
        <v>87089500</v>
      </c>
      <c r="S61" s="7">
        <v>15</v>
      </c>
      <c r="T61" s="7" t="s">
        <v>183</v>
      </c>
      <c r="U61" s="7" t="s">
        <v>178</v>
      </c>
      <c r="V61" s="6">
        <f t="shared" si="1"/>
        <v>15060.141</v>
      </c>
      <c r="W61" s="6">
        <f t="shared" si="2"/>
        <v>1506.0141000000001</v>
      </c>
      <c r="X61" s="6">
        <f t="shared" si="3"/>
        <v>16566.1551</v>
      </c>
      <c r="Y61" s="6">
        <f t="shared" si="4"/>
        <v>0.55220517000000002</v>
      </c>
      <c r="Z61" s="6">
        <f t="shared" si="5"/>
        <v>3.346698</v>
      </c>
      <c r="AA61" s="9">
        <f t="shared" si="6"/>
        <v>30000</v>
      </c>
      <c r="AB61" s="10">
        <v>0</v>
      </c>
      <c r="AC61" s="11">
        <f t="shared" si="10"/>
        <v>0</v>
      </c>
      <c r="AD61" s="12">
        <f t="shared" si="7"/>
        <v>30000</v>
      </c>
      <c r="AE61" s="13">
        <f t="shared" si="13"/>
        <v>0</v>
      </c>
    </row>
    <row r="62" spans="1:31">
      <c r="A62" s="6">
        <v>2</v>
      </c>
      <c r="B62" s="6">
        <f t="shared" si="12"/>
        <v>38</v>
      </c>
      <c r="C62" s="6" t="str">
        <f t="shared" si="0"/>
        <v>652466500ALEATHER, HIDE TOP GRAIN, OBSIDIAN BLACK, NNB, BLA5183416450082652</v>
      </c>
      <c r="D62" s="6" t="s">
        <v>211</v>
      </c>
      <c r="E62" s="6" t="s">
        <v>163</v>
      </c>
      <c r="F62" s="6"/>
      <c r="G62" s="7" t="s">
        <v>141</v>
      </c>
      <c r="H62" s="7"/>
      <c r="I62" s="7"/>
      <c r="J62" s="7"/>
      <c r="K62" s="7"/>
      <c r="L62" s="7">
        <v>5183416</v>
      </c>
      <c r="M62" s="22">
        <v>45008</v>
      </c>
      <c r="N62" s="8" t="s">
        <v>184</v>
      </c>
      <c r="O62" s="8"/>
      <c r="P62" s="7">
        <v>2652</v>
      </c>
      <c r="Q62" s="7">
        <v>6861064</v>
      </c>
      <c r="R62" s="7">
        <v>41071200</v>
      </c>
      <c r="S62" s="7">
        <v>0</v>
      </c>
      <c r="T62" s="7" t="s">
        <v>270</v>
      </c>
      <c r="U62" s="7" t="s">
        <v>178</v>
      </c>
      <c r="V62" s="6">
        <f t="shared" si="1"/>
        <v>0</v>
      </c>
      <c r="W62" s="6">
        <f t="shared" si="2"/>
        <v>0</v>
      </c>
      <c r="X62" s="6">
        <f t="shared" si="3"/>
        <v>0</v>
      </c>
      <c r="Y62" s="6">
        <f t="shared" si="4"/>
        <v>0</v>
      </c>
      <c r="Z62" s="6">
        <f t="shared" si="5"/>
        <v>2587.1282051282051</v>
      </c>
      <c r="AA62" s="9">
        <f t="shared" si="6"/>
        <v>2652</v>
      </c>
      <c r="AB62" s="10">
        <v>2474</v>
      </c>
      <c r="AC62" s="11">
        <f t="shared" si="10"/>
        <v>0</v>
      </c>
      <c r="AD62" s="12">
        <f t="shared" si="7"/>
        <v>2652</v>
      </c>
      <c r="AE62" s="13">
        <f t="shared" si="13"/>
        <v>0</v>
      </c>
    </row>
    <row r="63" spans="1:31">
      <c r="A63" s="6">
        <v>2</v>
      </c>
      <c r="B63" s="6">
        <f t="shared" si="12"/>
        <v>39</v>
      </c>
      <c r="C63" s="6" t="str">
        <f t="shared" si="0"/>
        <v>652466500ALEATHER, HIDE TOP GRAIN, OBSIDIAN BLACK, NNB, BLA5703451450435478.49</v>
      </c>
      <c r="D63" s="6" t="s">
        <v>211</v>
      </c>
      <c r="E63" s="6" t="s">
        <v>163</v>
      </c>
      <c r="F63" s="6"/>
      <c r="G63" s="7" t="s">
        <v>141</v>
      </c>
      <c r="H63" s="7"/>
      <c r="I63" s="7"/>
      <c r="J63" s="7"/>
      <c r="K63" s="7"/>
      <c r="L63" s="7">
        <v>5703451</v>
      </c>
      <c r="M63" s="22">
        <v>45043</v>
      </c>
      <c r="N63" s="8" t="s">
        <v>184</v>
      </c>
      <c r="O63" s="8"/>
      <c r="P63" s="7">
        <v>5478.4900000000007</v>
      </c>
      <c r="Q63" s="7">
        <v>14099606.499999998</v>
      </c>
      <c r="R63" s="7">
        <v>41071200</v>
      </c>
      <c r="S63" s="7">
        <v>0</v>
      </c>
      <c r="T63" s="7" t="s">
        <v>261</v>
      </c>
      <c r="U63" s="7" t="s">
        <v>178</v>
      </c>
      <c r="V63" s="6">
        <f t="shared" si="1"/>
        <v>0</v>
      </c>
      <c r="W63" s="6">
        <f t="shared" si="2"/>
        <v>0</v>
      </c>
      <c r="X63" s="6">
        <f t="shared" si="3"/>
        <v>0</v>
      </c>
      <c r="Y63" s="6">
        <f t="shared" si="4"/>
        <v>0</v>
      </c>
      <c r="Z63" s="6">
        <f t="shared" si="5"/>
        <v>2573.6300513462643</v>
      </c>
      <c r="AA63" s="9">
        <f t="shared" si="6"/>
        <v>5478.4900000000007</v>
      </c>
      <c r="AB63" s="10">
        <v>0</v>
      </c>
      <c r="AC63" s="11">
        <f t="shared" si="10"/>
        <v>0</v>
      </c>
      <c r="AD63" s="12">
        <f t="shared" si="7"/>
        <v>5478.4900000000007</v>
      </c>
      <c r="AE63" s="13">
        <f t="shared" si="13"/>
        <v>0</v>
      </c>
    </row>
    <row r="64" spans="1:31">
      <c r="A64" s="6">
        <v>2</v>
      </c>
      <c r="B64" s="6">
        <f t="shared" si="12"/>
        <v>40</v>
      </c>
      <c r="C64" s="6" t="str">
        <f t="shared" si="0"/>
        <v>655818900BACTUATOR VIBRATION MOTOR ASSY WITH BRACKET BC3 CU5075359450014800</v>
      </c>
      <c r="D64" s="6" t="s">
        <v>211</v>
      </c>
      <c r="E64" s="6" t="s">
        <v>156</v>
      </c>
      <c r="F64" s="6"/>
      <c r="G64" s="7" t="s">
        <v>133</v>
      </c>
      <c r="H64" s="7"/>
      <c r="I64" s="7"/>
      <c r="J64" s="7"/>
      <c r="K64" s="7"/>
      <c r="L64" s="7">
        <v>5075359</v>
      </c>
      <c r="M64" s="22">
        <v>45001</v>
      </c>
      <c r="N64" s="8" t="s">
        <v>180</v>
      </c>
      <c r="O64" s="8"/>
      <c r="P64" s="7">
        <v>4800</v>
      </c>
      <c r="Q64" s="7">
        <v>1859774.18</v>
      </c>
      <c r="R64" s="7">
        <v>85011019</v>
      </c>
      <c r="S64" s="7">
        <v>15</v>
      </c>
      <c r="T64" s="7" t="s">
        <v>192</v>
      </c>
      <c r="U64" s="7" t="s">
        <v>178</v>
      </c>
      <c r="V64" s="6">
        <f t="shared" si="1"/>
        <v>278966.12699999998</v>
      </c>
      <c r="W64" s="6">
        <f t="shared" si="2"/>
        <v>27896.612699999998</v>
      </c>
      <c r="X64" s="6">
        <f t="shared" si="3"/>
        <v>306862.73969999998</v>
      </c>
      <c r="Y64" s="6">
        <f t="shared" si="4"/>
        <v>63.929737437499995</v>
      </c>
      <c r="Z64" s="6">
        <f t="shared" si="5"/>
        <v>387.45295416666664</v>
      </c>
      <c r="AA64" s="9">
        <f t="shared" si="6"/>
        <v>4800</v>
      </c>
      <c r="AB64" s="10">
        <v>4800</v>
      </c>
      <c r="AC64" s="11">
        <f t="shared" si="10"/>
        <v>306862.73969999998</v>
      </c>
      <c r="AD64" s="12">
        <f t="shared" si="7"/>
        <v>4800</v>
      </c>
      <c r="AE64" s="13">
        <f t="shared" si="13"/>
        <v>0</v>
      </c>
    </row>
    <row r="65" spans="1:31">
      <c r="A65" s="6">
        <v>2</v>
      </c>
      <c r="B65" s="6">
        <f t="shared" si="12"/>
        <v>41</v>
      </c>
      <c r="C65" s="6" t="str">
        <f t="shared" si="0"/>
        <v>655818900BACTUATOR VIBRATION MOTOR ASSY WITH BRACKET BC3 CU3903064449194800</v>
      </c>
      <c r="D65" s="6" t="s">
        <v>211</v>
      </c>
      <c r="E65" s="6" t="s">
        <v>156</v>
      </c>
      <c r="F65" s="6"/>
      <c r="G65" s="7" t="s">
        <v>133</v>
      </c>
      <c r="H65" s="7"/>
      <c r="I65" s="7"/>
      <c r="J65" s="7"/>
      <c r="K65" s="7"/>
      <c r="L65" s="7">
        <v>3903064</v>
      </c>
      <c r="M65" s="22">
        <v>44919</v>
      </c>
      <c r="N65" s="8" t="s">
        <v>180</v>
      </c>
      <c r="O65" s="8"/>
      <c r="P65" s="7">
        <v>4800</v>
      </c>
      <c r="Q65" s="7">
        <v>1681595.88</v>
      </c>
      <c r="R65" s="7">
        <v>85011019</v>
      </c>
      <c r="S65" s="7">
        <v>15</v>
      </c>
      <c r="T65" s="7" t="s">
        <v>254</v>
      </c>
      <c r="U65" s="7" t="s">
        <v>178</v>
      </c>
      <c r="V65" s="6">
        <f t="shared" si="1"/>
        <v>252239.38199999998</v>
      </c>
      <c r="W65" s="6">
        <f t="shared" si="2"/>
        <v>25223.938200000001</v>
      </c>
      <c r="X65" s="6">
        <f t="shared" si="3"/>
        <v>277463.32019999996</v>
      </c>
      <c r="Y65" s="6">
        <f t="shared" si="4"/>
        <v>57.804858374999988</v>
      </c>
      <c r="Z65" s="6">
        <f t="shared" si="5"/>
        <v>350.33247499999999</v>
      </c>
      <c r="AA65" s="9">
        <f t="shared" si="6"/>
        <v>4800</v>
      </c>
      <c r="AB65" s="10">
        <v>880</v>
      </c>
      <c r="AC65" s="11">
        <f t="shared" si="10"/>
        <v>50868.275369999988</v>
      </c>
      <c r="AD65" s="12">
        <f t="shared" si="7"/>
        <v>4800</v>
      </c>
      <c r="AE65" s="13">
        <f t="shared" si="13"/>
        <v>0</v>
      </c>
    </row>
    <row r="66" spans="1:31">
      <c r="A66" s="6">
        <v>2</v>
      </c>
      <c r="B66" s="6">
        <f t="shared" si="12"/>
        <v>42</v>
      </c>
      <c r="C66" s="6" t="str">
        <f t="shared" ref="C66:C129" si="14">E66&amp;G66&amp;L66&amp;M66&amp;P66</f>
        <v>655931500AARMATURE, MONOBLOCK ASW4, HYUNDAI BC3-CUV4030223449303240</v>
      </c>
      <c r="D66" s="6" t="s">
        <v>211</v>
      </c>
      <c r="E66" s="6" t="s">
        <v>157</v>
      </c>
      <c r="F66" s="6"/>
      <c r="G66" s="7" t="s">
        <v>134</v>
      </c>
      <c r="H66" s="7"/>
      <c r="I66" s="7"/>
      <c r="J66" s="7"/>
      <c r="K66" s="7"/>
      <c r="L66" s="7">
        <v>4030223</v>
      </c>
      <c r="M66" s="22">
        <v>44930</v>
      </c>
      <c r="N66" s="8" t="s">
        <v>184</v>
      </c>
      <c r="O66" s="8"/>
      <c r="P66" s="7">
        <v>3240</v>
      </c>
      <c r="Q66" s="7">
        <v>1607507.69</v>
      </c>
      <c r="R66" s="7">
        <v>87089400</v>
      </c>
      <c r="S66" s="7">
        <v>15</v>
      </c>
      <c r="T66" s="7" t="s">
        <v>186</v>
      </c>
      <c r="U66" s="7" t="s">
        <v>178</v>
      </c>
      <c r="V66" s="6">
        <f t="shared" ref="V66:V129" si="15">Q66*S66%</f>
        <v>241126.15349999999</v>
      </c>
      <c r="W66" s="6">
        <f t="shared" ref="W66:W129" si="16">V66*0.1</f>
        <v>24112.61535</v>
      </c>
      <c r="X66" s="6">
        <f t="shared" ref="X66:X129" si="17">V66+W66</f>
        <v>265238.76884999999</v>
      </c>
      <c r="Y66" s="6">
        <f t="shared" ref="Y66:Y129" si="18">X66/P66</f>
        <v>81.863817546296289</v>
      </c>
      <c r="Z66" s="6">
        <f t="shared" ref="Z66:Z129" si="19">Q66/P66</f>
        <v>496.14434876543208</v>
      </c>
      <c r="AA66" s="9">
        <f t="shared" ref="AA66:AA129" si="20">P66</f>
        <v>3240</v>
      </c>
      <c r="AB66" s="10">
        <v>3240</v>
      </c>
      <c r="AC66" s="11">
        <f t="shared" si="10"/>
        <v>265238.76884999999</v>
      </c>
      <c r="AD66" s="12">
        <f t="shared" ref="AD66:AD129" si="21">SUMIF($C$2:$C$2284,C66,$AB$2:$AB$2284)</f>
        <v>3240</v>
      </c>
      <c r="AE66" s="13">
        <f t="shared" si="13"/>
        <v>0</v>
      </c>
    </row>
    <row r="67" spans="1:31">
      <c r="A67" s="6">
        <v>2</v>
      </c>
      <c r="B67" s="6">
        <f t="shared" si="12"/>
        <v>43</v>
      </c>
      <c r="C67" s="6" t="str">
        <f t="shared" si="14"/>
        <v>655931500AARMATURE, MONOBLOCK ASW4, HYUNDAI BC3-CUV4266591449461620</v>
      </c>
      <c r="D67" s="6" t="s">
        <v>211</v>
      </c>
      <c r="E67" s="6" t="s">
        <v>157</v>
      </c>
      <c r="F67" s="6"/>
      <c r="G67" s="7" t="s">
        <v>134</v>
      </c>
      <c r="H67" s="7"/>
      <c r="I67" s="7"/>
      <c r="J67" s="7"/>
      <c r="K67" s="7"/>
      <c r="L67" s="7">
        <v>4266591</v>
      </c>
      <c r="M67" s="22">
        <v>44946</v>
      </c>
      <c r="N67" s="8" t="s">
        <v>184</v>
      </c>
      <c r="O67" s="8"/>
      <c r="P67" s="7">
        <v>1620</v>
      </c>
      <c r="Q67" s="7">
        <v>815501.32</v>
      </c>
      <c r="R67" s="7">
        <v>87089400</v>
      </c>
      <c r="S67" s="7">
        <v>15</v>
      </c>
      <c r="T67" s="7" t="s">
        <v>186</v>
      </c>
      <c r="U67" s="7" t="s">
        <v>178</v>
      </c>
      <c r="V67" s="6">
        <f t="shared" si="15"/>
        <v>122325.19799999999</v>
      </c>
      <c r="W67" s="6">
        <f t="shared" si="16"/>
        <v>12232.5198</v>
      </c>
      <c r="X67" s="6">
        <f t="shared" si="17"/>
        <v>134557.71779999998</v>
      </c>
      <c r="Y67" s="6">
        <f t="shared" si="18"/>
        <v>83.060319629629618</v>
      </c>
      <c r="Z67" s="6">
        <f t="shared" si="19"/>
        <v>503.39587654320985</v>
      </c>
      <c r="AA67" s="9">
        <f t="shared" si="20"/>
        <v>1620</v>
      </c>
      <c r="AB67" s="10">
        <v>943</v>
      </c>
      <c r="AC67" s="11">
        <f t="shared" ref="AC67:AC130" si="22">AB67*Y67</f>
        <v>78325.881410740723</v>
      </c>
      <c r="AD67" s="12">
        <f t="shared" si="21"/>
        <v>1620</v>
      </c>
      <c r="AE67" s="13">
        <f t="shared" si="13"/>
        <v>0</v>
      </c>
    </row>
    <row r="68" spans="1:31">
      <c r="A68" s="6">
        <v>3</v>
      </c>
      <c r="B68" s="6">
        <v>1</v>
      </c>
      <c r="C68" s="6" t="str">
        <f t="shared" si="14"/>
        <v>630580800ALABEL, RAW MATERIAL, BLA K12 TPC BUCKLE5160585449362400000</v>
      </c>
      <c r="D68" s="6" t="s">
        <v>215</v>
      </c>
      <c r="E68" s="6" t="s">
        <v>71</v>
      </c>
      <c r="F68" s="6"/>
      <c r="G68" s="7" t="s">
        <v>31</v>
      </c>
      <c r="H68" s="7"/>
      <c r="I68" s="7"/>
      <c r="J68" s="7"/>
      <c r="K68" s="7"/>
      <c r="L68" s="7">
        <v>5160585</v>
      </c>
      <c r="M68" s="22">
        <v>44936</v>
      </c>
      <c r="N68" s="8" t="s">
        <v>196</v>
      </c>
      <c r="O68" s="8" t="s">
        <v>333</v>
      </c>
      <c r="P68" s="7">
        <v>2400000</v>
      </c>
      <c r="Q68" s="7">
        <v>86522.34</v>
      </c>
      <c r="R68" s="7">
        <v>87082900</v>
      </c>
      <c r="S68" s="7">
        <v>15</v>
      </c>
      <c r="T68" s="7" t="s">
        <v>265</v>
      </c>
      <c r="U68" s="7" t="s">
        <v>178</v>
      </c>
      <c r="V68" s="6">
        <f t="shared" si="15"/>
        <v>12978.350999999999</v>
      </c>
      <c r="W68" s="6">
        <f t="shared" si="16"/>
        <v>1297.8351</v>
      </c>
      <c r="X68" s="6">
        <f t="shared" si="17"/>
        <v>14276.186099999999</v>
      </c>
      <c r="Y68" s="6">
        <f t="shared" si="18"/>
        <v>5.9484108749999999E-3</v>
      </c>
      <c r="Z68" s="6">
        <f t="shared" si="19"/>
        <v>3.6050974999999999E-2</v>
      </c>
      <c r="AA68" s="9">
        <f t="shared" si="20"/>
        <v>2400000</v>
      </c>
      <c r="AB68" s="10">
        <v>10796</v>
      </c>
      <c r="AC68" s="11">
        <f t="shared" si="22"/>
        <v>64.219043806499997</v>
      </c>
      <c r="AD68" s="12">
        <f t="shared" si="21"/>
        <v>548546</v>
      </c>
      <c r="AE68" s="13">
        <f t="shared" si="13"/>
        <v>1851454</v>
      </c>
    </row>
    <row r="69" spans="1:31">
      <c r="A69" s="6">
        <v>3</v>
      </c>
      <c r="B69" s="6">
        <f t="shared" ref="B69:B111" si="23">B68+1</f>
        <v>2</v>
      </c>
      <c r="C69" s="6" t="str">
        <f t="shared" si="14"/>
        <v>650557200GCUSHION, FOLDED, C AND S HONDA 2JX3460410448902160</v>
      </c>
      <c r="D69" s="6" t="s">
        <v>215</v>
      </c>
      <c r="E69" s="6" t="s">
        <v>159</v>
      </c>
      <c r="F69" s="6"/>
      <c r="G69" s="7" t="s">
        <v>136</v>
      </c>
      <c r="H69" s="7"/>
      <c r="I69" s="7"/>
      <c r="J69" s="7"/>
      <c r="K69" s="7"/>
      <c r="L69" s="7">
        <v>3460410</v>
      </c>
      <c r="M69" s="22">
        <v>44890</v>
      </c>
      <c r="N69" s="8" t="s">
        <v>184</v>
      </c>
      <c r="O69" s="8"/>
      <c r="P69" s="7">
        <v>2160</v>
      </c>
      <c r="Q69" s="7">
        <v>2624382.73</v>
      </c>
      <c r="R69" s="7">
        <v>87089500</v>
      </c>
      <c r="S69" s="7">
        <v>5</v>
      </c>
      <c r="T69" s="7" t="s">
        <v>256</v>
      </c>
      <c r="U69" s="7" t="s">
        <v>178</v>
      </c>
      <c r="V69" s="6">
        <f t="shared" si="15"/>
        <v>131219.13649999999</v>
      </c>
      <c r="W69" s="6">
        <f t="shared" si="16"/>
        <v>13121.91365</v>
      </c>
      <c r="X69" s="6">
        <f t="shared" si="17"/>
        <v>144341.05015</v>
      </c>
      <c r="Y69" s="6">
        <f t="shared" si="18"/>
        <v>66.824560254629631</v>
      </c>
      <c r="Z69" s="6">
        <f t="shared" si="19"/>
        <v>1214.9920046296297</v>
      </c>
      <c r="AA69" s="9">
        <f t="shared" si="20"/>
        <v>2160</v>
      </c>
      <c r="AB69" s="10">
        <v>740</v>
      </c>
      <c r="AC69" s="11">
        <f t="shared" si="22"/>
        <v>49450.174588425929</v>
      </c>
      <c r="AD69" s="12">
        <f t="shared" si="21"/>
        <v>2160</v>
      </c>
      <c r="AE69" s="13">
        <f t="shared" si="13"/>
        <v>0</v>
      </c>
    </row>
    <row r="70" spans="1:31">
      <c r="A70" s="6">
        <v>3</v>
      </c>
      <c r="B70" s="6">
        <f t="shared" si="23"/>
        <v>3</v>
      </c>
      <c r="C70" s="6" t="str">
        <f t="shared" si="14"/>
        <v>651015300BELEMENT, HEATER, HYBRID 3835546449164900</v>
      </c>
      <c r="D70" s="6" t="s">
        <v>215</v>
      </c>
      <c r="E70" s="6" t="s">
        <v>155</v>
      </c>
      <c r="F70" s="6"/>
      <c r="G70" s="7" t="s">
        <v>137</v>
      </c>
      <c r="H70" s="7"/>
      <c r="I70" s="7"/>
      <c r="J70" s="7"/>
      <c r="K70" s="7"/>
      <c r="L70" s="7">
        <v>3835546</v>
      </c>
      <c r="M70" s="22">
        <v>44916</v>
      </c>
      <c r="N70" s="8" t="s">
        <v>189</v>
      </c>
      <c r="O70" s="8"/>
      <c r="P70" s="7">
        <v>4900</v>
      </c>
      <c r="Q70" s="7">
        <v>2746678.42</v>
      </c>
      <c r="R70" s="7">
        <v>87089400</v>
      </c>
      <c r="S70" s="7">
        <v>15</v>
      </c>
      <c r="T70" s="7" t="s">
        <v>257</v>
      </c>
      <c r="U70" s="7" t="s">
        <v>178</v>
      </c>
      <c r="V70" s="6">
        <f t="shared" si="15"/>
        <v>412001.76299999998</v>
      </c>
      <c r="W70" s="6">
        <f t="shared" si="16"/>
        <v>41200.176299999999</v>
      </c>
      <c r="X70" s="6">
        <f t="shared" si="17"/>
        <v>453201.93929999997</v>
      </c>
      <c r="Y70" s="6">
        <f t="shared" si="18"/>
        <v>92.490191693877549</v>
      </c>
      <c r="Z70" s="6">
        <f t="shared" si="19"/>
        <v>560.54661632653062</v>
      </c>
      <c r="AA70" s="9">
        <f t="shared" si="20"/>
        <v>4900</v>
      </c>
      <c r="AB70" s="10">
        <v>324</v>
      </c>
      <c r="AC70" s="11">
        <f t="shared" si="22"/>
        <v>29966.822108816326</v>
      </c>
      <c r="AD70" s="12">
        <f t="shared" si="21"/>
        <v>4900</v>
      </c>
      <c r="AE70" s="13">
        <f t="shared" si="13"/>
        <v>0</v>
      </c>
    </row>
    <row r="71" spans="1:31">
      <c r="A71" s="6">
        <v>3</v>
      </c>
      <c r="B71" s="6">
        <f t="shared" si="23"/>
        <v>4</v>
      </c>
      <c r="C71" s="6" t="str">
        <f t="shared" si="14"/>
        <v>634240200AHORN CONTACT, CU 521662145010720000</v>
      </c>
      <c r="D71" s="6" t="s">
        <v>215</v>
      </c>
      <c r="E71" s="6" t="s">
        <v>160</v>
      </c>
      <c r="F71" s="6"/>
      <c r="G71" s="7" t="s">
        <v>138</v>
      </c>
      <c r="H71" s="7"/>
      <c r="I71" s="7"/>
      <c r="J71" s="7"/>
      <c r="K71" s="7"/>
      <c r="L71" s="7">
        <v>5216621</v>
      </c>
      <c r="M71" s="22">
        <v>45010</v>
      </c>
      <c r="N71" s="8" t="s">
        <v>189</v>
      </c>
      <c r="O71" s="8"/>
      <c r="P71" s="7">
        <v>720000</v>
      </c>
      <c r="Q71" s="7">
        <v>803516.76</v>
      </c>
      <c r="R71" s="7">
        <v>87089900</v>
      </c>
      <c r="S71" s="7">
        <v>15</v>
      </c>
      <c r="T71" s="7" t="s">
        <v>258</v>
      </c>
      <c r="U71" s="7" t="s">
        <v>178</v>
      </c>
      <c r="V71" s="6">
        <f t="shared" si="15"/>
        <v>120527.514</v>
      </c>
      <c r="W71" s="6">
        <f t="shared" si="16"/>
        <v>12052.751400000001</v>
      </c>
      <c r="X71" s="6">
        <f t="shared" si="17"/>
        <v>132580.2654</v>
      </c>
      <c r="Y71" s="6">
        <f t="shared" si="18"/>
        <v>0.18413925750000001</v>
      </c>
      <c r="Z71" s="6">
        <f t="shared" si="19"/>
        <v>1.1159954999999999</v>
      </c>
      <c r="AA71" s="9">
        <f t="shared" si="20"/>
        <v>720000</v>
      </c>
      <c r="AB71" s="10">
        <v>43184</v>
      </c>
      <c r="AC71" s="11">
        <f t="shared" si="22"/>
        <v>7951.869695880001</v>
      </c>
      <c r="AD71" s="12">
        <f t="shared" si="21"/>
        <v>707364</v>
      </c>
      <c r="AE71" s="13">
        <f t="shared" si="13"/>
        <v>12636</v>
      </c>
    </row>
    <row r="72" spans="1:31">
      <c r="A72" s="6">
        <v>3</v>
      </c>
      <c r="B72" s="6">
        <f t="shared" si="23"/>
        <v>5</v>
      </c>
      <c r="C72" s="6" t="str">
        <f t="shared" si="14"/>
        <v>653052600AINFLATOR, APP-4.6, 2.2MO STANDARD_MIB, SQUARE_61X3458622448902592</v>
      </c>
      <c r="D72" s="6" t="s">
        <v>215</v>
      </c>
      <c r="E72" s="6" t="s">
        <v>161</v>
      </c>
      <c r="F72" s="6"/>
      <c r="G72" s="7" t="s">
        <v>139</v>
      </c>
      <c r="H72" s="7"/>
      <c r="I72" s="7"/>
      <c r="J72" s="7"/>
      <c r="K72" s="7"/>
      <c r="L72" s="7">
        <v>3458622</v>
      </c>
      <c r="M72" s="22">
        <v>44890</v>
      </c>
      <c r="N72" s="8" t="s">
        <v>184</v>
      </c>
      <c r="O72" s="8"/>
      <c r="P72" s="7">
        <v>2592</v>
      </c>
      <c r="Q72" s="7">
        <v>1420525.03</v>
      </c>
      <c r="R72" s="7">
        <v>87089500</v>
      </c>
      <c r="S72" s="7">
        <v>15</v>
      </c>
      <c r="T72" s="7" t="s">
        <v>259</v>
      </c>
      <c r="U72" s="7" t="s">
        <v>200</v>
      </c>
      <c r="V72" s="6">
        <f t="shared" si="15"/>
        <v>213078.75450000001</v>
      </c>
      <c r="W72" s="6">
        <f t="shared" si="16"/>
        <v>21307.875450000003</v>
      </c>
      <c r="X72" s="6">
        <f t="shared" si="17"/>
        <v>234386.62995</v>
      </c>
      <c r="Y72" s="6">
        <f t="shared" si="18"/>
        <v>90.426940567129634</v>
      </c>
      <c r="Z72" s="6">
        <f t="shared" si="19"/>
        <v>548.04206404320985</v>
      </c>
      <c r="AA72" s="9">
        <f t="shared" si="20"/>
        <v>2592</v>
      </c>
      <c r="AB72" s="10">
        <v>1920</v>
      </c>
      <c r="AC72" s="11">
        <f t="shared" si="22"/>
        <v>173619.7258888889</v>
      </c>
      <c r="AD72" s="12">
        <f t="shared" si="21"/>
        <v>2592</v>
      </c>
      <c r="AE72" s="13">
        <f t="shared" si="13"/>
        <v>0</v>
      </c>
    </row>
    <row r="73" spans="1:31">
      <c r="A73" s="6">
        <v>3</v>
      </c>
      <c r="B73" s="6">
        <f t="shared" si="23"/>
        <v>6</v>
      </c>
      <c r="C73" s="6" t="str">
        <f t="shared" si="14"/>
        <v>653052600AINFLATOR, APP-4.6, 2.2MO STANDARD_MIB, SQUARE_61X336263444883864</v>
      </c>
      <c r="D73" s="6" t="s">
        <v>215</v>
      </c>
      <c r="E73" s="6" t="s">
        <v>161</v>
      </c>
      <c r="F73" s="6"/>
      <c r="G73" s="7" t="s">
        <v>139</v>
      </c>
      <c r="H73" s="7"/>
      <c r="I73" s="7"/>
      <c r="J73" s="7"/>
      <c r="K73" s="7"/>
      <c r="L73" s="7">
        <v>3362634</v>
      </c>
      <c r="M73" s="22">
        <v>44883</v>
      </c>
      <c r="N73" s="8" t="s">
        <v>184</v>
      </c>
      <c r="O73" s="8"/>
      <c r="P73" s="7">
        <v>864</v>
      </c>
      <c r="Q73" s="7">
        <v>473859.86</v>
      </c>
      <c r="R73" s="7">
        <v>87089500</v>
      </c>
      <c r="S73" s="7">
        <v>15</v>
      </c>
      <c r="T73" s="7" t="s">
        <v>259</v>
      </c>
      <c r="U73" s="7" t="s">
        <v>200</v>
      </c>
      <c r="V73" s="6">
        <f t="shared" si="15"/>
        <v>71078.978999999992</v>
      </c>
      <c r="W73" s="6">
        <f t="shared" si="16"/>
        <v>7107.8978999999999</v>
      </c>
      <c r="X73" s="6">
        <f t="shared" si="17"/>
        <v>78186.876899999988</v>
      </c>
      <c r="Y73" s="6">
        <f t="shared" si="18"/>
        <v>90.494070486111099</v>
      </c>
      <c r="Z73" s="6">
        <f t="shared" si="19"/>
        <v>548.44891203703708</v>
      </c>
      <c r="AA73" s="9">
        <f t="shared" si="20"/>
        <v>864</v>
      </c>
      <c r="AB73" s="10">
        <v>0</v>
      </c>
      <c r="AC73" s="11">
        <f t="shared" si="22"/>
        <v>0</v>
      </c>
      <c r="AD73" s="12">
        <f t="shared" si="21"/>
        <v>864</v>
      </c>
      <c r="AE73" s="13">
        <f t="shared" si="13"/>
        <v>0</v>
      </c>
    </row>
    <row r="74" spans="1:31">
      <c r="A74" s="6">
        <v>3</v>
      </c>
      <c r="B74" s="6">
        <f t="shared" si="23"/>
        <v>7</v>
      </c>
      <c r="C74" s="6" t="str">
        <f t="shared" si="14"/>
        <v>656011400ALEATHER, HIDE TOP GRAIN, GREY, FOSSIL GREY, T9Y,722294145143466.39</v>
      </c>
      <c r="D74" s="6" t="s">
        <v>215</v>
      </c>
      <c r="E74" s="6" t="s">
        <v>162</v>
      </c>
      <c r="F74" s="6"/>
      <c r="G74" s="7" t="s">
        <v>140</v>
      </c>
      <c r="H74" s="7"/>
      <c r="I74" s="7"/>
      <c r="J74" s="7"/>
      <c r="K74" s="7"/>
      <c r="L74" s="7">
        <v>7222941</v>
      </c>
      <c r="M74" s="22">
        <v>45143</v>
      </c>
      <c r="N74" s="8" t="s">
        <v>180</v>
      </c>
      <c r="O74" s="8"/>
      <c r="P74" s="7">
        <v>466.39</v>
      </c>
      <c r="Q74" s="7">
        <v>1147356.54</v>
      </c>
      <c r="R74" s="7">
        <v>41071200</v>
      </c>
      <c r="S74" s="7">
        <v>10</v>
      </c>
      <c r="T74" s="7" t="s">
        <v>260</v>
      </c>
      <c r="U74" s="7" t="s">
        <v>178</v>
      </c>
      <c r="V74" s="6">
        <f t="shared" si="15"/>
        <v>114735.65400000001</v>
      </c>
      <c r="W74" s="6">
        <f t="shared" si="16"/>
        <v>11473.565400000001</v>
      </c>
      <c r="X74" s="6">
        <f t="shared" si="17"/>
        <v>126209.21940000002</v>
      </c>
      <c r="Y74" s="6">
        <f t="shared" si="18"/>
        <v>270.60875962177579</v>
      </c>
      <c r="Z74" s="6">
        <f t="shared" si="19"/>
        <v>2460.0796329252344</v>
      </c>
      <c r="AA74" s="9">
        <f t="shared" si="20"/>
        <v>466.39</v>
      </c>
      <c r="AB74" s="10">
        <v>62.573626000000004</v>
      </c>
      <c r="AC74" s="11">
        <f t="shared" si="22"/>
        <v>16932.971316896899</v>
      </c>
      <c r="AD74" s="12">
        <f t="shared" si="21"/>
        <v>466.42970200000002</v>
      </c>
      <c r="AE74" s="13">
        <v>0</v>
      </c>
    </row>
    <row r="75" spans="1:31">
      <c r="A75" s="6">
        <v>3</v>
      </c>
      <c r="B75" s="6">
        <f t="shared" si="23"/>
        <v>8</v>
      </c>
      <c r="C75" s="6" t="str">
        <f t="shared" si="14"/>
        <v>608067201ANUT, ISO, M5 351094044894800000</v>
      </c>
      <c r="D75" s="6" t="s">
        <v>215</v>
      </c>
      <c r="E75" s="6" t="s">
        <v>164</v>
      </c>
      <c r="F75" s="6"/>
      <c r="G75" s="7" t="s">
        <v>142</v>
      </c>
      <c r="H75" s="7"/>
      <c r="I75" s="7"/>
      <c r="J75" s="7"/>
      <c r="K75" s="7"/>
      <c r="L75" s="7">
        <v>3510940</v>
      </c>
      <c r="M75" s="22">
        <v>44894</v>
      </c>
      <c r="N75" s="8" t="s">
        <v>189</v>
      </c>
      <c r="O75" s="8" t="s">
        <v>332</v>
      </c>
      <c r="P75" s="7">
        <v>800000</v>
      </c>
      <c r="Q75" s="7">
        <v>1498489.13</v>
      </c>
      <c r="R75" s="7">
        <v>87089500</v>
      </c>
      <c r="S75" s="7">
        <v>15</v>
      </c>
      <c r="T75" s="7" t="s">
        <v>183</v>
      </c>
      <c r="U75" s="7" t="s">
        <v>178</v>
      </c>
      <c r="V75" s="6">
        <f t="shared" si="15"/>
        <v>224773.36949999997</v>
      </c>
      <c r="W75" s="6">
        <f t="shared" si="16"/>
        <v>22477.336949999997</v>
      </c>
      <c r="X75" s="6">
        <f t="shared" si="17"/>
        <v>247250.70644999997</v>
      </c>
      <c r="Y75" s="6">
        <f t="shared" si="18"/>
        <v>0.30906338306249997</v>
      </c>
      <c r="Z75" s="6">
        <f t="shared" si="19"/>
        <v>1.8731114124999999</v>
      </c>
      <c r="AA75" s="9">
        <f t="shared" si="20"/>
        <v>800000</v>
      </c>
      <c r="AB75" s="10">
        <v>7680</v>
      </c>
      <c r="AC75" s="11">
        <f t="shared" si="22"/>
        <v>2373.6067819199998</v>
      </c>
      <c r="AD75" s="12">
        <f t="shared" si="21"/>
        <v>70960</v>
      </c>
      <c r="AE75" s="13">
        <f t="shared" ref="AE75:AE115" si="24">AA75-AD75</f>
        <v>729040</v>
      </c>
    </row>
    <row r="76" spans="1:31" ht="30">
      <c r="A76" s="6">
        <v>3</v>
      </c>
      <c r="B76" s="6">
        <f t="shared" si="23"/>
        <v>9</v>
      </c>
      <c r="C76" s="6" t="str">
        <f t="shared" si="14"/>
        <v>628408700ASCREW, STANDARD, METRIC, M5, HEXALOBULAR INTERNAL36994284490760000</v>
      </c>
      <c r="D76" s="6" t="s">
        <v>215</v>
      </c>
      <c r="E76" s="6" t="s">
        <v>167</v>
      </c>
      <c r="F76" s="6"/>
      <c r="G76" s="7" t="s">
        <v>145</v>
      </c>
      <c r="H76" s="7"/>
      <c r="I76" s="7"/>
      <c r="J76" s="7"/>
      <c r="K76" s="7"/>
      <c r="L76" s="7">
        <v>3699428</v>
      </c>
      <c r="M76" s="22">
        <v>44907</v>
      </c>
      <c r="N76" s="8" t="s">
        <v>185</v>
      </c>
      <c r="O76" s="8"/>
      <c r="P76" s="7">
        <v>60000</v>
      </c>
      <c r="Q76" s="7">
        <v>320497.71000000002</v>
      </c>
      <c r="R76" s="7">
        <v>87089900</v>
      </c>
      <c r="S76" s="7">
        <v>15</v>
      </c>
      <c r="T76" s="7" t="s">
        <v>263</v>
      </c>
      <c r="U76" s="7" t="s">
        <v>178</v>
      </c>
      <c r="V76" s="6">
        <f t="shared" si="15"/>
        <v>48074.656500000005</v>
      </c>
      <c r="W76" s="6">
        <f t="shared" si="16"/>
        <v>4807.465650000001</v>
      </c>
      <c r="X76" s="6">
        <f t="shared" si="17"/>
        <v>52882.122150000003</v>
      </c>
      <c r="Y76" s="6">
        <f t="shared" si="18"/>
        <v>0.8813687025000001</v>
      </c>
      <c r="Z76" s="6">
        <f t="shared" si="19"/>
        <v>5.3416285000000006</v>
      </c>
      <c r="AA76" s="9">
        <f t="shared" si="20"/>
        <v>60000</v>
      </c>
      <c r="AB76" s="10">
        <v>3696</v>
      </c>
      <c r="AC76" s="11">
        <f t="shared" si="22"/>
        <v>3257.5387244400004</v>
      </c>
      <c r="AD76" s="12">
        <f t="shared" si="21"/>
        <v>60000</v>
      </c>
      <c r="AE76" s="13">
        <f t="shared" si="24"/>
        <v>0</v>
      </c>
    </row>
    <row r="77" spans="1:31">
      <c r="A77" s="6">
        <v>3</v>
      </c>
      <c r="B77" s="6">
        <f t="shared" si="23"/>
        <v>10</v>
      </c>
      <c r="C77" s="6" t="str">
        <f t="shared" si="14"/>
        <v>608225700ASCREW,STD METRIIC HEXALOBULAR  M5 T25 12MM58632834505530000</v>
      </c>
      <c r="D77" s="6" t="s">
        <v>215</v>
      </c>
      <c r="E77" s="6" t="s">
        <v>169</v>
      </c>
      <c r="F77" s="6"/>
      <c r="G77" s="7" t="s">
        <v>147</v>
      </c>
      <c r="H77" s="7"/>
      <c r="I77" s="7"/>
      <c r="J77" s="7"/>
      <c r="K77" s="7"/>
      <c r="L77" s="7">
        <v>5863283</v>
      </c>
      <c r="M77" s="22">
        <v>45055</v>
      </c>
      <c r="N77" s="8" t="s">
        <v>189</v>
      </c>
      <c r="O77" s="8"/>
      <c r="P77" s="7">
        <v>30000</v>
      </c>
      <c r="Q77" s="7">
        <v>93327.17</v>
      </c>
      <c r="R77" s="7">
        <v>87089400</v>
      </c>
      <c r="S77" s="7">
        <v>15</v>
      </c>
      <c r="T77" s="7" t="s">
        <v>266</v>
      </c>
      <c r="U77" s="7" t="s">
        <v>178</v>
      </c>
      <c r="V77" s="6">
        <f t="shared" si="15"/>
        <v>13999.075499999999</v>
      </c>
      <c r="W77" s="6">
        <f t="shared" si="16"/>
        <v>1399.9075499999999</v>
      </c>
      <c r="X77" s="6">
        <f t="shared" si="17"/>
        <v>15398.983049999999</v>
      </c>
      <c r="Y77" s="6">
        <f t="shared" si="18"/>
        <v>0.51329943499999997</v>
      </c>
      <c r="Z77" s="6">
        <f t="shared" si="19"/>
        <v>3.1109056666666666</v>
      </c>
      <c r="AA77" s="9">
        <f t="shared" si="20"/>
        <v>30000</v>
      </c>
      <c r="AB77" s="10">
        <v>18756</v>
      </c>
      <c r="AC77" s="11">
        <f t="shared" si="22"/>
        <v>9627.4442028599988</v>
      </c>
      <c r="AD77" s="12">
        <f t="shared" si="21"/>
        <v>29316</v>
      </c>
      <c r="AE77" s="13">
        <f t="shared" si="24"/>
        <v>684</v>
      </c>
    </row>
    <row r="78" spans="1:31">
      <c r="A78" s="6">
        <v>3</v>
      </c>
      <c r="B78" s="6">
        <f t="shared" si="23"/>
        <v>11</v>
      </c>
      <c r="C78" s="6" t="str">
        <f t="shared" si="14"/>
        <v>639590100BSCREW SELF TAPPING INTERNAL T15, 15.0993779944782120000</v>
      </c>
      <c r="D78" s="6" t="s">
        <v>215</v>
      </c>
      <c r="E78" s="6" t="s">
        <v>165</v>
      </c>
      <c r="F78" s="6"/>
      <c r="G78" s="7" t="s">
        <v>143</v>
      </c>
      <c r="H78" s="7"/>
      <c r="I78" s="7"/>
      <c r="J78" s="7"/>
      <c r="K78" s="7"/>
      <c r="L78" s="7">
        <v>9937799</v>
      </c>
      <c r="M78" s="22">
        <v>44782</v>
      </c>
      <c r="N78" s="8" t="s">
        <v>180</v>
      </c>
      <c r="O78" s="19" t="s">
        <v>332</v>
      </c>
      <c r="P78" s="7">
        <v>120000</v>
      </c>
      <c r="Q78" s="7">
        <v>131753.76999999999</v>
      </c>
      <c r="R78" s="7">
        <v>87089900</v>
      </c>
      <c r="S78" s="7">
        <v>15</v>
      </c>
      <c r="T78" s="7" t="s">
        <v>262</v>
      </c>
      <c r="U78" s="7" t="s">
        <v>178</v>
      </c>
      <c r="V78" s="6">
        <f t="shared" si="15"/>
        <v>19763.065499999997</v>
      </c>
      <c r="W78" s="6">
        <f t="shared" si="16"/>
        <v>1976.3065499999998</v>
      </c>
      <c r="X78" s="6">
        <f t="shared" si="17"/>
        <v>21739.372049999998</v>
      </c>
      <c r="Y78" s="6">
        <f t="shared" si="18"/>
        <v>0.18116143374999999</v>
      </c>
      <c r="Z78" s="6">
        <f t="shared" si="19"/>
        <v>1.0979480833333333</v>
      </c>
      <c r="AA78" s="9">
        <f t="shared" si="20"/>
        <v>120000</v>
      </c>
      <c r="AB78" s="10">
        <v>82396</v>
      </c>
      <c r="AC78" s="11">
        <f t="shared" si="22"/>
        <v>14926.977495264999</v>
      </c>
      <c r="AD78" s="12">
        <f t="shared" si="21"/>
        <v>120000</v>
      </c>
      <c r="AE78" s="13">
        <f t="shared" si="24"/>
        <v>0</v>
      </c>
    </row>
    <row r="79" spans="1:31">
      <c r="A79" s="6">
        <v>3</v>
      </c>
      <c r="B79" s="6">
        <f t="shared" si="23"/>
        <v>12</v>
      </c>
      <c r="C79" s="6" t="str">
        <f t="shared" si="14"/>
        <v>644345600ASCREW, SELF-TAPPING, PLA PLASTIC, 3.0, CROSS90853734472590000</v>
      </c>
      <c r="D79" s="6" t="s">
        <v>215</v>
      </c>
      <c r="E79" s="6" t="s">
        <v>166</v>
      </c>
      <c r="F79" s="6"/>
      <c r="G79" s="7" t="s">
        <v>144</v>
      </c>
      <c r="H79" s="7"/>
      <c r="I79" s="7"/>
      <c r="J79" s="7"/>
      <c r="K79" s="7"/>
      <c r="L79" s="7">
        <v>9085373</v>
      </c>
      <c r="M79" s="22">
        <v>44725</v>
      </c>
      <c r="N79" s="8" t="s">
        <v>182</v>
      </c>
      <c r="O79" s="8"/>
      <c r="P79" s="7">
        <v>90000</v>
      </c>
      <c r="Q79" s="7">
        <v>68392.240000000005</v>
      </c>
      <c r="R79" s="7">
        <v>87089500</v>
      </c>
      <c r="S79" s="7">
        <v>15</v>
      </c>
      <c r="T79" s="7" t="s">
        <v>183</v>
      </c>
      <c r="U79" s="7" t="s">
        <v>178</v>
      </c>
      <c r="V79" s="6">
        <f t="shared" si="15"/>
        <v>10258.836000000001</v>
      </c>
      <c r="W79" s="6">
        <f t="shared" si="16"/>
        <v>1025.8836000000001</v>
      </c>
      <c r="X79" s="6">
        <f t="shared" si="17"/>
        <v>11284.7196</v>
      </c>
      <c r="Y79" s="6">
        <f t="shared" si="18"/>
        <v>0.12538577333333334</v>
      </c>
      <c r="Z79" s="6">
        <f t="shared" si="19"/>
        <v>0.7599137777777778</v>
      </c>
      <c r="AA79" s="9">
        <f t="shared" si="20"/>
        <v>90000</v>
      </c>
      <c r="AB79" s="10">
        <v>21592</v>
      </c>
      <c r="AC79" s="11">
        <f t="shared" si="22"/>
        <v>2707.3296178133332</v>
      </c>
      <c r="AD79" s="12">
        <f t="shared" si="21"/>
        <v>89034</v>
      </c>
      <c r="AE79" s="13">
        <f t="shared" si="24"/>
        <v>966</v>
      </c>
    </row>
    <row r="80" spans="1:31">
      <c r="A80" s="6">
        <v>3</v>
      </c>
      <c r="B80" s="6">
        <f t="shared" si="23"/>
        <v>13</v>
      </c>
      <c r="C80" s="6" t="str">
        <f t="shared" si="14"/>
        <v>644345600ASCREW, SELF-TAPPING, PLA PLASTIC, 3.0, CROSS35109404489490000</v>
      </c>
      <c r="D80" s="6" t="s">
        <v>215</v>
      </c>
      <c r="E80" s="6" t="s">
        <v>166</v>
      </c>
      <c r="F80" s="6"/>
      <c r="G80" s="7" t="s">
        <v>144</v>
      </c>
      <c r="H80" s="7"/>
      <c r="I80" s="7"/>
      <c r="J80" s="7"/>
      <c r="K80" s="7"/>
      <c r="L80" s="7">
        <v>3510940</v>
      </c>
      <c r="M80" s="22">
        <v>44894</v>
      </c>
      <c r="N80" s="8" t="s">
        <v>189</v>
      </c>
      <c r="O80" s="8"/>
      <c r="P80" s="7">
        <v>90000</v>
      </c>
      <c r="Q80" s="7">
        <v>68808.17</v>
      </c>
      <c r="R80" s="7">
        <v>87089500</v>
      </c>
      <c r="S80" s="7">
        <v>15</v>
      </c>
      <c r="T80" s="7" t="s">
        <v>183</v>
      </c>
      <c r="U80" s="7" t="s">
        <v>178</v>
      </c>
      <c r="V80" s="6">
        <f t="shared" si="15"/>
        <v>10321.225499999999</v>
      </c>
      <c r="W80" s="6">
        <f t="shared" si="16"/>
        <v>1032.1225499999998</v>
      </c>
      <c r="X80" s="6">
        <f t="shared" si="17"/>
        <v>11353.348049999999</v>
      </c>
      <c r="Y80" s="6">
        <f t="shared" si="18"/>
        <v>0.12614831166666665</v>
      </c>
      <c r="Z80" s="6">
        <f t="shared" si="19"/>
        <v>0.76453522222222225</v>
      </c>
      <c r="AA80" s="9">
        <f t="shared" si="20"/>
        <v>90000</v>
      </c>
      <c r="AB80" s="10">
        <v>0</v>
      </c>
      <c r="AC80" s="11">
        <f t="shared" si="22"/>
        <v>0</v>
      </c>
      <c r="AD80" s="12">
        <f t="shared" si="21"/>
        <v>90000</v>
      </c>
      <c r="AE80" s="13">
        <f t="shared" si="24"/>
        <v>0</v>
      </c>
    </row>
    <row r="81" spans="1:31">
      <c r="A81" s="6">
        <v>3</v>
      </c>
      <c r="B81" s="6">
        <f t="shared" si="23"/>
        <v>14</v>
      </c>
      <c r="C81" s="6" t="str">
        <f t="shared" si="14"/>
        <v>650557200GCUSHION, FOLDED, C AND S HONDA 2JX378258844912720</v>
      </c>
      <c r="D81" s="6" t="s">
        <v>215</v>
      </c>
      <c r="E81" s="6" t="s">
        <v>159</v>
      </c>
      <c r="F81" s="6"/>
      <c r="G81" s="7" t="s">
        <v>136</v>
      </c>
      <c r="H81" s="7"/>
      <c r="I81" s="7"/>
      <c r="J81" s="7"/>
      <c r="K81" s="7"/>
      <c r="L81" s="7">
        <v>3782588</v>
      </c>
      <c r="M81" s="22">
        <v>44912</v>
      </c>
      <c r="N81" s="8" t="s">
        <v>184</v>
      </c>
      <c r="O81" s="8"/>
      <c r="P81" s="7">
        <v>720</v>
      </c>
      <c r="Q81" s="7">
        <v>877984.29</v>
      </c>
      <c r="R81" s="7">
        <v>87089500</v>
      </c>
      <c r="S81" s="7">
        <v>5</v>
      </c>
      <c r="T81" s="7" t="s">
        <v>267</v>
      </c>
      <c r="U81" s="7" t="s">
        <v>178</v>
      </c>
      <c r="V81" s="6">
        <f t="shared" si="15"/>
        <v>43899.214500000002</v>
      </c>
      <c r="W81" s="6">
        <f t="shared" si="16"/>
        <v>4389.9214500000007</v>
      </c>
      <c r="X81" s="6">
        <f t="shared" si="17"/>
        <v>48289.135950000004</v>
      </c>
      <c r="Y81" s="6">
        <f t="shared" si="18"/>
        <v>67.068244375000006</v>
      </c>
      <c r="Z81" s="6">
        <f t="shared" si="19"/>
        <v>1219.4226250000002</v>
      </c>
      <c r="AA81" s="9">
        <f t="shared" si="20"/>
        <v>720</v>
      </c>
      <c r="AB81" s="10">
        <v>720</v>
      </c>
      <c r="AC81" s="11">
        <f t="shared" si="22"/>
        <v>48289.135950000004</v>
      </c>
      <c r="AD81" s="12">
        <f t="shared" si="21"/>
        <v>720</v>
      </c>
      <c r="AE81" s="13">
        <f t="shared" si="24"/>
        <v>0</v>
      </c>
    </row>
    <row r="82" spans="1:31">
      <c r="A82" s="6">
        <v>3</v>
      </c>
      <c r="B82" s="6">
        <f t="shared" si="23"/>
        <v>15</v>
      </c>
      <c r="C82" s="6" t="str">
        <f t="shared" si="14"/>
        <v>650557200GCUSHION, FOLDED, C AND S HONDA 2JX398470844926720</v>
      </c>
      <c r="D82" s="6" t="s">
        <v>215</v>
      </c>
      <c r="E82" s="6" t="s">
        <v>159</v>
      </c>
      <c r="F82" s="6"/>
      <c r="G82" s="7" t="s">
        <v>136</v>
      </c>
      <c r="H82" s="7"/>
      <c r="I82" s="7"/>
      <c r="J82" s="7"/>
      <c r="K82" s="7"/>
      <c r="L82" s="7">
        <v>3984708</v>
      </c>
      <c r="M82" s="22">
        <v>44926</v>
      </c>
      <c r="N82" s="8" t="s">
        <v>189</v>
      </c>
      <c r="O82" s="8"/>
      <c r="P82" s="7">
        <v>720</v>
      </c>
      <c r="Q82" s="7">
        <v>890511.92</v>
      </c>
      <c r="R82" s="7">
        <v>87089500</v>
      </c>
      <c r="S82" s="7">
        <v>5</v>
      </c>
      <c r="T82" s="7" t="s">
        <v>267</v>
      </c>
      <c r="U82" s="7" t="s">
        <v>178</v>
      </c>
      <c r="V82" s="6">
        <f t="shared" si="15"/>
        <v>44525.596000000005</v>
      </c>
      <c r="W82" s="6">
        <f t="shared" si="16"/>
        <v>4452.5596000000005</v>
      </c>
      <c r="X82" s="6">
        <f t="shared" si="17"/>
        <v>48978.155600000006</v>
      </c>
      <c r="Y82" s="6">
        <f t="shared" si="18"/>
        <v>68.025216111111121</v>
      </c>
      <c r="Z82" s="6">
        <f t="shared" si="19"/>
        <v>1236.8221111111111</v>
      </c>
      <c r="AA82" s="9">
        <f t="shared" si="20"/>
        <v>720</v>
      </c>
      <c r="AB82" s="10">
        <v>460</v>
      </c>
      <c r="AC82" s="11">
        <f t="shared" si="22"/>
        <v>31291.599411111114</v>
      </c>
      <c r="AD82" s="12">
        <f t="shared" si="21"/>
        <v>720</v>
      </c>
      <c r="AE82" s="13">
        <f t="shared" si="24"/>
        <v>0</v>
      </c>
    </row>
    <row r="83" spans="1:31">
      <c r="A83" s="6">
        <v>3</v>
      </c>
      <c r="B83" s="6">
        <f t="shared" si="23"/>
        <v>16</v>
      </c>
      <c r="C83" s="6" t="str">
        <f t="shared" si="14"/>
        <v>650557200GCUSHION, FOLDED, C AND S HONDA 2JX3323112448811440</v>
      </c>
      <c r="D83" s="6" t="s">
        <v>215</v>
      </c>
      <c r="E83" s="6" t="s">
        <v>159</v>
      </c>
      <c r="F83" s="6"/>
      <c r="G83" s="7" t="s">
        <v>136</v>
      </c>
      <c r="H83" s="7"/>
      <c r="I83" s="7"/>
      <c r="J83" s="7"/>
      <c r="K83" s="7"/>
      <c r="L83" s="7">
        <v>3323112</v>
      </c>
      <c r="M83" s="22">
        <v>44881</v>
      </c>
      <c r="N83" s="8" t="s">
        <v>184</v>
      </c>
      <c r="O83" s="8"/>
      <c r="P83" s="7">
        <v>1440</v>
      </c>
      <c r="Q83" s="7">
        <v>1811293.07</v>
      </c>
      <c r="R83" s="7">
        <v>87089500</v>
      </c>
      <c r="S83" s="7">
        <v>5</v>
      </c>
      <c r="T83" s="7" t="s">
        <v>268</v>
      </c>
      <c r="U83" s="7" t="s">
        <v>178</v>
      </c>
      <c r="V83" s="6">
        <f t="shared" si="15"/>
        <v>90564.653500000015</v>
      </c>
      <c r="W83" s="6">
        <f t="shared" si="16"/>
        <v>9056.4653500000022</v>
      </c>
      <c r="X83" s="6">
        <f t="shared" si="17"/>
        <v>99621.118850000013</v>
      </c>
      <c r="Y83" s="6">
        <f t="shared" si="18"/>
        <v>69.18133253472223</v>
      </c>
      <c r="Z83" s="6">
        <f t="shared" si="19"/>
        <v>1257.8424097222223</v>
      </c>
      <c r="AA83" s="9">
        <f t="shared" si="20"/>
        <v>1440</v>
      </c>
      <c r="AB83" s="10">
        <v>0</v>
      </c>
      <c r="AC83" s="11">
        <f t="shared" si="22"/>
        <v>0</v>
      </c>
      <c r="AD83" s="12">
        <f t="shared" si="21"/>
        <v>1440</v>
      </c>
      <c r="AE83" s="13">
        <f t="shared" si="24"/>
        <v>0</v>
      </c>
    </row>
    <row r="84" spans="1:31">
      <c r="A84" s="6">
        <v>3</v>
      </c>
      <c r="B84" s="6">
        <f t="shared" si="23"/>
        <v>17</v>
      </c>
      <c r="C84" s="6" t="str">
        <f t="shared" si="14"/>
        <v>650557200GCUSHION, FOLDED, C AND S HONDA 2JX3322676448812520</v>
      </c>
      <c r="D84" s="6" t="s">
        <v>215</v>
      </c>
      <c r="E84" s="6" t="s">
        <v>159</v>
      </c>
      <c r="F84" s="6"/>
      <c r="G84" s="7" t="s">
        <v>136</v>
      </c>
      <c r="H84" s="7"/>
      <c r="I84" s="7"/>
      <c r="J84" s="7"/>
      <c r="K84" s="7"/>
      <c r="L84" s="7">
        <v>3322676</v>
      </c>
      <c r="M84" s="22">
        <v>44881</v>
      </c>
      <c r="N84" s="8" t="s">
        <v>184</v>
      </c>
      <c r="O84" s="8"/>
      <c r="P84" s="7">
        <v>2520</v>
      </c>
      <c r="Q84" s="7">
        <v>3146957.71</v>
      </c>
      <c r="R84" s="7">
        <v>87089500</v>
      </c>
      <c r="S84" s="7">
        <v>5</v>
      </c>
      <c r="T84" s="7" t="s">
        <v>267</v>
      </c>
      <c r="U84" s="7" t="s">
        <v>178</v>
      </c>
      <c r="V84" s="6">
        <f t="shared" si="15"/>
        <v>157347.8855</v>
      </c>
      <c r="W84" s="6">
        <f t="shared" si="16"/>
        <v>15734.788550000001</v>
      </c>
      <c r="X84" s="6">
        <f t="shared" si="17"/>
        <v>173082.67405</v>
      </c>
      <c r="Y84" s="6">
        <f t="shared" si="18"/>
        <v>68.683600813492063</v>
      </c>
      <c r="Z84" s="6">
        <f t="shared" si="19"/>
        <v>1248.7927420634921</v>
      </c>
      <c r="AA84" s="9">
        <f t="shared" si="20"/>
        <v>2520</v>
      </c>
      <c r="AB84" s="10">
        <v>0</v>
      </c>
      <c r="AC84" s="11">
        <f t="shared" si="22"/>
        <v>0</v>
      </c>
      <c r="AD84" s="12">
        <f t="shared" si="21"/>
        <v>2520</v>
      </c>
      <c r="AE84" s="13">
        <f t="shared" si="24"/>
        <v>0</v>
      </c>
    </row>
    <row r="85" spans="1:31">
      <c r="A85" s="6">
        <v>3</v>
      </c>
      <c r="B85" s="6">
        <f t="shared" si="23"/>
        <v>18</v>
      </c>
      <c r="C85" s="6" t="str">
        <f t="shared" si="14"/>
        <v>650557200GCUSHION, FOLDED, C AND S HONDA 2JX3498791448931080</v>
      </c>
      <c r="D85" s="6" t="s">
        <v>215</v>
      </c>
      <c r="E85" s="6" t="s">
        <v>159</v>
      </c>
      <c r="F85" s="6"/>
      <c r="G85" s="7" t="s">
        <v>136</v>
      </c>
      <c r="H85" s="7"/>
      <c r="I85" s="7"/>
      <c r="J85" s="7"/>
      <c r="K85" s="7"/>
      <c r="L85" s="7">
        <v>3498791</v>
      </c>
      <c r="M85" s="22">
        <v>44893</v>
      </c>
      <c r="N85" s="8" t="s">
        <v>189</v>
      </c>
      <c r="O85" s="8"/>
      <c r="P85" s="7">
        <v>1080</v>
      </c>
      <c r="Q85" s="7">
        <v>1351206.3</v>
      </c>
      <c r="R85" s="7">
        <v>87089500</v>
      </c>
      <c r="S85" s="7">
        <v>5</v>
      </c>
      <c r="T85" s="7" t="s">
        <v>267</v>
      </c>
      <c r="U85" s="7" t="s">
        <v>178</v>
      </c>
      <c r="V85" s="6">
        <f t="shared" si="15"/>
        <v>67560.315000000002</v>
      </c>
      <c r="W85" s="6">
        <f t="shared" si="16"/>
        <v>6756.031500000001</v>
      </c>
      <c r="X85" s="6">
        <f t="shared" si="17"/>
        <v>74316.3465</v>
      </c>
      <c r="Y85" s="6">
        <f t="shared" si="18"/>
        <v>68.81143194444445</v>
      </c>
      <c r="Z85" s="6">
        <f t="shared" si="19"/>
        <v>1251.1169444444445</v>
      </c>
      <c r="AA85" s="9">
        <f t="shared" si="20"/>
        <v>1080</v>
      </c>
      <c r="AB85" s="10">
        <v>0</v>
      </c>
      <c r="AC85" s="11">
        <f t="shared" si="22"/>
        <v>0</v>
      </c>
      <c r="AD85" s="12">
        <f t="shared" si="21"/>
        <v>1080</v>
      </c>
      <c r="AE85" s="13">
        <f t="shared" si="24"/>
        <v>0</v>
      </c>
    </row>
    <row r="86" spans="1:31">
      <c r="A86" s="6">
        <v>3</v>
      </c>
      <c r="B86" s="6">
        <f t="shared" si="23"/>
        <v>19</v>
      </c>
      <c r="C86" s="6" t="str">
        <f t="shared" si="14"/>
        <v>650557200GCUSHION, FOLDED, C AND S HONDA 2JX3498696448931080</v>
      </c>
      <c r="D86" s="6" t="s">
        <v>215</v>
      </c>
      <c r="E86" s="6" t="s">
        <v>159</v>
      </c>
      <c r="F86" s="6"/>
      <c r="G86" s="7" t="s">
        <v>136</v>
      </c>
      <c r="H86" s="7"/>
      <c r="I86" s="7"/>
      <c r="J86" s="7"/>
      <c r="K86" s="7"/>
      <c r="L86" s="7">
        <v>3498696</v>
      </c>
      <c r="M86" s="22">
        <v>44893</v>
      </c>
      <c r="N86" s="8" t="s">
        <v>189</v>
      </c>
      <c r="O86" s="8"/>
      <c r="P86" s="7">
        <v>1080</v>
      </c>
      <c r="Q86" s="7">
        <v>1361525.46</v>
      </c>
      <c r="R86" s="7">
        <v>87089500</v>
      </c>
      <c r="S86" s="7">
        <v>5</v>
      </c>
      <c r="T86" s="7" t="s">
        <v>267</v>
      </c>
      <c r="U86" s="7" t="s">
        <v>178</v>
      </c>
      <c r="V86" s="6">
        <f t="shared" si="15"/>
        <v>68076.273000000001</v>
      </c>
      <c r="W86" s="6">
        <f t="shared" si="16"/>
        <v>6807.6273000000001</v>
      </c>
      <c r="X86" s="6">
        <f t="shared" si="17"/>
        <v>74883.900300000008</v>
      </c>
      <c r="Y86" s="6">
        <f t="shared" si="18"/>
        <v>69.336944722222228</v>
      </c>
      <c r="Z86" s="6">
        <f t="shared" si="19"/>
        <v>1260.6717222222221</v>
      </c>
      <c r="AA86" s="9">
        <f t="shared" si="20"/>
        <v>1080</v>
      </c>
      <c r="AB86" s="10">
        <v>0</v>
      </c>
      <c r="AC86" s="11">
        <f t="shared" si="22"/>
        <v>0</v>
      </c>
      <c r="AD86" s="12">
        <f t="shared" si="21"/>
        <v>1080</v>
      </c>
      <c r="AE86" s="13">
        <f t="shared" si="24"/>
        <v>0</v>
      </c>
    </row>
    <row r="87" spans="1:31">
      <c r="A87" s="6">
        <v>3</v>
      </c>
      <c r="B87" s="6">
        <f t="shared" si="23"/>
        <v>20</v>
      </c>
      <c r="C87" s="6" t="str">
        <f t="shared" si="14"/>
        <v>650557200GCUSHION, FOLDED, C AND S HONDA 2JX3322516448811800</v>
      </c>
      <c r="D87" s="6" t="s">
        <v>215</v>
      </c>
      <c r="E87" s="6" t="s">
        <v>159</v>
      </c>
      <c r="F87" s="6"/>
      <c r="G87" s="7" t="s">
        <v>136</v>
      </c>
      <c r="H87" s="7"/>
      <c r="I87" s="7"/>
      <c r="J87" s="7"/>
      <c r="K87" s="7"/>
      <c r="L87" s="7">
        <v>3322516</v>
      </c>
      <c r="M87" s="22">
        <v>44881</v>
      </c>
      <c r="N87" s="8" t="s">
        <v>184</v>
      </c>
      <c r="O87" s="8"/>
      <c r="P87" s="7">
        <v>1800</v>
      </c>
      <c r="Q87" s="7">
        <v>2319294.85</v>
      </c>
      <c r="R87" s="7">
        <v>87089500</v>
      </c>
      <c r="S87" s="7">
        <v>5</v>
      </c>
      <c r="T87" s="7" t="s">
        <v>267</v>
      </c>
      <c r="U87" s="7" t="s">
        <v>178</v>
      </c>
      <c r="V87" s="6">
        <f t="shared" si="15"/>
        <v>115964.74250000001</v>
      </c>
      <c r="W87" s="6">
        <f t="shared" si="16"/>
        <v>11596.474250000001</v>
      </c>
      <c r="X87" s="6">
        <f t="shared" si="17"/>
        <v>127561.21675000001</v>
      </c>
      <c r="Y87" s="6">
        <f t="shared" si="18"/>
        <v>70.867342638888886</v>
      </c>
      <c r="Z87" s="6">
        <f t="shared" si="19"/>
        <v>1288.4971388888889</v>
      </c>
      <c r="AA87" s="9">
        <f t="shared" si="20"/>
        <v>1800</v>
      </c>
      <c r="AB87" s="10">
        <v>0</v>
      </c>
      <c r="AC87" s="11">
        <f t="shared" si="22"/>
        <v>0</v>
      </c>
      <c r="AD87" s="12">
        <f t="shared" si="21"/>
        <v>1800</v>
      </c>
      <c r="AE87" s="13">
        <f t="shared" si="24"/>
        <v>0</v>
      </c>
    </row>
    <row r="88" spans="1:31">
      <c r="A88" s="6">
        <v>3</v>
      </c>
      <c r="B88" s="6">
        <f t="shared" si="23"/>
        <v>21</v>
      </c>
      <c r="C88" s="6" t="str">
        <f t="shared" si="14"/>
        <v>650557200GCUSHION, FOLDED, C AND S HONDA 2JX3460410448902160</v>
      </c>
      <c r="D88" s="6" t="s">
        <v>215</v>
      </c>
      <c r="E88" s="6" t="s">
        <v>159</v>
      </c>
      <c r="F88" s="6"/>
      <c r="G88" s="7" t="s">
        <v>136</v>
      </c>
      <c r="H88" s="7"/>
      <c r="I88" s="7"/>
      <c r="J88" s="7"/>
      <c r="K88" s="7"/>
      <c r="L88" s="7">
        <v>3460410</v>
      </c>
      <c r="M88" s="22">
        <v>44890</v>
      </c>
      <c r="N88" s="8" t="s">
        <v>184</v>
      </c>
      <c r="O88" s="8"/>
      <c r="P88" s="7">
        <v>2160</v>
      </c>
      <c r="Q88" s="7">
        <v>2624382.73</v>
      </c>
      <c r="R88" s="7">
        <v>87089500</v>
      </c>
      <c r="S88" s="7">
        <v>5</v>
      </c>
      <c r="T88" s="7" t="s">
        <v>256</v>
      </c>
      <c r="U88" s="7" t="s">
        <v>178</v>
      </c>
      <c r="V88" s="6">
        <f t="shared" si="15"/>
        <v>131219.13649999999</v>
      </c>
      <c r="W88" s="6">
        <f t="shared" si="16"/>
        <v>13121.91365</v>
      </c>
      <c r="X88" s="6">
        <f t="shared" si="17"/>
        <v>144341.05015</v>
      </c>
      <c r="Y88" s="6">
        <f t="shared" si="18"/>
        <v>66.824560254629631</v>
      </c>
      <c r="Z88" s="6">
        <f t="shared" si="19"/>
        <v>1214.9920046296297</v>
      </c>
      <c r="AA88" s="9">
        <f t="shared" si="20"/>
        <v>2160</v>
      </c>
      <c r="AB88" s="10">
        <v>0</v>
      </c>
      <c r="AC88" s="11">
        <f t="shared" si="22"/>
        <v>0</v>
      </c>
      <c r="AD88" s="12">
        <f t="shared" si="21"/>
        <v>2160</v>
      </c>
      <c r="AE88" s="13">
        <f t="shared" si="24"/>
        <v>0</v>
      </c>
    </row>
    <row r="89" spans="1:31">
      <c r="A89" s="6">
        <v>3</v>
      </c>
      <c r="B89" s="6">
        <f t="shared" si="23"/>
        <v>22</v>
      </c>
      <c r="C89" s="6" t="str">
        <f t="shared" si="14"/>
        <v>650557200GCUSHION, FOLDED, C AND S HONDA 2JX371647044908720</v>
      </c>
      <c r="D89" s="6" t="s">
        <v>215</v>
      </c>
      <c r="E89" s="6" t="s">
        <v>159</v>
      </c>
      <c r="F89" s="6"/>
      <c r="G89" s="7" t="s">
        <v>136</v>
      </c>
      <c r="H89" s="7"/>
      <c r="I89" s="7"/>
      <c r="J89" s="7"/>
      <c r="K89" s="7"/>
      <c r="L89" s="7">
        <v>3716470</v>
      </c>
      <c r="M89" s="22">
        <v>44908</v>
      </c>
      <c r="N89" s="8" t="s">
        <v>189</v>
      </c>
      <c r="O89" s="8"/>
      <c r="P89" s="7">
        <v>720</v>
      </c>
      <c r="Q89" s="7">
        <v>882387.25</v>
      </c>
      <c r="R89" s="7">
        <v>87089500</v>
      </c>
      <c r="S89" s="7">
        <v>5</v>
      </c>
      <c r="T89" s="7" t="s">
        <v>267</v>
      </c>
      <c r="U89" s="7" t="s">
        <v>178</v>
      </c>
      <c r="V89" s="6">
        <f t="shared" si="15"/>
        <v>44119.362500000003</v>
      </c>
      <c r="W89" s="6">
        <f t="shared" si="16"/>
        <v>4411.9362500000007</v>
      </c>
      <c r="X89" s="6">
        <f t="shared" si="17"/>
        <v>48531.298750000002</v>
      </c>
      <c r="Y89" s="6">
        <f t="shared" si="18"/>
        <v>67.404581597222219</v>
      </c>
      <c r="Z89" s="6">
        <f t="shared" si="19"/>
        <v>1225.5378472222221</v>
      </c>
      <c r="AA89" s="9">
        <f t="shared" si="20"/>
        <v>720</v>
      </c>
      <c r="AB89" s="10">
        <v>0</v>
      </c>
      <c r="AC89" s="11">
        <f t="shared" si="22"/>
        <v>0</v>
      </c>
      <c r="AD89" s="12">
        <f t="shared" si="21"/>
        <v>720</v>
      </c>
      <c r="AE89" s="13">
        <f t="shared" si="24"/>
        <v>0</v>
      </c>
    </row>
    <row r="90" spans="1:31">
      <c r="A90" s="6">
        <v>3</v>
      </c>
      <c r="B90" s="6">
        <f t="shared" si="23"/>
        <v>23</v>
      </c>
      <c r="C90" s="6" t="str">
        <f t="shared" si="14"/>
        <v>655931500AARMATURE, MONOBLOCK ASW4, HYUNDAI BC3-CUV3353058448834860</v>
      </c>
      <c r="D90" s="6" t="s">
        <v>215</v>
      </c>
      <c r="E90" s="6" t="s">
        <v>157</v>
      </c>
      <c r="F90" s="6"/>
      <c r="G90" s="7" t="s">
        <v>134</v>
      </c>
      <c r="H90" s="7"/>
      <c r="I90" s="7"/>
      <c r="J90" s="7"/>
      <c r="K90" s="7"/>
      <c r="L90" s="7">
        <v>3353058</v>
      </c>
      <c r="M90" s="22">
        <v>44883</v>
      </c>
      <c r="N90" s="8" t="s">
        <v>184</v>
      </c>
      <c r="O90" s="8"/>
      <c r="P90" s="7">
        <v>4860</v>
      </c>
      <c r="Q90" s="7">
        <v>2360668.77</v>
      </c>
      <c r="R90" s="7">
        <v>87089400</v>
      </c>
      <c r="S90" s="7">
        <v>15</v>
      </c>
      <c r="T90" s="7" t="s">
        <v>186</v>
      </c>
      <c r="U90" s="7" t="s">
        <v>178</v>
      </c>
      <c r="V90" s="6">
        <f t="shared" si="15"/>
        <v>354100.31549999997</v>
      </c>
      <c r="W90" s="6">
        <f t="shared" si="16"/>
        <v>35410.03155</v>
      </c>
      <c r="X90" s="6">
        <f t="shared" si="17"/>
        <v>389510.34704999998</v>
      </c>
      <c r="Y90" s="6">
        <f t="shared" si="18"/>
        <v>80.146161944444444</v>
      </c>
      <c r="Z90" s="6">
        <f t="shared" si="19"/>
        <v>485.73431481481481</v>
      </c>
      <c r="AA90" s="9">
        <f t="shared" si="20"/>
        <v>4860</v>
      </c>
      <c r="AB90" s="10">
        <v>0</v>
      </c>
      <c r="AC90" s="11">
        <f t="shared" si="22"/>
        <v>0</v>
      </c>
      <c r="AD90" s="12">
        <f t="shared" si="21"/>
        <v>4860</v>
      </c>
      <c r="AE90" s="13">
        <f t="shared" si="24"/>
        <v>0</v>
      </c>
    </row>
    <row r="91" spans="1:31">
      <c r="A91" s="6">
        <v>3</v>
      </c>
      <c r="B91" s="6">
        <f t="shared" si="23"/>
        <v>24</v>
      </c>
      <c r="C91" s="6" t="str">
        <f t="shared" si="14"/>
        <v>651166400CSPRING, COIL, UPPER 37875394491335000</v>
      </c>
      <c r="D91" s="6" t="s">
        <v>215</v>
      </c>
      <c r="E91" s="6" t="s">
        <v>170</v>
      </c>
      <c r="F91" s="6"/>
      <c r="G91" s="7" t="s">
        <v>148</v>
      </c>
      <c r="H91" s="7"/>
      <c r="I91" s="7"/>
      <c r="J91" s="7"/>
      <c r="K91" s="7"/>
      <c r="L91" s="7">
        <v>3787539</v>
      </c>
      <c r="M91" s="22">
        <v>44913</v>
      </c>
      <c r="N91" s="8" t="s">
        <v>180</v>
      </c>
      <c r="O91" s="8"/>
      <c r="P91" s="7">
        <v>35000</v>
      </c>
      <c r="Q91" s="7">
        <v>70892.09</v>
      </c>
      <c r="R91" s="7">
        <v>87089900</v>
      </c>
      <c r="S91" s="7">
        <v>15</v>
      </c>
      <c r="T91" s="7" t="s">
        <v>188</v>
      </c>
      <c r="U91" s="7" t="s">
        <v>178</v>
      </c>
      <c r="V91" s="6">
        <f t="shared" si="15"/>
        <v>10633.813499999998</v>
      </c>
      <c r="W91" s="6">
        <f t="shared" si="16"/>
        <v>1063.3813499999999</v>
      </c>
      <c r="X91" s="6">
        <f t="shared" si="17"/>
        <v>11697.194849999998</v>
      </c>
      <c r="Y91" s="6">
        <f t="shared" si="18"/>
        <v>0.3342055671428571</v>
      </c>
      <c r="Z91" s="6">
        <f t="shared" si="19"/>
        <v>2.0254882857142857</v>
      </c>
      <c r="AA91" s="9">
        <f t="shared" si="20"/>
        <v>35000</v>
      </c>
      <c r="AB91" s="10">
        <v>8696</v>
      </c>
      <c r="AC91" s="11">
        <f t="shared" si="22"/>
        <v>2906.2516118742851</v>
      </c>
      <c r="AD91" s="12">
        <f t="shared" si="21"/>
        <v>35000</v>
      </c>
      <c r="AE91" s="13">
        <f t="shared" si="24"/>
        <v>0</v>
      </c>
    </row>
    <row r="92" spans="1:31">
      <c r="A92" s="6">
        <v>3</v>
      </c>
      <c r="B92" s="6">
        <f t="shared" si="23"/>
        <v>25</v>
      </c>
      <c r="C92" s="6" t="str">
        <f t="shared" si="14"/>
        <v>651409900ASCREW, STD METRIC M6 HEXALOBULAR INTERNAL, T457046134504360000</v>
      </c>
      <c r="D92" s="6" t="s">
        <v>215</v>
      </c>
      <c r="E92" s="6" t="s">
        <v>168</v>
      </c>
      <c r="F92" s="6"/>
      <c r="G92" s="7" t="s">
        <v>146</v>
      </c>
      <c r="H92" s="7"/>
      <c r="I92" s="7"/>
      <c r="J92" s="7"/>
      <c r="K92" s="7"/>
      <c r="L92" s="7">
        <v>5704613</v>
      </c>
      <c r="M92" s="22">
        <v>45043</v>
      </c>
      <c r="N92" s="8" t="s">
        <v>182</v>
      </c>
      <c r="O92" s="8"/>
      <c r="P92" s="7">
        <v>60000</v>
      </c>
      <c r="Q92" s="7">
        <v>203214.49</v>
      </c>
      <c r="R92" s="7">
        <v>87089500</v>
      </c>
      <c r="S92" s="7">
        <v>15</v>
      </c>
      <c r="T92" s="7" t="s">
        <v>183</v>
      </c>
      <c r="U92" s="7" t="s">
        <v>178</v>
      </c>
      <c r="V92" s="6">
        <f t="shared" si="15"/>
        <v>30482.173499999997</v>
      </c>
      <c r="W92" s="6">
        <f t="shared" si="16"/>
        <v>3048.2173499999999</v>
      </c>
      <c r="X92" s="6">
        <f t="shared" si="17"/>
        <v>33530.390849999996</v>
      </c>
      <c r="Y92" s="6">
        <f t="shared" si="18"/>
        <v>0.55883984749999993</v>
      </c>
      <c r="Z92" s="6">
        <f t="shared" si="19"/>
        <v>3.3869081666666667</v>
      </c>
      <c r="AA92" s="9">
        <f t="shared" si="20"/>
        <v>60000</v>
      </c>
      <c r="AB92" s="10">
        <v>21592</v>
      </c>
      <c r="AC92" s="11">
        <f t="shared" si="22"/>
        <v>12066.469987219998</v>
      </c>
      <c r="AD92" s="12">
        <f t="shared" si="21"/>
        <v>60000</v>
      </c>
      <c r="AE92" s="13">
        <f t="shared" si="24"/>
        <v>0</v>
      </c>
    </row>
    <row r="93" spans="1:31">
      <c r="A93" s="6">
        <v>3</v>
      </c>
      <c r="B93" s="6">
        <f t="shared" si="23"/>
        <v>26</v>
      </c>
      <c r="C93" s="6" t="str">
        <f t="shared" si="14"/>
        <v>651409900ASCREW, STD METRIC M6 HEXALOBULAR INTERNAL, T453335284501730000</v>
      </c>
      <c r="D93" s="6" t="s">
        <v>215</v>
      </c>
      <c r="E93" s="6" t="s">
        <v>168</v>
      </c>
      <c r="F93" s="6"/>
      <c r="G93" s="7" t="s">
        <v>146</v>
      </c>
      <c r="H93" s="7"/>
      <c r="I93" s="7"/>
      <c r="J93" s="7"/>
      <c r="K93" s="7"/>
      <c r="L93" s="7">
        <v>5333528</v>
      </c>
      <c r="M93" s="22">
        <v>45017</v>
      </c>
      <c r="N93" s="8" t="s">
        <v>189</v>
      </c>
      <c r="O93" s="8"/>
      <c r="P93" s="7">
        <v>30000</v>
      </c>
      <c r="Q93" s="7">
        <v>100400.94</v>
      </c>
      <c r="R93" s="7">
        <v>87089500</v>
      </c>
      <c r="S93" s="7">
        <v>15</v>
      </c>
      <c r="T93" s="7" t="s">
        <v>183</v>
      </c>
      <c r="U93" s="7" t="s">
        <v>178</v>
      </c>
      <c r="V93" s="6">
        <f t="shared" si="15"/>
        <v>15060.141</v>
      </c>
      <c r="W93" s="6">
        <f t="shared" si="16"/>
        <v>1506.0141000000001</v>
      </c>
      <c r="X93" s="6">
        <f t="shared" si="17"/>
        <v>16566.1551</v>
      </c>
      <c r="Y93" s="6">
        <f t="shared" si="18"/>
        <v>0.55220517000000002</v>
      </c>
      <c r="Z93" s="6">
        <f t="shared" si="19"/>
        <v>3.346698</v>
      </c>
      <c r="AA93" s="9">
        <f t="shared" si="20"/>
        <v>30000</v>
      </c>
      <c r="AB93" s="10">
        <v>0</v>
      </c>
      <c r="AC93" s="11">
        <f t="shared" si="22"/>
        <v>0</v>
      </c>
      <c r="AD93" s="12">
        <f t="shared" si="21"/>
        <v>30000</v>
      </c>
      <c r="AE93" s="13">
        <f t="shared" si="24"/>
        <v>0</v>
      </c>
    </row>
    <row r="94" spans="1:31">
      <c r="A94" s="6">
        <v>3</v>
      </c>
      <c r="B94" s="6">
        <f t="shared" si="23"/>
        <v>27</v>
      </c>
      <c r="C94" s="6" t="str">
        <f t="shared" si="14"/>
        <v>651409900ASCREW, STD METRIC M6 HEXALOBULAR INTERNAL, T453335284501730000</v>
      </c>
      <c r="D94" s="6" t="s">
        <v>215</v>
      </c>
      <c r="E94" s="6" t="s">
        <v>168</v>
      </c>
      <c r="F94" s="6"/>
      <c r="G94" s="7" t="s">
        <v>146</v>
      </c>
      <c r="H94" s="7"/>
      <c r="I94" s="7"/>
      <c r="J94" s="7"/>
      <c r="K94" s="7"/>
      <c r="L94" s="7">
        <v>5333528</v>
      </c>
      <c r="M94" s="22">
        <v>45017</v>
      </c>
      <c r="N94" s="8" t="s">
        <v>189</v>
      </c>
      <c r="O94" s="8"/>
      <c r="P94" s="7">
        <v>30000</v>
      </c>
      <c r="Q94" s="7">
        <v>100400.94</v>
      </c>
      <c r="R94" s="7">
        <v>87089500</v>
      </c>
      <c r="S94" s="7">
        <v>15</v>
      </c>
      <c r="T94" s="7" t="s">
        <v>183</v>
      </c>
      <c r="U94" s="7" t="s">
        <v>178</v>
      </c>
      <c r="V94" s="6">
        <f t="shared" si="15"/>
        <v>15060.141</v>
      </c>
      <c r="W94" s="6">
        <f t="shared" si="16"/>
        <v>1506.0141000000001</v>
      </c>
      <c r="X94" s="6">
        <f t="shared" si="17"/>
        <v>16566.1551</v>
      </c>
      <c r="Y94" s="6">
        <f t="shared" si="18"/>
        <v>0.55220517000000002</v>
      </c>
      <c r="Z94" s="6">
        <f t="shared" si="19"/>
        <v>3.346698</v>
      </c>
      <c r="AA94" s="9">
        <f t="shared" si="20"/>
        <v>30000</v>
      </c>
      <c r="AB94" s="10">
        <v>0</v>
      </c>
      <c r="AC94" s="11">
        <f t="shared" si="22"/>
        <v>0</v>
      </c>
      <c r="AD94" s="12">
        <f t="shared" si="21"/>
        <v>30000</v>
      </c>
      <c r="AE94" s="13">
        <f t="shared" si="24"/>
        <v>0</v>
      </c>
    </row>
    <row r="95" spans="1:31">
      <c r="A95" s="6">
        <v>3</v>
      </c>
      <c r="B95" s="6">
        <f t="shared" si="23"/>
        <v>28</v>
      </c>
      <c r="C95" s="6" t="str">
        <f t="shared" si="14"/>
        <v>655818900BACTUATOR VIBRATION MOTOR ASSY WITH BRACKET BC3 CU3903064449194800</v>
      </c>
      <c r="D95" s="6" t="s">
        <v>215</v>
      </c>
      <c r="E95" s="6" t="s">
        <v>156</v>
      </c>
      <c r="F95" s="6"/>
      <c r="G95" s="7" t="s">
        <v>133</v>
      </c>
      <c r="H95" s="7"/>
      <c r="I95" s="7"/>
      <c r="J95" s="7"/>
      <c r="K95" s="7"/>
      <c r="L95" s="7">
        <v>3903064</v>
      </c>
      <c r="M95" s="22">
        <v>44919</v>
      </c>
      <c r="N95" s="8" t="s">
        <v>180</v>
      </c>
      <c r="O95" s="8"/>
      <c r="P95" s="7">
        <v>4800</v>
      </c>
      <c r="Q95" s="7">
        <v>1681595.88</v>
      </c>
      <c r="R95" s="7">
        <v>85011019</v>
      </c>
      <c r="S95" s="7">
        <v>10</v>
      </c>
      <c r="T95" s="7" t="s">
        <v>254</v>
      </c>
      <c r="U95" s="7" t="s">
        <v>178</v>
      </c>
      <c r="V95" s="6">
        <f t="shared" si="15"/>
        <v>168159.58799999999</v>
      </c>
      <c r="W95" s="6">
        <f t="shared" si="16"/>
        <v>16815.9588</v>
      </c>
      <c r="X95" s="6">
        <f t="shared" si="17"/>
        <v>184975.54679999998</v>
      </c>
      <c r="Y95" s="6">
        <f t="shared" si="18"/>
        <v>38.536572249999999</v>
      </c>
      <c r="Z95" s="6">
        <f t="shared" si="19"/>
        <v>350.33247499999999</v>
      </c>
      <c r="AA95" s="9">
        <f t="shared" si="20"/>
        <v>4800</v>
      </c>
      <c r="AB95" s="10">
        <v>3920</v>
      </c>
      <c r="AC95" s="11">
        <f t="shared" si="22"/>
        <v>151063.36322</v>
      </c>
      <c r="AD95" s="12">
        <f t="shared" si="21"/>
        <v>4800</v>
      </c>
      <c r="AE95" s="13">
        <f t="shared" si="24"/>
        <v>0</v>
      </c>
    </row>
    <row r="96" spans="1:31">
      <c r="A96" s="6">
        <v>3</v>
      </c>
      <c r="B96" s="6">
        <f t="shared" si="23"/>
        <v>29</v>
      </c>
      <c r="C96" s="6" t="str">
        <f t="shared" si="14"/>
        <v>655931500AARMATURE, MONOBLOCK ASW4, HYUNDAI BC3-CUV4266591449461620</v>
      </c>
      <c r="D96" s="6" t="s">
        <v>215</v>
      </c>
      <c r="E96" s="6" t="s">
        <v>157</v>
      </c>
      <c r="F96" s="6"/>
      <c r="G96" s="7" t="s">
        <v>134</v>
      </c>
      <c r="H96" s="7"/>
      <c r="I96" s="7"/>
      <c r="J96" s="7"/>
      <c r="K96" s="7"/>
      <c r="L96" s="7">
        <v>4266591</v>
      </c>
      <c r="M96" s="22">
        <v>44946</v>
      </c>
      <c r="N96" s="8" t="s">
        <v>184</v>
      </c>
      <c r="O96" s="8"/>
      <c r="P96" s="7">
        <v>1620</v>
      </c>
      <c r="Q96" s="7">
        <v>815501.32</v>
      </c>
      <c r="R96" s="7">
        <v>87089400</v>
      </c>
      <c r="S96" s="7">
        <v>15</v>
      </c>
      <c r="T96" s="7" t="s">
        <v>186</v>
      </c>
      <c r="U96" s="7" t="s">
        <v>178</v>
      </c>
      <c r="V96" s="6">
        <f t="shared" si="15"/>
        <v>122325.19799999999</v>
      </c>
      <c r="W96" s="6">
        <f t="shared" si="16"/>
        <v>12232.5198</v>
      </c>
      <c r="X96" s="6">
        <f t="shared" si="17"/>
        <v>134557.71779999998</v>
      </c>
      <c r="Y96" s="6">
        <f t="shared" si="18"/>
        <v>83.060319629629618</v>
      </c>
      <c r="Z96" s="6">
        <f t="shared" si="19"/>
        <v>503.39587654320985</v>
      </c>
      <c r="AA96" s="9">
        <f t="shared" si="20"/>
        <v>1620</v>
      </c>
      <c r="AB96" s="10">
        <v>677</v>
      </c>
      <c r="AC96" s="11">
        <f t="shared" si="22"/>
        <v>56231.836389259253</v>
      </c>
      <c r="AD96" s="12">
        <f t="shared" si="21"/>
        <v>1620</v>
      </c>
      <c r="AE96" s="13">
        <f t="shared" si="24"/>
        <v>0</v>
      </c>
    </row>
    <row r="97" spans="1:31">
      <c r="A97" s="6">
        <v>3</v>
      </c>
      <c r="B97" s="6">
        <f t="shared" si="23"/>
        <v>30</v>
      </c>
      <c r="C97" s="6" t="str">
        <f t="shared" si="14"/>
        <v>655931500AARMATURE, MONOBLOCK ASW4, HYUNDAI BC3-CUV4287227449471620</v>
      </c>
      <c r="D97" s="6" t="s">
        <v>215</v>
      </c>
      <c r="E97" s="6" t="s">
        <v>157</v>
      </c>
      <c r="F97" s="6"/>
      <c r="G97" s="7" t="s">
        <v>134</v>
      </c>
      <c r="H97" s="7"/>
      <c r="I97" s="7"/>
      <c r="J97" s="7"/>
      <c r="K97" s="7"/>
      <c r="L97" s="7">
        <v>4287227</v>
      </c>
      <c r="M97" s="22">
        <v>44947</v>
      </c>
      <c r="N97" s="8" t="s">
        <v>184</v>
      </c>
      <c r="O97" s="8"/>
      <c r="P97" s="7">
        <v>1620</v>
      </c>
      <c r="Q97" s="7">
        <v>836155.72</v>
      </c>
      <c r="R97" s="7">
        <v>87089400</v>
      </c>
      <c r="S97" s="7">
        <v>15</v>
      </c>
      <c r="T97" s="7" t="s">
        <v>186</v>
      </c>
      <c r="U97" s="7" t="s">
        <v>178</v>
      </c>
      <c r="V97" s="6">
        <f t="shared" si="15"/>
        <v>125423.35799999999</v>
      </c>
      <c r="W97" s="6">
        <f t="shared" si="16"/>
        <v>12542.335800000001</v>
      </c>
      <c r="X97" s="6">
        <f t="shared" si="17"/>
        <v>137965.69380000001</v>
      </c>
      <c r="Y97" s="6">
        <f t="shared" si="18"/>
        <v>85.164008518518528</v>
      </c>
      <c r="Z97" s="6">
        <f t="shared" si="19"/>
        <v>516.14550617283953</v>
      </c>
      <c r="AA97" s="9">
        <f t="shared" si="20"/>
        <v>1620</v>
      </c>
      <c r="AB97" s="10">
        <v>1620</v>
      </c>
      <c r="AC97" s="11">
        <f t="shared" si="22"/>
        <v>137965.69380000001</v>
      </c>
      <c r="AD97" s="12">
        <f t="shared" si="21"/>
        <v>1620</v>
      </c>
      <c r="AE97" s="13">
        <f t="shared" si="24"/>
        <v>0</v>
      </c>
    </row>
    <row r="98" spans="1:31">
      <c r="A98" s="6">
        <v>3</v>
      </c>
      <c r="B98" s="6">
        <f t="shared" si="23"/>
        <v>31</v>
      </c>
      <c r="C98" s="6" t="str">
        <f t="shared" si="14"/>
        <v>652466500ALEATHER, HIDE TOP GRAIN, OBSIDIAN BLACK, NNB, BLA518341645008508.51</v>
      </c>
      <c r="D98" s="6" t="s">
        <v>215</v>
      </c>
      <c r="E98" s="6" t="s">
        <v>163</v>
      </c>
      <c r="F98" s="6"/>
      <c r="G98" s="7" t="s">
        <v>141</v>
      </c>
      <c r="H98" s="7"/>
      <c r="I98" s="7"/>
      <c r="J98" s="7"/>
      <c r="K98" s="7"/>
      <c r="L98" s="7">
        <v>5183416</v>
      </c>
      <c r="M98" s="22">
        <v>45008</v>
      </c>
      <c r="N98" s="8" t="s">
        <v>184</v>
      </c>
      <c r="O98" s="8"/>
      <c r="P98" s="7">
        <v>508.51</v>
      </c>
      <c r="Q98" s="7">
        <v>1315332.52</v>
      </c>
      <c r="R98" s="7">
        <v>41071200</v>
      </c>
      <c r="S98" s="7">
        <v>0</v>
      </c>
      <c r="T98" s="7" t="s">
        <v>270</v>
      </c>
      <c r="U98" s="7" t="s">
        <v>178</v>
      </c>
      <c r="V98" s="6">
        <f t="shared" si="15"/>
        <v>0</v>
      </c>
      <c r="W98" s="6">
        <f t="shared" si="16"/>
        <v>0</v>
      </c>
      <c r="X98" s="6">
        <f t="shared" si="17"/>
        <v>0</v>
      </c>
      <c r="Y98" s="6">
        <f t="shared" si="18"/>
        <v>0</v>
      </c>
      <c r="Z98" s="6">
        <f t="shared" si="19"/>
        <v>2586.6404200507363</v>
      </c>
      <c r="AA98" s="9">
        <f t="shared" si="20"/>
        <v>508.51</v>
      </c>
      <c r="AB98" s="10">
        <v>178.17</v>
      </c>
      <c r="AC98" s="11">
        <f t="shared" si="22"/>
        <v>0</v>
      </c>
      <c r="AD98" s="12">
        <f t="shared" si="21"/>
        <v>508.16999999999996</v>
      </c>
      <c r="AE98" s="13">
        <f t="shared" si="24"/>
        <v>0.34000000000003183</v>
      </c>
    </row>
    <row r="99" spans="1:31">
      <c r="A99" s="6">
        <v>3</v>
      </c>
      <c r="B99" s="6">
        <f t="shared" si="23"/>
        <v>32</v>
      </c>
      <c r="C99" s="6" t="str">
        <f t="shared" si="14"/>
        <v>628408700ASCREW, STANDARD, METRIC, M5, HEXALOBULAR INTERNAL47679234498060000</v>
      </c>
      <c r="D99" s="6" t="s">
        <v>215</v>
      </c>
      <c r="E99" s="6" t="s">
        <v>167</v>
      </c>
      <c r="F99" s="6"/>
      <c r="G99" s="7" t="s">
        <v>145</v>
      </c>
      <c r="H99" s="7"/>
      <c r="I99" s="7"/>
      <c r="J99" s="7"/>
      <c r="K99" s="7"/>
      <c r="L99" s="7">
        <v>4767923</v>
      </c>
      <c r="M99" s="22">
        <v>44980</v>
      </c>
      <c r="N99" s="8" t="s">
        <v>189</v>
      </c>
      <c r="O99" s="8"/>
      <c r="P99" s="7">
        <v>60000</v>
      </c>
      <c r="Q99" s="7">
        <v>309545.81</v>
      </c>
      <c r="R99" s="7">
        <v>87089900</v>
      </c>
      <c r="S99" s="7">
        <v>15</v>
      </c>
      <c r="T99" s="7" t="s">
        <v>271</v>
      </c>
      <c r="U99" s="7" t="s">
        <v>178</v>
      </c>
      <c r="V99" s="6">
        <f t="shared" si="15"/>
        <v>46431.871500000001</v>
      </c>
      <c r="W99" s="6">
        <f t="shared" si="16"/>
        <v>4643.1871500000007</v>
      </c>
      <c r="X99" s="6">
        <f t="shared" si="17"/>
        <v>51075.058649999999</v>
      </c>
      <c r="Y99" s="6">
        <f t="shared" si="18"/>
        <v>0.85125097750000001</v>
      </c>
      <c r="Z99" s="6">
        <f t="shared" si="19"/>
        <v>5.1590968333333329</v>
      </c>
      <c r="AA99" s="9">
        <f t="shared" si="20"/>
        <v>60000</v>
      </c>
      <c r="AB99" s="10">
        <v>28704</v>
      </c>
      <c r="AC99" s="11">
        <f t="shared" si="22"/>
        <v>24434.308058160001</v>
      </c>
      <c r="AD99" s="12">
        <f t="shared" si="21"/>
        <v>60000</v>
      </c>
      <c r="AE99" s="13">
        <f t="shared" si="24"/>
        <v>0</v>
      </c>
    </row>
    <row r="100" spans="1:31">
      <c r="A100" s="6">
        <v>3</v>
      </c>
      <c r="B100" s="6">
        <f t="shared" si="23"/>
        <v>33</v>
      </c>
      <c r="C100" s="6" t="str">
        <f t="shared" si="14"/>
        <v>651015300BELEMENT, HEATER, HYBRID 4434700449573360</v>
      </c>
      <c r="D100" s="6" t="s">
        <v>215</v>
      </c>
      <c r="E100" s="6" t="s">
        <v>155</v>
      </c>
      <c r="F100" s="6"/>
      <c r="G100" s="7" t="s">
        <v>137</v>
      </c>
      <c r="H100" s="7"/>
      <c r="I100" s="7"/>
      <c r="J100" s="7"/>
      <c r="K100" s="7"/>
      <c r="L100" s="7">
        <v>4434700</v>
      </c>
      <c r="M100" s="22">
        <v>44957</v>
      </c>
      <c r="N100" s="8" t="s">
        <v>189</v>
      </c>
      <c r="O100" s="8"/>
      <c r="P100" s="7">
        <v>3360</v>
      </c>
      <c r="Q100" s="7">
        <v>1864351.04</v>
      </c>
      <c r="R100" s="7">
        <v>87089400</v>
      </c>
      <c r="S100" s="7">
        <v>15</v>
      </c>
      <c r="T100" s="7" t="s">
        <v>257</v>
      </c>
      <c r="U100" s="7" t="s">
        <v>178</v>
      </c>
      <c r="V100" s="6">
        <f t="shared" si="15"/>
        <v>279652.65600000002</v>
      </c>
      <c r="W100" s="6">
        <f t="shared" si="16"/>
        <v>27965.265600000002</v>
      </c>
      <c r="X100" s="6">
        <f t="shared" si="17"/>
        <v>307617.9216</v>
      </c>
      <c r="Y100" s="6">
        <f t="shared" si="18"/>
        <v>91.552952857142856</v>
      </c>
      <c r="Z100" s="6">
        <f t="shared" si="19"/>
        <v>554.86638095238095</v>
      </c>
      <c r="AA100" s="9">
        <f t="shared" si="20"/>
        <v>3360</v>
      </c>
      <c r="AB100" s="10">
        <v>2650</v>
      </c>
      <c r="AC100" s="11">
        <f t="shared" si="22"/>
        <v>242615.32507142855</v>
      </c>
      <c r="AD100" s="12">
        <f t="shared" si="21"/>
        <v>3360</v>
      </c>
      <c r="AE100" s="13">
        <f t="shared" si="24"/>
        <v>0</v>
      </c>
    </row>
    <row r="101" spans="1:31">
      <c r="A101" s="6">
        <v>3</v>
      </c>
      <c r="B101" s="6">
        <f t="shared" si="23"/>
        <v>34</v>
      </c>
      <c r="C101" s="6" t="str">
        <f t="shared" si="14"/>
        <v>651166400CSPRING, COIL, UPPER 58739214505555000</v>
      </c>
      <c r="D101" s="6" t="s">
        <v>215</v>
      </c>
      <c r="E101" s="6" t="s">
        <v>170</v>
      </c>
      <c r="F101" s="6"/>
      <c r="G101" s="7" t="s">
        <v>148</v>
      </c>
      <c r="H101" s="7"/>
      <c r="I101" s="7"/>
      <c r="J101" s="7"/>
      <c r="K101" s="7"/>
      <c r="L101" s="7">
        <v>5873921</v>
      </c>
      <c r="M101" s="22">
        <v>45055</v>
      </c>
      <c r="N101" s="8" t="s">
        <v>180</v>
      </c>
      <c r="O101" s="8"/>
      <c r="P101" s="7">
        <v>55000</v>
      </c>
      <c r="Q101" s="7">
        <v>114843.51</v>
      </c>
      <c r="R101" s="7">
        <v>87089500</v>
      </c>
      <c r="S101" s="7">
        <v>15</v>
      </c>
      <c r="T101" s="7" t="s">
        <v>272</v>
      </c>
      <c r="U101" s="7" t="s">
        <v>178</v>
      </c>
      <c r="V101" s="6">
        <f t="shared" si="15"/>
        <v>17226.5265</v>
      </c>
      <c r="W101" s="6">
        <f t="shared" si="16"/>
        <v>1722.65265</v>
      </c>
      <c r="X101" s="6">
        <f t="shared" si="17"/>
        <v>18949.17915</v>
      </c>
      <c r="Y101" s="6">
        <f t="shared" si="18"/>
        <v>0.34453053</v>
      </c>
      <c r="Z101" s="6">
        <f t="shared" si="19"/>
        <v>2.0880638181818183</v>
      </c>
      <c r="AA101" s="9">
        <f t="shared" si="20"/>
        <v>55000</v>
      </c>
      <c r="AB101" s="10">
        <v>23704</v>
      </c>
      <c r="AC101" s="11">
        <f t="shared" si="22"/>
        <v>8166.7516831200001</v>
      </c>
      <c r="AD101" s="12">
        <f t="shared" si="21"/>
        <v>55000</v>
      </c>
      <c r="AE101" s="13">
        <f t="shared" si="24"/>
        <v>0</v>
      </c>
    </row>
    <row r="102" spans="1:31">
      <c r="A102" s="6">
        <v>3</v>
      </c>
      <c r="B102" s="6">
        <f t="shared" si="23"/>
        <v>35</v>
      </c>
      <c r="C102" s="6" t="str">
        <f t="shared" si="14"/>
        <v>652466500ALEATHER, HIDE TOP GRAIN, OBSIDIAN BLACK, NNB, BLA5894354450572771</v>
      </c>
      <c r="D102" s="6" t="s">
        <v>215</v>
      </c>
      <c r="E102" s="6" t="s">
        <v>163</v>
      </c>
      <c r="F102" s="6"/>
      <c r="G102" s="7" t="s">
        <v>141</v>
      </c>
      <c r="H102" s="7"/>
      <c r="I102" s="7"/>
      <c r="J102" s="7"/>
      <c r="K102" s="7"/>
      <c r="L102" s="7">
        <v>5894354</v>
      </c>
      <c r="M102" s="22">
        <v>45057</v>
      </c>
      <c r="N102" s="8" t="s">
        <v>184</v>
      </c>
      <c r="O102" s="8"/>
      <c r="P102" s="7">
        <v>2771</v>
      </c>
      <c r="Q102" s="7">
        <v>5894354</v>
      </c>
      <c r="R102" s="7">
        <v>41071200</v>
      </c>
      <c r="S102" s="7">
        <v>0</v>
      </c>
      <c r="T102" s="7" t="s">
        <v>270</v>
      </c>
      <c r="U102" s="7" t="s">
        <v>178</v>
      </c>
      <c r="V102" s="6">
        <f t="shared" si="15"/>
        <v>0</v>
      </c>
      <c r="W102" s="6">
        <f t="shared" si="16"/>
        <v>0</v>
      </c>
      <c r="X102" s="6">
        <f t="shared" si="17"/>
        <v>0</v>
      </c>
      <c r="Y102" s="6">
        <f t="shared" si="18"/>
        <v>0</v>
      </c>
      <c r="Z102" s="6">
        <f t="shared" si="19"/>
        <v>2127.1577047997112</v>
      </c>
      <c r="AA102" s="9">
        <f t="shared" si="20"/>
        <v>2771</v>
      </c>
      <c r="AB102" s="10">
        <v>2534.83</v>
      </c>
      <c r="AC102" s="11">
        <f t="shared" si="22"/>
        <v>0</v>
      </c>
      <c r="AD102" s="12">
        <f t="shared" si="21"/>
        <v>2770.83</v>
      </c>
      <c r="AE102" s="13">
        <f t="shared" si="24"/>
        <v>0.17000000000007276</v>
      </c>
    </row>
    <row r="103" spans="1:31">
      <c r="A103" s="6">
        <v>3</v>
      </c>
      <c r="B103" s="6">
        <f t="shared" si="23"/>
        <v>36</v>
      </c>
      <c r="C103" s="6" t="str">
        <f t="shared" si="14"/>
        <v>655818900BACTUATOR VIBRATION MOTOR ASSY WITH BRACKET BC3 CU79671854464214400</v>
      </c>
      <c r="D103" s="6" t="s">
        <v>215</v>
      </c>
      <c r="E103" s="6" t="s">
        <v>156</v>
      </c>
      <c r="F103" s="6"/>
      <c r="G103" s="7" t="s">
        <v>133</v>
      </c>
      <c r="H103" s="7"/>
      <c r="I103" s="7"/>
      <c r="J103" s="7"/>
      <c r="K103" s="7"/>
      <c r="L103" s="7">
        <v>7967185</v>
      </c>
      <c r="M103" s="22">
        <v>44642</v>
      </c>
      <c r="N103" s="8" t="s">
        <v>180</v>
      </c>
      <c r="O103" s="8"/>
      <c r="P103" s="7">
        <v>14400</v>
      </c>
      <c r="Q103" s="7">
        <v>4832077.17</v>
      </c>
      <c r="R103" s="7">
        <v>85011019</v>
      </c>
      <c r="S103" s="7">
        <v>10</v>
      </c>
      <c r="T103" s="7" t="s">
        <v>192</v>
      </c>
      <c r="U103" s="7" t="s">
        <v>178</v>
      </c>
      <c r="V103" s="6">
        <f t="shared" si="15"/>
        <v>483207.717</v>
      </c>
      <c r="W103" s="6">
        <f t="shared" si="16"/>
        <v>48320.771700000005</v>
      </c>
      <c r="X103" s="6">
        <f t="shared" si="17"/>
        <v>531528.48869999999</v>
      </c>
      <c r="Y103" s="6">
        <f t="shared" si="18"/>
        <v>36.911700604166668</v>
      </c>
      <c r="Z103" s="6">
        <f t="shared" si="19"/>
        <v>335.56091458333333</v>
      </c>
      <c r="AA103" s="9">
        <f t="shared" si="20"/>
        <v>14400</v>
      </c>
      <c r="AB103" s="10">
        <v>4800</v>
      </c>
      <c r="AC103" s="11">
        <f t="shared" si="22"/>
        <v>177176.1629</v>
      </c>
      <c r="AD103" s="12">
        <f t="shared" si="21"/>
        <v>14400</v>
      </c>
      <c r="AE103" s="13">
        <f t="shared" si="24"/>
        <v>0</v>
      </c>
    </row>
    <row r="104" spans="1:31">
      <c r="A104" s="6">
        <v>3</v>
      </c>
      <c r="B104" s="6">
        <f t="shared" si="23"/>
        <v>37</v>
      </c>
      <c r="C104" s="6" t="str">
        <f t="shared" si="14"/>
        <v>655818900BACTUATOR VIBRATION MOTOR ASSY WITH BRACKET BC3 CU79671854464214400</v>
      </c>
      <c r="D104" s="6" t="s">
        <v>215</v>
      </c>
      <c r="E104" s="6" t="s">
        <v>156</v>
      </c>
      <c r="F104" s="6"/>
      <c r="G104" s="7" t="s">
        <v>133</v>
      </c>
      <c r="H104" s="7"/>
      <c r="I104" s="7"/>
      <c r="J104" s="7"/>
      <c r="K104" s="7"/>
      <c r="L104" s="7">
        <v>7967185</v>
      </c>
      <c r="M104" s="22">
        <v>44642</v>
      </c>
      <c r="N104" s="8" t="s">
        <v>180</v>
      </c>
      <c r="O104" s="8"/>
      <c r="P104" s="7">
        <v>14400</v>
      </c>
      <c r="Q104" s="7">
        <v>4832077.17</v>
      </c>
      <c r="R104" s="7">
        <v>85011019</v>
      </c>
      <c r="S104" s="7">
        <v>10</v>
      </c>
      <c r="T104" s="7" t="s">
        <v>192</v>
      </c>
      <c r="U104" s="7" t="s">
        <v>178</v>
      </c>
      <c r="V104" s="6">
        <f t="shared" si="15"/>
        <v>483207.717</v>
      </c>
      <c r="W104" s="6">
        <f t="shared" si="16"/>
        <v>48320.771700000005</v>
      </c>
      <c r="X104" s="6">
        <f t="shared" si="17"/>
        <v>531528.48869999999</v>
      </c>
      <c r="Y104" s="6">
        <f t="shared" si="18"/>
        <v>36.911700604166668</v>
      </c>
      <c r="Z104" s="6">
        <f t="shared" si="19"/>
        <v>335.56091458333333</v>
      </c>
      <c r="AA104" s="9">
        <f t="shared" si="20"/>
        <v>14400</v>
      </c>
      <c r="AB104" s="10">
        <v>658</v>
      </c>
      <c r="AC104" s="11">
        <f t="shared" si="22"/>
        <v>24287.898997541666</v>
      </c>
      <c r="AD104" s="12">
        <f t="shared" si="21"/>
        <v>14400</v>
      </c>
      <c r="AE104" s="13">
        <f t="shared" si="24"/>
        <v>0</v>
      </c>
    </row>
    <row r="105" spans="1:31">
      <c r="A105" s="6">
        <v>3</v>
      </c>
      <c r="B105" s="6">
        <f t="shared" si="23"/>
        <v>38</v>
      </c>
      <c r="C105" s="6" t="str">
        <f t="shared" si="14"/>
        <v>655931500AARMATURE, MONOBLOCK ASW4, HYUNDAI BC3-CUV7843100451841620</v>
      </c>
      <c r="D105" s="6" t="s">
        <v>215</v>
      </c>
      <c r="E105" s="6" t="s">
        <v>157</v>
      </c>
      <c r="F105" s="6"/>
      <c r="G105" s="7" t="s">
        <v>134</v>
      </c>
      <c r="H105" s="7"/>
      <c r="I105" s="7"/>
      <c r="J105" s="7"/>
      <c r="K105" s="7"/>
      <c r="L105" s="7">
        <v>7843100</v>
      </c>
      <c r="M105" s="22">
        <v>45184</v>
      </c>
      <c r="N105" s="8" t="e">
        <v>#N/A</v>
      </c>
      <c r="O105" s="8"/>
      <c r="P105" s="7">
        <v>1620</v>
      </c>
      <c r="Q105" s="7">
        <v>674332.87</v>
      </c>
      <c r="R105" s="7" t="e">
        <v>#N/A</v>
      </c>
      <c r="S105" s="7">
        <v>15</v>
      </c>
      <c r="T105" s="7" t="e">
        <v>#N/A</v>
      </c>
      <c r="U105" s="7" t="e">
        <v>#N/A</v>
      </c>
      <c r="V105" s="6">
        <f t="shared" si="15"/>
        <v>101149.9305</v>
      </c>
      <c r="W105" s="6">
        <f t="shared" si="16"/>
        <v>10114.993050000001</v>
      </c>
      <c r="X105" s="6">
        <f t="shared" si="17"/>
        <v>111264.92355000001</v>
      </c>
      <c r="Y105" s="6">
        <f t="shared" si="18"/>
        <v>68.68205157407408</v>
      </c>
      <c r="Z105" s="6">
        <f t="shared" si="19"/>
        <v>416.25485802469137</v>
      </c>
      <c r="AA105" s="9">
        <f t="shared" si="20"/>
        <v>1620</v>
      </c>
      <c r="AB105" s="10">
        <v>648</v>
      </c>
      <c r="AC105" s="11">
        <f t="shared" si="22"/>
        <v>44505.969420000001</v>
      </c>
      <c r="AD105" s="12">
        <f t="shared" si="21"/>
        <v>1620</v>
      </c>
      <c r="AE105" s="13">
        <f t="shared" si="24"/>
        <v>0</v>
      </c>
    </row>
    <row r="106" spans="1:31" ht="30">
      <c r="A106" s="6">
        <v>3</v>
      </c>
      <c r="B106" s="6">
        <f t="shared" si="23"/>
        <v>39</v>
      </c>
      <c r="C106" s="6" t="str">
        <f t="shared" si="14"/>
        <v>655931500AARMATURE, MONOBLOCK ASW4, HYUNDAI BC3-CUV479481844982486</v>
      </c>
      <c r="D106" s="6" t="s">
        <v>215</v>
      </c>
      <c r="E106" s="6" t="s">
        <v>157</v>
      </c>
      <c r="F106" s="6"/>
      <c r="G106" s="7" t="s">
        <v>134</v>
      </c>
      <c r="H106" s="7"/>
      <c r="I106" s="7"/>
      <c r="J106" s="7"/>
      <c r="K106" s="7"/>
      <c r="L106" s="7">
        <v>4794818</v>
      </c>
      <c r="M106" s="22">
        <v>44982</v>
      </c>
      <c r="N106" s="8" t="s">
        <v>185</v>
      </c>
      <c r="O106" s="8"/>
      <c r="P106" s="7">
        <v>486</v>
      </c>
      <c r="Q106" s="7">
        <v>253610.65</v>
      </c>
      <c r="R106" s="7">
        <v>87089400</v>
      </c>
      <c r="S106" s="7">
        <v>15</v>
      </c>
      <c r="T106" s="7" t="s">
        <v>273</v>
      </c>
      <c r="U106" s="7" t="s">
        <v>178</v>
      </c>
      <c r="V106" s="6">
        <f t="shared" si="15"/>
        <v>38041.597499999996</v>
      </c>
      <c r="W106" s="6">
        <f t="shared" si="16"/>
        <v>3804.1597499999998</v>
      </c>
      <c r="X106" s="6">
        <f t="shared" si="17"/>
        <v>41845.757249999995</v>
      </c>
      <c r="Y106" s="6">
        <f t="shared" si="18"/>
        <v>86.1023811728395</v>
      </c>
      <c r="Z106" s="6">
        <f t="shared" si="19"/>
        <v>521.83261316872427</v>
      </c>
      <c r="AA106" s="9">
        <f t="shared" si="20"/>
        <v>486</v>
      </c>
      <c r="AB106" s="10">
        <v>486</v>
      </c>
      <c r="AC106" s="11">
        <f t="shared" si="22"/>
        <v>41845.757249999995</v>
      </c>
      <c r="AD106" s="12">
        <f t="shared" si="21"/>
        <v>486</v>
      </c>
      <c r="AE106" s="13">
        <f t="shared" si="24"/>
        <v>0</v>
      </c>
    </row>
    <row r="107" spans="1:31">
      <c r="A107" s="6">
        <v>3</v>
      </c>
      <c r="B107" s="6">
        <f t="shared" si="23"/>
        <v>40</v>
      </c>
      <c r="C107" s="6" t="str">
        <f t="shared" si="14"/>
        <v>655931500AARMATURE, MONOBLOCK ASW4, HYUNDAI BC3-CUV4879116449883240</v>
      </c>
      <c r="D107" s="6" t="s">
        <v>215</v>
      </c>
      <c r="E107" s="6" t="s">
        <v>157</v>
      </c>
      <c r="F107" s="6"/>
      <c r="G107" s="7" t="s">
        <v>134</v>
      </c>
      <c r="H107" s="7"/>
      <c r="I107" s="7"/>
      <c r="J107" s="7"/>
      <c r="K107" s="7"/>
      <c r="L107" s="7">
        <v>4879116</v>
      </c>
      <c r="M107" s="22">
        <v>44988</v>
      </c>
      <c r="N107" s="8" t="s">
        <v>184</v>
      </c>
      <c r="O107" s="8"/>
      <c r="P107" s="7">
        <v>3240</v>
      </c>
      <c r="Q107" s="7">
        <v>1619966.26</v>
      </c>
      <c r="R107" s="7">
        <v>87089400</v>
      </c>
      <c r="S107" s="7">
        <v>15</v>
      </c>
      <c r="T107" s="7" t="s">
        <v>186</v>
      </c>
      <c r="U107" s="7" t="s">
        <v>178</v>
      </c>
      <c r="V107" s="6">
        <f t="shared" si="15"/>
        <v>242994.93899999998</v>
      </c>
      <c r="W107" s="6">
        <f t="shared" si="16"/>
        <v>24299.493900000001</v>
      </c>
      <c r="X107" s="6">
        <f t="shared" si="17"/>
        <v>267294.43290000001</v>
      </c>
      <c r="Y107" s="6">
        <f t="shared" si="18"/>
        <v>82.498281759259257</v>
      </c>
      <c r="Z107" s="6">
        <f t="shared" si="19"/>
        <v>499.9895864197531</v>
      </c>
      <c r="AA107" s="9">
        <f t="shared" si="20"/>
        <v>3240</v>
      </c>
      <c r="AB107" s="10">
        <v>3240</v>
      </c>
      <c r="AC107" s="11">
        <f t="shared" si="22"/>
        <v>267294.43290000001</v>
      </c>
      <c r="AD107" s="12">
        <f t="shared" si="21"/>
        <v>3240</v>
      </c>
      <c r="AE107" s="13">
        <f t="shared" si="24"/>
        <v>0</v>
      </c>
    </row>
    <row r="108" spans="1:31">
      <c r="A108" s="6">
        <v>3</v>
      </c>
      <c r="B108" s="6">
        <f t="shared" si="23"/>
        <v>41</v>
      </c>
      <c r="C108" s="6" t="str">
        <f t="shared" si="14"/>
        <v>655931500AARMATURE, MONOBLOCK ASW4, HYUNDAI BC3-CUV5046845449992754</v>
      </c>
      <c r="D108" s="6" t="s">
        <v>215</v>
      </c>
      <c r="E108" s="6" t="s">
        <v>157</v>
      </c>
      <c r="F108" s="6"/>
      <c r="G108" s="7" t="s">
        <v>134</v>
      </c>
      <c r="H108" s="7"/>
      <c r="I108" s="7"/>
      <c r="J108" s="7"/>
      <c r="K108" s="7"/>
      <c r="L108" s="7">
        <v>5046845</v>
      </c>
      <c r="M108" s="22">
        <v>44999</v>
      </c>
      <c r="N108" s="8" t="s">
        <v>184</v>
      </c>
      <c r="O108" s="8"/>
      <c r="P108" s="7">
        <v>2754</v>
      </c>
      <c r="Q108" s="7">
        <v>1369798.37</v>
      </c>
      <c r="R108" s="7">
        <v>87089900</v>
      </c>
      <c r="S108" s="7">
        <v>15</v>
      </c>
      <c r="T108" s="7" t="s">
        <v>274</v>
      </c>
      <c r="U108" s="7" t="s">
        <v>178</v>
      </c>
      <c r="V108" s="6">
        <f t="shared" si="15"/>
        <v>205469.7555</v>
      </c>
      <c r="W108" s="6">
        <f t="shared" si="16"/>
        <v>20546.975550000003</v>
      </c>
      <c r="X108" s="6">
        <f t="shared" si="17"/>
        <v>226016.73105</v>
      </c>
      <c r="Y108" s="6">
        <f t="shared" si="18"/>
        <v>82.068529793028318</v>
      </c>
      <c r="Z108" s="6">
        <f t="shared" si="19"/>
        <v>497.38502904865652</v>
      </c>
      <c r="AA108" s="9">
        <f t="shared" si="20"/>
        <v>2754</v>
      </c>
      <c r="AB108" s="10">
        <v>2754</v>
      </c>
      <c r="AC108" s="11">
        <f t="shared" si="22"/>
        <v>226016.73105</v>
      </c>
      <c r="AD108" s="12">
        <f t="shared" si="21"/>
        <v>2754</v>
      </c>
      <c r="AE108" s="13">
        <f t="shared" si="24"/>
        <v>0</v>
      </c>
    </row>
    <row r="109" spans="1:31">
      <c r="A109" s="6">
        <v>3</v>
      </c>
      <c r="B109" s="6">
        <f t="shared" si="23"/>
        <v>42</v>
      </c>
      <c r="C109" s="6" t="str">
        <f t="shared" si="14"/>
        <v>655931500AARMATURE, MONOBLOCK ASW4, HYUNDAI BC3-CUV5125412450041458</v>
      </c>
      <c r="D109" s="6" t="s">
        <v>215</v>
      </c>
      <c r="E109" s="6" t="s">
        <v>157</v>
      </c>
      <c r="F109" s="6"/>
      <c r="G109" s="7" t="s">
        <v>134</v>
      </c>
      <c r="H109" s="7"/>
      <c r="I109" s="7"/>
      <c r="J109" s="7"/>
      <c r="K109" s="7"/>
      <c r="L109" s="7">
        <v>5125412</v>
      </c>
      <c r="M109" s="22">
        <v>45004</v>
      </c>
      <c r="N109" s="8" t="s">
        <v>184</v>
      </c>
      <c r="O109" s="8"/>
      <c r="P109" s="7">
        <v>1458</v>
      </c>
      <c r="Q109" s="7">
        <v>725480.5</v>
      </c>
      <c r="R109" s="7">
        <v>87089900</v>
      </c>
      <c r="S109" s="7">
        <v>15</v>
      </c>
      <c r="T109" s="7" t="s">
        <v>269</v>
      </c>
      <c r="U109" s="7" t="s">
        <v>178</v>
      </c>
      <c r="V109" s="6">
        <f t="shared" si="15"/>
        <v>108822.075</v>
      </c>
      <c r="W109" s="6">
        <f t="shared" si="16"/>
        <v>10882.2075</v>
      </c>
      <c r="X109" s="6">
        <f t="shared" si="17"/>
        <v>119704.2825</v>
      </c>
      <c r="Y109" s="6">
        <f t="shared" si="18"/>
        <v>82.101702674897126</v>
      </c>
      <c r="Z109" s="6">
        <f t="shared" si="19"/>
        <v>497.58607681755831</v>
      </c>
      <c r="AA109" s="9">
        <f t="shared" si="20"/>
        <v>1458</v>
      </c>
      <c r="AB109" s="10">
        <v>1375</v>
      </c>
      <c r="AC109" s="11">
        <f t="shared" si="22"/>
        <v>112889.84117798354</v>
      </c>
      <c r="AD109" s="12">
        <f t="shared" si="21"/>
        <v>1458</v>
      </c>
      <c r="AE109" s="13">
        <f t="shared" si="24"/>
        <v>0</v>
      </c>
    </row>
    <row r="110" spans="1:31">
      <c r="A110" s="6">
        <v>3</v>
      </c>
      <c r="B110" s="6">
        <f t="shared" si="23"/>
        <v>43</v>
      </c>
      <c r="C110" s="6" t="str">
        <f t="shared" si="14"/>
        <v>655931500AARMATURE, MONOBLOCK ASW4, HYUNDAI BC3-CUV4646751449722592</v>
      </c>
      <c r="D110" s="6" t="s">
        <v>215</v>
      </c>
      <c r="E110" s="6" t="s">
        <v>157</v>
      </c>
      <c r="F110" s="6"/>
      <c r="G110" s="7" t="s">
        <v>134</v>
      </c>
      <c r="H110" s="7"/>
      <c r="I110" s="7"/>
      <c r="J110" s="7"/>
      <c r="K110" s="7"/>
      <c r="L110" s="7">
        <v>4646751</v>
      </c>
      <c r="M110" s="22">
        <v>44972</v>
      </c>
      <c r="N110" s="8" t="s">
        <v>184</v>
      </c>
      <c r="O110" s="8"/>
      <c r="P110" s="7">
        <v>2592</v>
      </c>
      <c r="Q110" s="7">
        <v>1320637.94</v>
      </c>
      <c r="R110" s="7">
        <v>87089400</v>
      </c>
      <c r="S110" s="7">
        <v>15</v>
      </c>
      <c r="T110" s="7" t="s">
        <v>186</v>
      </c>
      <c r="U110" s="7" t="s">
        <v>178</v>
      </c>
      <c r="V110" s="6">
        <f t="shared" si="15"/>
        <v>198095.69099999999</v>
      </c>
      <c r="W110" s="6">
        <f t="shared" si="16"/>
        <v>19809.569100000001</v>
      </c>
      <c r="X110" s="6">
        <f t="shared" si="17"/>
        <v>217905.26009999998</v>
      </c>
      <c r="Y110" s="6">
        <f t="shared" si="18"/>
        <v>84.068387384259253</v>
      </c>
      <c r="Z110" s="6">
        <f t="shared" si="19"/>
        <v>509.50537808641974</v>
      </c>
      <c r="AA110" s="9">
        <f t="shared" si="20"/>
        <v>2592</v>
      </c>
      <c r="AB110" s="10">
        <v>0</v>
      </c>
      <c r="AC110" s="11">
        <f t="shared" si="22"/>
        <v>0</v>
      </c>
      <c r="AD110" s="12">
        <f t="shared" si="21"/>
        <v>2592</v>
      </c>
      <c r="AE110" s="13">
        <f t="shared" si="24"/>
        <v>0</v>
      </c>
    </row>
    <row r="111" spans="1:31">
      <c r="A111" s="6">
        <v>3</v>
      </c>
      <c r="B111" s="6">
        <f t="shared" si="23"/>
        <v>44</v>
      </c>
      <c r="C111" s="6" t="str">
        <f t="shared" si="14"/>
        <v>655931500AARMATURE, MONOBLOCK ASW4, HYUNDAI BC3-CUV5312160450161620</v>
      </c>
      <c r="D111" s="6" t="s">
        <v>215</v>
      </c>
      <c r="E111" s="6" t="s">
        <v>157</v>
      </c>
      <c r="F111" s="6"/>
      <c r="G111" s="7" t="s">
        <v>134</v>
      </c>
      <c r="H111" s="7"/>
      <c r="I111" s="7"/>
      <c r="J111" s="7"/>
      <c r="K111" s="7"/>
      <c r="L111" s="7">
        <v>5312160</v>
      </c>
      <c r="M111" s="22">
        <v>45016</v>
      </c>
      <c r="N111" s="8" t="s">
        <v>184</v>
      </c>
      <c r="O111" s="8"/>
      <c r="P111" s="7">
        <v>1620</v>
      </c>
      <c r="Q111" s="7">
        <v>810425.48</v>
      </c>
      <c r="R111" s="7">
        <v>87089400</v>
      </c>
      <c r="S111" s="7">
        <v>15</v>
      </c>
      <c r="T111" s="7" t="s">
        <v>186</v>
      </c>
      <c r="U111" s="7" t="s">
        <v>178</v>
      </c>
      <c r="V111" s="6">
        <f t="shared" si="15"/>
        <v>121563.82199999999</v>
      </c>
      <c r="W111" s="6">
        <f t="shared" si="16"/>
        <v>12156.3822</v>
      </c>
      <c r="X111" s="6">
        <f t="shared" si="17"/>
        <v>133720.20419999998</v>
      </c>
      <c r="Y111" s="6">
        <f t="shared" si="18"/>
        <v>82.543335925925916</v>
      </c>
      <c r="Z111" s="6">
        <f t="shared" si="19"/>
        <v>500.26264197530861</v>
      </c>
      <c r="AA111" s="9">
        <f t="shared" si="20"/>
        <v>1620</v>
      </c>
      <c r="AB111" s="10">
        <v>0</v>
      </c>
      <c r="AC111" s="11">
        <f t="shared" si="22"/>
        <v>0</v>
      </c>
      <c r="AD111" s="12">
        <f t="shared" si="21"/>
        <v>1620</v>
      </c>
      <c r="AE111" s="13">
        <f t="shared" si="24"/>
        <v>0</v>
      </c>
    </row>
    <row r="112" spans="1:31">
      <c r="A112" s="6">
        <v>4</v>
      </c>
      <c r="B112" s="6">
        <v>1</v>
      </c>
      <c r="C112" s="6" t="str">
        <f t="shared" si="14"/>
        <v>630580800ALABEL, RAW MATERIAL, BLA K12 TPC BUCKLE5160585449362400000</v>
      </c>
      <c r="D112" s="6" t="s">
        <v>223</v>
      </c>
      <c r="E112" s="6" t="s">
        <v>71</v>
      </c>
      <c r="F112" s="6"/>
      <c r="G112" s="7" t="s">
        <v>31</v>
      </c>
      <c r="H112" s="7"/>
      <c r="I112" s="7"/>
      <c r="J112" s="7"/>
      <c r="K112" s="7"/>
      <c r="L112" s="7">
        <v>5160585</v>
      </c>
      <c r="M112" s="22">
        <v>44936</v>
      </c>
      <c r="N112" s="8" t="s">
        <v>196</v>
      </c>
      <c r="O112" s="8" t="s">
        <v>333</v>
      </c>
      <c r="P112" s="7">
        <v>2400000</v>
      </c>
      <c r="Q112" s="7">
        <v>86522.34</v>
      </c>
      <c r="R112" s="7">
        <v>87082900</v>
      </c>
      <c r="S112" s="7">
        <v>15</v>
      </c>
      <c r="T112" s="7" t="s">
        <v>265</v>
      </c>
      <c r="U112" s="7" t="s">
        <v>178</v>
      </c>
      <c r="V112" s="6">
        <f t="shared" si="15"/>
        <v>12978.350999999999</v>
      </c>
      <c r="W112" s="6">
        <f t="shared" si="16"/>
        <v>1297.8351</v>
      </c>
      <c r="X112" s="6">
        <f t="shared" si="17"/>
        <v>14276.186099999999</v>
      </c>
      <c r="Y112" s="6">
        <f t="shared" si="18"/>
        <v>5.9484108749999999E-3</v>
      </c>
      <c r="Z112" s="6">
        <f t="shared" si="19"/>
        <v>3.6050974999999999E-2</v>
      </c>
      <c r="AA112" s="9">
        <f t="shared" si="20"/>
        <v>2400000</v>
      </c>
      <c r="AB112" s="10">
        <v>6000</v>
      </c>
      <c r="AC112" s="11">
        <f t="shared" si="22"/>
        <v>35.690465250000003</v>
      </c>
      <c r="AD112" s="12">
        <f t="shared" si="21"/>
        <v>548546</v>
      </c>
      <c r="AE112" s="13">
        <f t="shared" si="24"/>
        <v>1851454</v>
      </c>
    </row>
    <row r="113" spans="1:31">
      <c r="A113" s="6">
        <v>4</v>
      </c>
      <c r="B113" s="6">
        <f t="shared" ref="B113:B147" si="25">B112+1</f>
        <v>2</v>
      </c>
      <c r="C113" s="6" t="str">
        <f t="shared" si="14"/>
        <v>634240200AHORN CONTACT, CU 521662145010720000</v>
      </c>
      <c r="D113" s="6" t="s">
        <v>223</v>
      </c>
      <c r="E113" s="6" t="s">
        <v>160</v>
      </c>
      <c r="F113" s="6"/>
      <c r="G113" s="7" t="s">
        <v>138</v>
      </c>
      <c r="H113" s="7"/>
      <c r="I113" s="7"/>
      <c r="J113" s="7"/>
      <c r="K113" s="7"/>
      <c r="L113" s="7">
        <v>5216621</v>
      </c>
      <c r="M113" s="22">
        <v>45010</v>
      </c>
      <c r="N113" s="8" t="s">
        <v>189</v>
      </c>
      <c r="O113" s="8"/>
      <c r="P113" s="7">
        <v>720000</v>
      </c>
      <c r="Q113" s="7">
        <v>803516.76</v>
      </c>
      <c r="R113" s="7">
        <v>87089900</v>
      </c>
      <c r="S113" s="7">
        <v>15</v>
      </c>
      <c r="T113" s="7" t="s">
        <v>258</v>
      </c>
      <c r="U113" s="7" t="s">
        <v>178</v>
      </c>
      <c r="V113" s="6">
        <f t="shared" si="15"/>
        <v>120527.514</v>
      </c>
      <c r="W113" s="6">
        <f t="shared" si="16"/>
        <v>12052.751400000001</v>
      </c>
      <c r="X113" s="6">
        <f t="shared" si="17"/>
        <v>132580.2654</v>
      </c>
      <c r="Y113" s="6">
        <f t="shared" si="18"/>
        <v>0.18413925750000001</v>
      </c>
      <c r="Z113" s="6">
        <f t="shared" si="19"/>
        <v>1.1159954999999999</v>
      </c>
      <c r="AA113" s="9">
        <f t="shared" si="20"/>
        <v>720000</v>
      </c>
      <c r="AB113" s="10">
        <v>24000</v>
      </c>
      <c r="AC113" s="11">
        <f t="shared" si="22"/>
        <v>4419.3421800000006</v>
      </c>
      <c r="AD113" s="12">
        <f t="shared" si="21"/>
        <v>707364</v>
      </c>
      <c r="AE113" s="13">
        <f t="shared" si="24"/>
        <v>12636</v>
      </c>
    </row>
    <row r="114" spans="1:31">
      <c r="A114" s="6">
        <v>4</v>
      </c>
      <c r="B114" s="6">
        <f t="shared" si="25"/>
        <v>3</v>
      </c>
      <c r="C114" s="6" t="str">
        <f t="shared" si="14"/>
        <v>653052600AINFLATOR, APP-4.6, 2.2MO STANDARD_MIB, SQUARE_61X3458622448902592</v>
      </c>
      <c r="D114" s="6" t="s">
        <v>223</v>
      </c>
      <c r="E114" s="6" t="s">
        <v>161</v>
      </c>
      <c r="F114" s="6"/>
      <c r="G114" s="7" t="s">
        <v>139</v>
      </c>
      <c r="H114" s="7"/>
      <c r="I114" s="7"/>
      <c r="J114" s="7"/>
      <c r="K114" s="7"/>
      <c r="L114" s="7">
        <v>3458622</v>
      </c>
      <c r="M114" s="22">
        <v>44890</v>
      </c>
      <c r="N114" s="8" t="s">
        <v>184</v>
      </c>
      <c r="O114" s="8"/>
      <c r="P114" s="7">
        <v>2592</v>
      </c>
      <c r="Q114" s="7">
        <v>1420525.03</v>
      </c>
      <c r="R114" s="7">
        <v>87089500</v>
      </c>
      <c r="S114" s="7">
        <v>15</v>
      </c>
      <c r="T114" s="7" t="s">
        <v>259</v>
      </c>
      <c r="U114" s="7" t="s">
        <v>200</v>
      </c>
      <c r="V114" s="6">
        <f t="shared" si="15"/>
        <v>213078.75450000001</v>
      </c>
      <c r="W114" s="6">
        <f t="shared" si="16"/>
        <v>21307.875450000003</v>
      </c>
      <c r="X114" s="6">
        <f t="shared" si="17"/>
        <v>234386.62995</v>
      </c>
      <c r="Y114" s="6">
        <f t="shared" si="18"/>
        <v>90.426940567129634</v>
      </c>
      <c r="Z114" s="6">
        <f t="shared" si="19"/>
        <v>548.04206404320985</v>
      </c>
      <c r="AA114" s="9">
        <f t="shared" si="20"/>
        <v>2592</v>
      </c>
      <c r="AB114" s="10">
        <v>116</v>
      </c>
      <c r="AC114" s="11">
        <f t="shared" si="22"/>
        <v>10489.525105787037</v>
      </c>
      <c r="AD114" s="12">
        <f t="shared" si="21"/>
        <v>2592</v>
      </c>
      <c r="AE114" s="13">
        <f t="shared" si="24"/>
        <v>0</v>
      </c>
    </row>
    <row r="115" spans="1:31">
      <c r="A115" s="6">
        <v>4</v>
      </c>
      <c r="B115" s="6">
        <f t="shared" si="25"/>
        <v>4</v>
      </c>
      <c r="C115" s="6" t="str">
        <f t="shared" si="14"/>
        <v>653052600AINFLATOR, APP-4.6, 2.2MO STANDARD_MIB, SQUARE_61X336263444883864</v>
      </c>
      <c r="D115" s="6" t="s">
        <v>223</v>
      </c>
      <c r="E115" s="6" t="s">
        <v>161</v>
      </c>
      <c r="F115" s="6"/>
      <c r="G115" s="7" t="s">
        <v>139</v>
      </c>
      <c r="H115" s="7"/>
      <c r="I115" s="7"/>
      <c r="J115" s="7"/>
      <c r="K115" s="7"/>
      <c r="L115" s="7">
        <v>3362634</v>
      </c>
      <c r="M115" s="22">
        <v>44883</v>
      </c>
      <c r="N115" s="8" t="s">
        <v>184</v>
      </c>
      <c r="O115" s="8"/>
      <c r="P115" s="7">
        <v>864</v>
      </c>
      <c r="Q115" s="7">
        <v>473859.86</v>
      </c>
      <c r="R115" s="7">
        <v>87089500</v>
      </c>
      <c r="S115" s="7">
        <v>15</v>
      </c>
      <c r="T115" s="7" t="s">
        <v>259</v>
      </c>
      <c r="U115" s="7" t="s">
        <v>200</v>
      </c>
      <c r="V115" s="6">
        <f t="shared" si="15"/>
        <v>71078.978999999992</v>
      </c>
      <c r="W115" s="6">
        <f t="shared" si="16"/>
        <v>7107.8978999999999</v>
      </c>
      <c r="X115" s="6">
        <f t="shared" si="17"/>
        <v>78186.876899999988</v>
      </c>
      <c r="Y115" s="6">
        <f t="shared" si="18"/>
        <v>90.494070486111099</v>
      </c>
      <c r="Z115" s="6">
        <f t="shared" si="19"/>
        <v>548.44891203703708</v>
      </c>
      <c r="AA115" s="9">
        <f t="shared" si="20"/>
        <v>864</v>
      </c>
      <c r="AB115" s="10">
        <v>864</v>
      </c>
      <c r="AC115" s="11">
        <f t="shared" si="22"/>
        <v>78186.876899999988</v>
      </c>
      <c r="AD115" s="12">
        <f t="shared" si="21"/>
        <v>864</v>
      </c>
      <c r="AE115" s="13">
        <f t="shared" si="24"/>
        <v>0</v>
      </c>
    </row>
    <row r="116" spans="1:31">
      <c r="A116" s="6">
        <v>4</v>
      </c>
      <c r="B116" s="6">
        <f t="shared" si="25"/>
        <v>5</v>
      </c>
      <c r="C116" s="6" t="str">
        <f t="shared" si="14"/>
        <v>656011400ALEATHER, HIDE TOP GRAIN, GREY, FOSSIL GREY, T9Y,722294145143466.39</v>
      </c>
      <c r="D116" s="6" t="s">
        <v>223</v>
      </c>
      <c r="E116" s="6" t="s">
        <v>162</v>
      </c>
      <c r="F116" s="6"/>
      <c r="G116" s="7" t="s">
        <v>140</v>
      </c>
      <c r="H116" s="7"/>
      <c r="I116" s="7"/>
      <c r="J116" s="7"/>
      <c r="K116" s="7"/>
      <c r="L116" s="7">
        <v>7222941</v>
      </c>
      <c r="M116" s="22">
        <v>45143</v>
      </c>
      <c r="N116" s="8" t="s">
        <v>180</v>
      </c>
      <c r="O116" s="8"/>
      <c r="P116" s="7">
        <v>466.39</v>
      </c>
      <c r="Q116" s="7">
        <v>1147356.54</v>
      </c>
      <c r="R116" s="7">
        <v>41071200</v>
      </c>
      <c r="S116" s="7">
        <v>10</v>
      </c>
      <c r="T116" s="7" t="s">
        <v>260</v>
      </c>
      <c r="U116" s="7" t="s">
        <v>178</v>
      </c>
      <c r="V116" s="6">
        <f t="shared" si="15"/>
        <v>114735.65400000001</v>
      </c>
      <c r="W116" s="6">
        <f t="shared" si="16"/>
        <v>11473.565400000001</v>
      </c>
      <c r="X116" s="6">
        <f t="shared" si="17"/>
        <v>126209.21940000002</v>
      </c>
      <c r="Y116" s="6">
        <f t="shared" si="18"/>
        <v>270.60875962177579</v>
      </c>
      <c r="Z116" s="6">
        <f t="shared" si="19"/>
        <v>2460.0796329252344</v>
      </c>
      <c r="AA116" s="9">
        <f t="shared" si="20"/>
        <v>466.39</v>
      </c>
      <c r="AB116" s="10">
        <v>32.826360000000001</v>
      </c>
      <c r="AC116" s="11">
        <f t="shared" si="22"/>
        <v>8883.100562497877</v>
      </c>
      <c r="AD116" s="12">
        <f t="shared" si="21"/>
        <v>466.42970200000002</v>
      </c>
      <c r="AE116" s="13">
        <v>0</v>
      </c>
    </row>
    <row r="117" spans="1:31">
      <c r="A117" s="6">
        <v>4</v>
      </c>
      <c r="B117" s="6">
        <f t="shared" si="25"/>
        <v>6</v>
      </c>
      <c r="C117" s="6" t="str">
        <f t="shared" si="14"/>
        <v>608067201ANUT, ISO, M5 351094044894800000</v>
      </c>
      <c r="D117" s="6" t="s">
        <v>223</v>
      </c>
      <c r="E117" s="6" t="s">
        <v>164</v>
      </c>
      <c r="F117" s="6"/>
      <c r="G117" s="7" t="s">
        <v>142</v>
      </c>
      <c r="H117" s="7"/>
      <c r="I117" s="7"/>
      <c r="J117" s="7"/>
      <c r="K117" s="7"/>
      <c r="L117" s="7">
        <v>3510940</v>
      </c>
      <c r="M117" s="22">
        <v>44894</v>
      </c>
      <c r="N117" s="8" t="s">
        <v>189</v>
      </c>
      <c r="O117" s="8" t="s">
        <v>332</v>
      </c>
      <c r="P117" s="7">
        <v>800000</v>
      </c>
      <c r="Q117" s="7">
        <v>1498489.13</v>
      </c>
      <c r="R117" s="7">
        <v>87089500</v>
      </c>
      <c r="S117" s="7">
        <v>15</v>
      </c>
      <c r="T117" s="7" t="s">
        <v>183</v>
      </c>
      <c r="U117" s="7" t="s">
        <v>178</v>
      </c>
      <c r="V117" s="6">
        <f t="shared" si="15"/>
        <v>224773.36949999997</v>
      </c>
      <c r="W117" s="6">
        <f t="shared" si="16"/>
        <v>22477.336949999997</v>
      </c>
      <c r="X117" s="6">
        <f t="shared" si="17"/>
        <v>247250.70644999997</v>
      </c>
      <c r="Y117" s="6">
        <f t="shared" si="18"/>
        <v>0.30906338306249997</v>
      </c>
      <c r="Z117" s="6">
        <f t="shared" si="19"/>
        <v>1.8731114124999999</v>
      </c>
      <c r="AA117" s="9">
        <f t="shared" si="20"/>
        <v>800000</v>
      </c>
      <c r="AB117" s="10">
        <v>5760</v>
      </c>
      <c r="AC117" s="11">
        <f t="shared" si="22"/>
        <v>1780.2050864399998</v>
      </c>
      <c r="AD117" s="12">
        <f t="shared" si="21"/>
        <v>70960</v>
      </c>
      <c r="AE117" s="13">
        <f t="shared" ref="AE117:AE149" si="26">AA117-AD117</f>
        <v>729040</v>
      </c>
    </row>
    <row r="118" spans="1:31">
      <c r="A118" s="6">
        <v>4</v>
      </c>
      <c r="B118" s="6">
        <f t="shared" si="25"/>
        <v>7</v>
      </c>
      <c r="C118" s="6" t="str">
        <f t="shared" si="14"/>
        <v>608225700ASCREW,STD METRIIC HEXALOBULAR  M5 T25 12MM82282814502760000</v>
      </c>
      <c r="D118" s="6" t="s">
        <v>223</v>
      </c>
      <c r="E118" s="6" t="s">
        <v>169</v>
      </c>
      <c r="F118" s="6"/>
      <c r="G118" s="7" t="s">
        <v>147</v>
      </c>
      <c r="H118" s="7"/>
      <c r="I118" s="7"/>
      <c r="J118" s="7"/>
      <c r="K118" s="7"/>
      <c r="L118" s="7">
        <v>8228281</v>
      </c>
      <c r="M118" s="22">
        <v>45027</v>
      </c>
      <c r="N118" s="8" t="s">
        <v>180</v>
      </c>
      <c r="O118" s="8"/>
      <c r="P118" s="7">
        <v>60000</v>
      </c>
      <c r="Q118" s="7">
        <v>232591.54</v>
      </c>
      <c r="R118" s="7">
        <v>87082900</v>
      </c>
      <c r="S118" s="7">
        <v>15</v>
      </c>
      <c r="T118" s="7" t="s">
        <v>275</v>
      </c>
      <c r="U118" s="7" t="s">
        <v>178</v>
      </c>
      <c r="V118" s="6">
        <f t="shared" si="15"/>
        <v>34888.731</v>
      </c>
      <c r="W118" s="6">
        <f t="shared" si="16"/>
        <v>3488.8731000000002</v>
      </c>
      <c r="X118" s="6">
        <f t="shared" si="17"/>
        <v>38377.604099999997</v>
      </c>
      <c r="Y118" s="6">
        <f t="shared" si="18"/>
        <v>0.639626735</v>
      </c>
      <c r="Z118" s="6">
        <f t="shared" si="19"/>
        <v>3.8765256666666668</v>
      </c>
      <c r="AA118" s="9">
        <f t="shared" si="20"/>
        <v>60000</v>
      </c>
      <c r="AB118" s="10">
        <v>11148</v>
      </c>
      <c r="AC118" s="11">
        <f t="shared" si="22"/>
        <v>7130.55884178</v>
      </c>
      <c r="AD118" s="12">
        <f t="shared" si="21"/>
        <v>59622</v>
      </c>
      <c r="AE118" s="13">
        <f t="shared" si="26"/>
        <v>378</v>
      </c>
    </row>
    <row r="119" spans="1:31">
      <c r="A119" s="6">
        <v>4</v>
      </c>
      <c r="B119" s="6">
        <f t="shared" si="25"/>
        <v>8</v>
      </c>
      <c r="C119" s="6" t="str">
        <f t="shared" si="14"/>
        <v>639590100BSCREW SELF TAPPING INTERNAL T15, 15.01009844987100000</v>
      </c>
      <c r="D119" s="6" t="s">
        <v>223</v>
      </c>
      <c r="E119" s="6" t="s">
        <v>165</v>
      </c>
      <c r="F119" s="6"/>
      <c r="G119" s="7" t="s">
        <v>143</v>
      </c>
      <c r="H119" s="7"/>
      <c r="I119" s="7"/>
      <c r="J119" s="7"/>
      <c r="K119" s="7"/>
      <c r="L119" s="7">
        <v>10098</v>
      </c>
      <c r="M119" s="22">
        <v>44987</v>
      </c>
      <c r="N119" s="8" t="e">
        <v>#N/A</v>
      </c>
      <c r="O119" s="8"/>
      <c r="P119" s="7">
        <v>100000</v>
      </c>
      <c r="Q119" s="7">
        <v>135629.26999999999</v>
      </c>
      <c r="R119" s="7" t="e">
        <v>#N/A</v>
      </c>
      <c r="S119" s="7">
        <v>15</v>
      </c>
      <c r="T119" s="7" t="e">
        <v>#N/A</v>
      </c>
      <c r="U119" s="7" t="e">
        <v>#N/A</v>
      </c>
      <c r="V119" s="6">
        <f t="shared" si="15"/>
        <v>20344.390499999998</v>
      </c>
      <c r="W119" s="6">
        <f t="shared" si="16"/>
        <v>2034.43905</v>
      </c>
      <c r="X119" s="6">
        <f t="shared" si="17"/>
        <v>22378.829549999999</v>
      </c>
      <c r="Y119" s="6">
        <f t="shared" si="18"/>
        <v>0.22378829549999998</v>
      </c>
      <c r="Z119" s="6">
        <f t="shared" si="19"/>
        <v>1.3562926999999998</v>
      </c>
      <c r="AA119" s="9">
        <f t="shared" si="20"/>
        <v>100000</v>
      </c>
      <c r="AB119" s="10">
        <v>38124</v>
      </c>
      <c r="AC119" s="11">
        <f t="shared" si="22"/>
        <v>8531.704977641999</v>
      </c>
      <c r="AD119" s="12">
        <f t="shared" si="21"/>
        <v>96832</v>
      </c>
      <c r="AE119" s="13">
        <f t="shared" si="26"/>
        <v>3168</v>
      </c>
    </row>
    <row r="120" spans="1:31">
      <c r="A120" s="6">
        <v>4</v>
      </c>
      <c r="B120" s="6">
        <f t="shared" si="25"/>
        <v>9</v>
      </c>
      <c r="C120" s="6" t="str">
        <f t="shared" si="14"/>
        <v>644345600ASCREW, SELF-TAPPING, PLA PLASTIC, 3.0, CROSS90853734472590000</v>
      </c>
      <c r="D120" s="6" t="s">
        <v>223</v>
      </c>
      <c r="E120" s="6" t="s">
        <v>166</v>
      </c>
      <c r="F120" s="6"/>
      <c r="G120" s="7" t="s">
        <v>144</v>
      </c>
      <c r="H120" s="7"/>
      <c r="I120" s="7"/>
      <c r="J120" s="7"/>
      <c r="K120" s="7"/>
      <c r="L120" s="7">
        <v>9085373</v>
      </c>
      <c r="M120" s="22">
        <v>44725</v>
      </c>
      <c r="N120" s="8" t="s">
        <v>182</v>
      </c>
      <c r="O120" s="8"/>
      <c r="P120" s="7">
        <v>90000</v>
      </c>
      <c r="Q120" s="7">
        <v>68392.240000000005</v>
      </c>
      <c r="R120" s="7">
        <v>87089500</v>
      </c>
      <c r="S120" s="7">
        <v>15</v>
      </c>
      <c r="T120" s="7" t="s">
        <v>183</v>
      </c>
      <c r="U120" s="7" t="s">
        <v>178</v>
      </c>
      <c r="V120" s="6">
        <f t="shared" si="15"/>
        <v>10258.836000000001</v>
      </c>
      <c r="W120" s="6">
        <f t="shared" si="16"/>
        <v>1025.8836000000001</v>
      </c>
      <c r="X120" s="6">
        <f t="shared" si="17"/>
        <v>11284.7196</v>
      </c>
      <c r="Y120" s="6">
        <f t="shared" si="18"/>
        <v>0.12538577333333334</v>
      </c>
      <c r="Z120" s="6">
        <f t="shared" si="19"/>
        <v>0.7599137777777778</v>
      </c>
      <c r="AA120" s="9">
        <f t="shared" si="20"/>
        <v>90000</v>
      </c>
      <c r="AB120" s="10">
        <v>12000</v>
      </c>
      <c r="AC120" s="11">
        <f t="shared" si="22"/>
        <v>1504.6292800000001</v>
      </c>
      <c r="AD120" s="12">
        <f t="shared" si="21"/>
        <v>89034</v>
      </c>
      <c r="AE120" s="13">
        <f t="shared" si="26"/>
        <v>966</v>
      </c>
    </row>
    <row r="121" spans="1:31">
      <c r="A121" s="6">
        <v>4</v>
      </c>
      <c r="B121" s="6">
        <f t="shared" si="25"/>
        <v>10</v>
      </c>
      <c r="C121" s="6" t="str">
        <f t="shared" si="14"/>
        <v>644345600ASCREW, SELF-TAPPING, PLA PLASTIC, 3.0, CROSS35109404489490000</v>
      </c>
      <c r="D121" s="6" t="s">
        <v>223</v>
      </c>
      <c r="E121" s="6" t="s">
        <v>166</v>
      </c>
      <c r="F121" s="6"/>
      <c r="G121" s="7" t="s">
        <v>144</v>
      </c>
      <c r="H121" s="7"/>
      <c r="I121" s="7"/>
      <c r="J121" s="7"/>
      <c r="K121" s="7"/>
      <c r="L121" s="7">
        <v>3510940</v>
      </c>
      <c r="M121" s="22">
        <v>44894</v>
      </c>
      <c r="N121" s="8" t="s">
        <v>189</v>
      </c>
      <c r="O121" s="8"/>
      <c r="P121" s="7">
        <v>90000</v>
      </c>
      <c r="Q121" s="7">
        <v>68808.17</v>
      </c>
      <c r="R121" s="7">
        <v>87089500</v>
      </c>
      <c r="S121" s="7">
        <v>15</v>
      </c>
      <c r="T121" s="7" t="s">
        <v>183</v>
      </c>
      <c r="U121" s="7" t="s">
        <v>178</v>
      </c>
      <c r="V121" s="6">
        <f t="shared" si="15"/>
        <v>10321.225499999999</v>
      </c>
      <c r="W121" s="6">
        <f t="shared" si="16"/>
        <v>1032.1225499999998</v>
      </c>
      <c r="X121" s="6">
        <f t="shared" si="17"/>
        <v>11353.348049999999</v>
      </c>
      <c r="Y121" s="6">
        <f t="shared" si="18"/>
        <v>0.12614831166666665</v>
      </c>
      <c r="Z121" s="6">
        <f t="shared" si="19"/>
        <v>0.76453522222222225</v>
      </c>
      <c r="AA121" s="9">
        <f t="shared" si="20"/>
        <v>90000</v>
      </c>
      <c r="AB121" s="10">
        <v>0</v>
      </c>
      <c r="AC121" s="11">
        <f t="shared" si="22"/>
        <v>0</v>
      </c>
      <c r="AD121" s="12">
        <f t="shared" si="21"/>
        <v>90000</v>
      </c>
      <c r="AE121" s="13">
        <f t="shared" si="26"/>
        <v>0</v>
      </c>
    </row>
    <row r="122" spans="1:31">
      <c r="A122" s="6">
        <v>4</v>
      </c>
      <c r="B122" s="6">
        <f t="shared" si="25"/>
        <v>11</v>
      </c>
      <c r="C122" s="6" t="str">
        <f t="shared" si="14"/>
        <v>650557200GCUSHION, FOLDED, C AND S HONDA 2JX398470844926720</v>
      </c>
      <c r="D122" s="6" t="s">
        <v>223</v>
      </c>
      <c r="E122" s="6" t="s">
        <v>159</v>
      </c>
      <c r="F122" s="6"/>
      <c r="G122" s="7" t="s">
        <v>136</v>
      </c>
      <c r="H122" s="7"/>
      <c r="I122" s="7"/>
      <c r="J122" s="7"/>
      <c r="K122" s="7"/>
      <c r="L122" s="7">
        <v>3984708</v>
      </c>
      <c r="M122" s="22">
        <v>44926</v>
      </c>
      <c r="N122" s="8" t="s">
        <v>189</v>
      </c>
      <c r="O122" s="8"/>
      <c r="P122" s="7">
        <v>720</v>
      </c>
      <c r="Q122" s="7">
        <v>890511.92</v>
      </c>
      <c r="R122" s="7">
        <v>87089500</v>
      </c>
      <c r="S122" s="7">
        <v>5</v>
      </c>
      <c r="T122" s="7" t="s">
        <v>267</v>
      </c>
      <c r="U122" s="7" t="s">
        <v>178</v>
      </c>
      <c r="V122" s="6">
        <f t="shared" si="15"/>
        <v>44525.596000000005</v>
      </c>
      <c r="W122" s="6">
        <f t="shared" si="16"/>
        <v>4452.5596000000005</v>
      </c>
      <c r="X122" s="6">
        <f t="shared" si="17"/>
        <v>48978.155600000006</v>
      </c>
      <c r="Y122" s="6">
        <f t="shared" si="18"/>
        <v>68.025216111111121</v>
      </c>
      <c r="Z122" s="6">
        <f t="shared" si="19"/>
        <v>1236.8221111111111</v>
      </c>
      <c r="AA122" s="9">
        <f t="shared" si="20"/>
        <v>720</v>
      </c>
      <c r="AB122" s="10">
        <v>260</v>
      </c>
      <c r="AC122" s="11">
        <f t="shared" si="22"/>
        <v>17686.556188888891</v>
      </c>
      <c r="AD122" s="12">
        <f t="shared" si="21"/>
        <v>720</v>
      </c>
      <c r="AE122" s="13">
        <f t="shared" si="26"/>
        <v>0</v>
      </c>
    </row>
    <row r="123" spans="1:31">
      <c r="A123" s="6">
        <v>4</v>
      </c>
      <c r="B123" s="6">
        <f t="shared" si="25"/>
        <v>12</v>
      </c>
      <c r="C123" s="6" t="str">
        <f t="shared" si="14"/>
        <v>650557200GCUSHION, FOLDED, C AND S HONDA 2JX3323112448811440</v>
      </c>
      <c r="D123" s="6" t="s">
        <v>223</v>
      </c>
      <c r="E123" s="6" t="s">
        <v>159</v>
      </c>
      <c r="F123" s="6"/>
      <c r="G123" s="7" t="s">
        <v>136</v>
      </c>
      <c r="H123" s="7"/>
      <c r="I123" s="7"/>
      <c r="J123" s="7"/>
      <c r="K123" s="7"/>
      <c r="L123" s="7">
        <v>3323112</v>
      </c>
      <c r="M123" s="22">
        <v>44881</v>
      </c>
      <c r="N123" s="8" t="s">
        <v>184</v>
      </c>
      <c r="O123" s="8"/>
      <c r="P123" s="7">
        <v>1440</v>
      </c>
      <c r="Q123" s="7">
        <v>1811293.07</v>
      </c>
      <c r="R123" s="7">
        <v>87089500</v>
      </c>
      <c r="S123" s="7">
        <v>5</v>
      </c>
      <c r="T123" s="7" t="s">
        <v>268</v>
      </c>
      <c r="U123" s="7" t="s">
        <v>178</v>
      </c>
      <c r="V123" s="6">
        <f t="shared" si="15"/>
        <v>90564.653500000015</v>
      </c>
      <c r="W123" s="6">
        <f t="shared" si="16"/>
        <v>9056.4653500000022</v>
      </c>
      <c r="X123" s="6">
        <f t="shared" si="17"/>
        <v>99621.118850000013</v>
      </c>
      <c r="Y123" s="6">
        <f t="shared" si="18"/>
        <v>69.18133253472223</v>
      </c>
      <c r="Z123" s="6">
        <f t="shared" si="19"/>
        <v>1257.8424097222223</v>
      </c>
      <c r="AA123" s="9">
        <f t="shared" si="20"/>
        <v>1440</v>
      </c>
      <c r="AB123" s="10">
        <v>1180</v>
      </c>
      <c r="AC123" s="11">
        <f t="shared" si="22"/>
        <v>81633.972390972238</v>
      </c>
      <c r="AD123" s="12">
        <f t="shared" si="21"/>
        <v>1440</v>
      </c>
      <c r="AE123" s="13">
        <f t="shared" si="26"/>
        <v>0</v>
      </c>
    </row>
    <row r="124" spans="1:31">
      <c r="A124" s="6">
        <v>4</v>
      </c>
      <c r="B124" s="6">
        <f t="shared" si="25"/>
        <v>13</v>
      </c>
      <c r="C124" s="6" t="str">
        <f t="shared" si="14"/>
        <v>650557200GCUSHION, FOLDED, C AND S HONDA 2JX3322676448812520</v>
      </c>
      <c r="D124" s="6" t="s">
        <v>223</v>
      </c>
      <c r="E124" s="6" t="s">
        <v>159</v>
      </c>
      <c r="F124" s="6"/>
      <c r="G124" s="7" t="s">
        <v>136</v>
      </c>
      <c r="H124" s="7"/>
      <c r="I124" s="7"/>
      <c r="J124" s="7"/>
      <c r="K124" s="7"/>
      <c r="L124" s="7">
        <v>3322676</v>
      </c>
      <c r="M124" s="22">
        <v>44881</v>
      </c>
      <c r="N124" s="8" t="s">
        <v>184</v>
      </c>
      <c r="O124" s="8"/>
      <c r="P124" s="7">
        <v>2520</v>
      </c>
      <c r="Q124" s="7">
        <v>3146957.71</v>
      </c>
      <c r="R124" s="7">
        <v>87089500</v>
      </c>
      <c r="S124" s="7">
        <v>5</v>
      </c>
      <c r="T124" s="7" t="s">
        <v>267</v>
      </c>
      <c r="U124" s="7" t="s">
        <v>178</v>
      </c>
      <c r="V124" s="6">
        <f t="shared" si="15"/>
        <v>157347.8855</v>
      </c>
      <c r="W124" s="6">
        <f t="shared" si="16"/>
        <v>15734.788550000001</v>
      </c>
      <c r="X124" s="6">
        <f t="shared" si="17"/>
        <v>173082.67405</v>
      </c>
      <c r="Y124" s="6">
        <f t="shared" si="18"/>
        <v>68.683600813492063</v>
      </c>
      <c r="Z124" s="6">
        <f t="shared" si="19"/>
        <v>1248.7927420634921</v>
      </c>
      <c r="AA124" s="9">
        <f t="shared" si="20"/>
        <v>2520</v>
      </c>
      <c r="AB124" s="10">
        <v>0</v>
      </c>
      <c r="AC124" s="11">
        <f t="shared" si="22"/>
        <v>0</v>
      </c>
      <c r="AD124" s="12">
        <f t="shared" si="21"/>
        <v>2520</v>
      </c>
      <c r="AE124" s="13">
        <f t="shared" si="26"/>
        <v>0</v>
      </c>
    </row>
    <row r="125" spans="1:31">
      <c r="A125" s="6">
        <v>4</v>
      </c>
      <c r="B125" s="6">
        <f t="shared" si="25"/>
        <v>14</v>
      </c>
      <c r="C125" s="6" t="str">
        <f t="shared" si="14"/>
        <v>650557200GCUSHION, FOLDED, C AND S HONDA 2JX3498791448931080</v>
      </c>
      <c r="D125" s="6" t="s">
        <v>223</v>
      </c>
      <c r="E125" s="6" t="s">
        <v>159</v>
      </c>
      <c r="F125" s="6"/>
      <c r="G125" s="7" t="s">
        <v>136</v>
      </c>
      <c r="H125" s="7"/>
      <c r="I125" s="7"/>
      <c r="J125" s="7"/>
      <c r="K125" s="7"/>
      <c r="L125" s="7">
        <v>3498791</v>
      </c>
      <c r="M125" s="22">
        <v>44893</v>
      </c>
      <c r="N125" s="8" t="s">
        <v>189</v>
      </c>
      <c r="O125" s="8"/>
      <c r="P125" s="7">
        <v>1080</v>
      </c>
      <c r="Q125" s="7">
        <v>1351206.3</v>
      </c>
      <c r="R125" s="7">
        <v>87089500</v>
      </c>
      <c r="S125" s="7">
        <v>5</v>
      </c>
      <c r="T125" s="7" t="s">
        <v>267</v>
      </c>
      <c r="U125" s="7" t="s">
        <v>178</v>
      </c>
      <c r="V125" s="6">
        <f t="shared" si="15"/>
        <v>67560.315000000002</v>
      </c>
      <c r="W125" s="6">
        <f t="shared" si="16"/>
        <v>6756.031500000001</v>
      </c>
      <c r="X125" s="6">
        <f t="shared" si="17"/>
        <v>74316.3465</v>
      </c>
      <c r="Y125" s="6">
        <f t="shared" si="18"/>
        <v>68.81143194444445</v>
      </c>
      <c r="Z125" s="6">
        <f t="shared" si="19"/>
        <v>1251.1169444444445</v>
      </c>
      <c r="AA125" s="9">
        <f t="shared" si="20"/>
        <v>1080</v>
      </c>
      <c r="AB125" s="10">
        <v>0</v>
      </c>
      <c r="AC125" s="11">
        <f t="shared" si="22"/>
        <v>0</v>
      </c>
      <c r="AD125" s="12">
        <f t="shared" si="21"/>
        <v>1080</v>
      </c>
      <c r="AE125" s="13">
        <f t="shared" si="26"/>
        <v>0</v>
      </c>
    </row>
    <row r="126" spans="1:31">
      <c r="A126" s="6">
        <v>4</v>
      </c>
      <c r="B126" s="6">
        <f t="shared" si="25"/>
        <v>15</v>
      </c>
      <c r="C126" s="6" t="str">
        <f t="shared" si="14"/>
        <v>650557200GCUSHION, FOLDED, C AND S HONDA 2JX3498696448931080</v>
      </c>
      <c r="D126" s="6" t="s">
        <v>223</v>
      </c>
      <c r="E126" s="6" t="s">
        <v>159</v>
      </c>
      <c r="F126" s="6"/>
      <c r="G126" s="7" t="s">
        <v>136</v>
      </c>
      <c r="H126" s="7"/>
      <c r="I126" s="7"/>
      <c r="J126" s="7"/>
      <c r="K126" s="7"/>
      <c r="L126" s="7">
        <v>3498696</v>
      </c>
      <c r="M126" s="22">
        <v>44893</v>
      </c>
      <c r="N126" s="8" t="s">
        <v>189</v>
      </c>
      <c r="O126" s="8"/>
      <c r="P126" s="7">
        <v>1080</v>
      </c>
      <c r="Q126" s="7">
        <v>1361525.46</v>
      </c>
      <c r="R126" s="7">
        <v>87089500</v>
      </c>
      <c r="S126" s="7">
        <v>5</v>
      </c>
      <c r="T126" s="7" t="s">
        <v>267</v>
      </c>
      <c r="U126" s="7" t="s">
        <v>178</v>
      </c>
      <c r="V126" s="6">
        <f t="shared" si="15"/>
        <v>68076.273000000001</v>
      </c>
      <c r="W126" s="6">
        <f t="shared" si="16"/>
        <v>6807.6273000000001</v>
      </c>
      <c r="X126" s="6">
        <f t="shared" si="17"/>
        <v>74883.900300000008</v>
      </c>
      <c r="Y126" s="6">
        <f t="shared" si="18"/>
        <v>69.336944722222228</v>
      </c>
      <c r="Z126" s="6">
        <f t="shared" si="19"/>
        <v>1260.6717222222221</v>
      </c>
      <c r="AA126" s="9">
        <f t="shared" si="20"/>
        <v>1080</v>
      </c>
      <c r="AB126" s="10">
        <v>0</v>
      </c>
      <c r="AC126" s="11">
        <f t="shared" si="22"/>
        <v>0</v>
      </c>
      <c r="AD126" s="12">
        <f t="shared" si="21"/>
        <v>1080</v>
      </c>
      <c r="AE126" s="13">
        <f t="shared" si="26"/>
        <v>0</v>
      </c>
    </row>
    <row r="127" spans="1:31">
      <c r="A127" s="6">
        <v>4</v>
      </c>
      <c r="B127" s="6">
        <f t="shared" si="25"/>
        <v>16</v>
      </c>
      <c r="C127" s="6" t="str">
        <f t="shared" si="14"/>
        <v>650557200GCUSHION, FOLDED, C AND S HONDA 2JX3322516448811800</v>
      </c>
      <c r="D127" s="6" t="s">
        <v>223</v>
      </c>
      <c r="E127" s="6" t="s">
        <v>159</v>
      </c>
      <c r="F127" s="6"/>
      <c r="G127" s="7" t="s">
        <v>136</v>
      </c>
      <c r="H127" s="7"/>
      <c r="I127" s="7"/>
      <c r="J127" s="7"/>
      <c r="K127" s="7"/>
      <c r="L127" s="7">
        <v>3322516</v>
      </c>
      <c r="M127" s="22">
        <v>44881</v>
      </c>
      <c r="N127" s="8" t="s">
        <v>184</v>
      </c>
      <c r="O127" s="8"/>
      <c r="P127" s="7">
        <v>1800</v>
      </c>
      <c r="Q127" s="7">
        <v>2319294.85</v>
      </c>
      <c r="R127" s="7">
        <v>87089500</v>
      </c>
      <c r="S127" s="7">
        <v>5</v>
      </c>
      <c r="T127" s="7" t="s">
        <v>267</v>
      </c>
      <c r="U127" s="7" t="s">
        <v>178</v>
      </c>
      <c r="V127" s="6">
        <f t="shared" si="15"/>
        <v>115964.74250000001</v>
      </c>
      <c r="W127" s="6">
        <f t="shared" si="16"/>
        <v>11596.474250000001</v>
      </c>
      <c r="X127" s="6">
        <f t="shared" si="17"/>
        <v>127561.21675000001</v>
      </c>
      <c r="Y127" s="6">
        <f t="shared" si="18"/>
        <v>70.867342638888886</v>
      </c>
      <c r="Z127" s="6">
        <f t="shared" si="19"/>
        <v>1288.4971388888889</v>
      </c>
      <c r="AA127" s="9">
        <f t="shared" si="20"/>
        <v>1800</v>
      </c>
      <c r="AB127" s="10">
        <v>0</v>
      </c>
      <c r="AC127" s="11">
        <f t="shared" si="22"/>
        <v>0</v>
      </c>
      <c r="AD127" s="12">
        <f t="shared" si="21"/>
        <v>1800</v>
      </c>
      <c r="AE127" s="13">
        <f t="shared" si="26"/>
        <v>0</v>
      </c>
    </row>
    <row r="128" spans="1:31">
      <c r="A128" s="6">
        <v>4</v>
      </c>
      <c r="B128" s="6">
        <f t="shared" si="25"/>
        <v>17</v>
      </c>
      <c r="C128" s="6" t="str">
        <f t="shared" si="14"/>
        <v>650557200GCUSHION, FOLDED, C AND S HONDA 2JX3460410448902160</v>
      </c>
      <c r="D128" s="6" t="s">
        <v>223</v>
      </c>
      <c r="E128" s="6" t="s">
        <v>159</v>
      </c>
      <c r="F128" s="6"/>
      <c r="G128" s="7" t="s">
        <v>136</v>
      </c>
      <c r="H128" s="7"/>
      <c r="I128" s="7"/>
      <c r="J128" s="7"/>
      <c r="K128" s="7"/>
      <c r="L128" s="7">
        <v>3460410</v>
      </c>
      <c r="M128" s="22">
        <v>44890</v>
      </c>
      <c r="N128" s="8" t="s">
        <v>184</v>
      </c>
      <c r="O128" s="8"/>
      <c r="P128" s="7">
        <v>2160</v>
      </c>
      <c r="Q128" s="7">
        <v>2624382.73</v>
      </c>
      <c r="R128" s="7">
        <v>87089500</v>
      </c>
      <c r="S128" s="7">
        <v>5</v>
      </c>
      <c r="T128" s="7" t="s">
        <v>256</v>
      </c>
      <c r="U128" s="7" t="s">
        <v>178</v>
      </c>
      <c r="V128" s="6">
        <f t="shared" si="15"/>
        <v>131219.13649999999</v>
      </c>
      <c r="W128" s="6">
        <f t="shared" si="16"/>
        <v>13121.91365</v>
      </c>
      <c r="X128" s="6">
        <f t="shared" si="17"/>
        <v>144341.05015</v>
      </c>
      <c r="Y128" s="6">
        <f t="shared" si="18"/>
        <v>66.824560254629631</v>
      </c>
      <c r="Z128" s="6">
        <f t="shared" si="19"/>
        <v>1214.9920046296297</v>
      </c>
      <c r="AA128" s="9">
        <f t="shared" si="20"/>
        <v>2160</v>
      </c>
      <c r="AB128" s="10">
        <v>0</v>
      </c>
      <c r="AC128" s="11">
        <f t="shared" si="22"/>
        <v>0</v>
      </c>
      <c r="AD128" s="12">
        <f t="shared" si="21"/>
        <v>2160</v>
      </c>
      <c r="AE128" s="13">
        <f t="shared" si="26"/>
        <v>0</v>
      </c>
    </row>
    <row r="129" spans="1:31">
      <c r="A129" s="6">
        <v>4</v>
      </c>
      <c r="B129" s="6">
        <f t="shared" si="25"/>
        <v>18</v>
      </c>
      <c r="C129" s="6" t="str">
        <f t="shared" si="14"/>
        <v>650557200GCUSHION, FOLDED, C AND S HONDA 2JX371647044908720</v>
      </c>
      <c r="D129" s="6" t="s">
        <v>223</v>
      </c>
      <c r="E129" s="6" t="s">
        <v>159</v>
      </c>
      <c r="F129" s="6"/>
      <c r="G129" s="7" t="s">
        <v>136</v>
      </c>
      <c r="H129" s="7"/>
      <c r="I129" s="7"/>
      <c r="J129" s="7"/>
      <c r="K129" s="7"/>
      <c r="L129" s="7">
        <v>3716470</v>
      </c>
      <c r="M129" s="22">
        <v>44908</v>
      </c>
      <c r="N129" s="8" t="s">
        <v>189</v>
      </c>
      <c r="O129" s="8"/>
      <c r="P129" s="7">
        <v>720</v>
      </c>
      <c r="Q129" s="7">
        <v>882387.25</v>
      </c>
      <c r="R129" s="7">
        <v>87089500</v>
      </c>
      <c r="S129" s="7">
        <v>5</v>
      </c>
      <c r="T129" s="7" t="s">
        <v>267</v>
      </c>
      <c r="U129" s="7" t="s">
        <v>178</v>
      </c>
      <c r="V129" s="6">
        <f t="shared" si="15"/>
        <v>44119.362500000003</v>
      </c>
      <c r="W129" s="6">
        <f t="shared" si="16"/>
        <v>4411.9362500000007</v>
      </c>
      <c r="X129" s="6">
        <f t="shared" si="17"/>
        <v>48531.298750000002</v>
      </c>
      <c r="Y129" s="6">
        <f t="shared" si="18"/>
        <v>67.404581597222219</v>
      </c>
      <c r="Z129" s="6">
        <f t="shared" si="19"/>
        <v>1225.5378472222221</v>
      </c>
      <c r="AA129" s="9">
        <f t="shared" si="20"/>
        <v>720</v>
      </c>
      <c r="AB129" s="10">
        <v>0</v>
      </c>
      <c r="AC129" s="11">
        <f t="shared" si="22"/>
        <v>0</v>
      </c>
      <c r="AD129" s="12">
        <f t="shared" si="21"/>
        <v>720</v>
      </c>
      <c r="AE129" s="13">
        <f t="shared" si="26"/>
        <v>0</v>
      </c>
    </row>
    <row r="130" spans="1:31">
      <c r="A130" s="6">
        <v>4</v>
      </c>
      <c r="B130" s="6">
        <f t="shared" si="25"/>
        <v>19</v>
      </c>
      <c r="C130" s="6" t="str">
        <f t="shared" ref="C130:C193" si="27">E130&amp;G130&amp;L130&amp;M130&amp;P130</f>
        <v>651409900ASCREW, STD METRIC M6 HEXALOBULAR INTERNAL, T457046134504360000</v>
      </c>
      <c r="D130" s="6" t="s">
        <v>223</v>
      </c>
      <c r="E130" s="6" t="s">
        <v>168</v>
      </c>
      <c r="F130" s="6"/>
      <c r="G130" s="7" t="s">
        <v>146</v>
      </c>
      <c r="H130" s="7"/>
      <c r="I130" s="7"/>
      <c r="J130" s="7"/>
      <c r="K130" s="7"/>
      <c r="L130" s="7">
        <v>5704613</v>
      </c>
      <c r="M130" s="22">
        <v>45043</v>
      </c>
      <c r="N130" s="8" t="s">
        <v>182</v>
      </c>
      <c r="O130" s="8"/>
      <c r="P130" s="7">
        <v>60000</v>
      </c>
      <c r="Q130" s="7">
        <v>203214.49</v>
      </c>
      <c r="R130" s="7">
        <v>87089500</v>
      </c>
      <c r="S130" s="7">
        <v>15</v>
      </c>
      <c r="T130" s="7" t="s">
        <v>183</v>
      </c>
      <c r="U130" s="7" t="s">
        <v>178</v>
      </c>
      <c r="V130" s="6">
        <f t="shared" ref="V130:V193" si="28">Q130*S130%</f>
        <v>30482.173499999997</v>
      </c>
      <c r="W130" s="6">
        <f t="shared" ref="W130:W193" si="29">V130*0.1</f>
        <v>3048.2173499999999</v>
      </c>
      <c r="X130" s="6">
        <f t="shared" ref="X130:X193" si="30">V130+W130</f>
        <v>33530.390849999996</v>
      </c>
      <c r="Y130" s="6">
        <f t="shared" ref="Y130:Y193" si="31">X130/P130</f>
        <v>0.55883984749999993</v>
      </c>
      <c r="Z130" s="6">
        <f t="shared" ref="Z130:Z193" si="32">Q130/P130</f>
        <v>3.3869081666666667</v>
      </c>
      <c r="AA130" s="9">
        <f t="shared" ref="AA130:AA193" si="33">P130</f>
        <v>60000</v>
      </c>
      <c r="AB130" s="10">
        <v>12000</v>
      </c>
      <c r="AC130" s="11">
        <f t="shared" si="22"/>
        <v>6706.0781699999989</v>
      </c>
      <c r="AD130" s="12">
        <f t="shared" ref="AD130:AD193" si="34">SUMIF($C$2:$C$2284,C130,$AB$2:$AB$2284)</f>
        <v>60000</v>
      </c>
      <c r="AE130" s="13">
        <f t="shared" si="26"/>
        <v>0</v>
      </c>
    </row>
    <row r="131" spans="1:31">
      <c r="A131" s="6">
        <v>4</v>
      </c>
      <c r="B131" s="6">
        <f t="shared" si="25"/>
        <v>20</v>
      </c>
      <c r="C131" s="6" t="str">
        <f t="shared" si="27"/>
        <v>651409900ASCREW, STD METRIC M6 HEXALOBULAR INTERNAL, T453335284501730000</v>
      </c>
      <c r="D131" s="6" t="s">
        <v>223</v>
      </c>
      <c r="E131" s="6" t="s">
        <v>168</v>
      </c>
      <c r="F131" s="6"/>
      <c r="G131" s="7" t="s">
        <v>146</v>
      </c>
      <c r="H131" s="7"/>
      <c r="I131" s="7"/>
      <c r="J131" s="7"/>
      <c r="K131" s="7"/>
      <c r="L131" s="7">
        <v>5333528</v>
      </c>
      <c r="M131" s="22">
        <v>45017</v>
      </c>
      <c r="N131" s="8" t="s">
        <v>189</v>
      </c>
      <c r="O131" s="8"/>
      <c r="P131" s="7">
        <v>30000</v>
      </c>
      <c r="Q131" s="7">
        <v>100400.94</v>
      </c>
      <c r="R131" s="7">
        <v>87089500</v>
      </c>
      <c r="S131" s="7">
        <v>15</v>
      </c>
      <c r="T131" s="7" t="s">
        <v>183</v>
      </c>
      <c r="U131" s="7" t="s">
        <v>178</v>
      </c>
      <c r="V131" s="6">
        <f t="shared" si="28"/>
        <v>15060.141</v>
      </c>
      <c r="W131" s="6">
        <f t="shared" si="29"/>
        <v>1506.0141000000001</v>
      </c>
      <c r="X131" s="6">
        <f t="shared" si="30"/>
        <v>16566.1551</v>
      </c>
      <c r="Y131" s="6">
        <f t="shared" si="31"/>
        <v>0.55220517000000002</v>
      </c>
      <c r="Z131" s="6">
        <f t="shared" si="32"/>
        <v>3.346698</v>
      </c>
      <c r="AA131" s="9">
        <f t="shared" si="33"/>
        <v>30000</v>
      </c>
      <c r="AB131" s="10">
        <v>0</v>
      </c>
      <c r="AC131" s="11">
        <f t="shared" ref="AC131:AC194" si="35">AB131*Y131</f>
        <v>0</v>
      </c>
      <c r="AD131" s="12">
        <f t="shared" si="34"/>
        <v>30000</v>
      </c>
      <c r="AE131" s="13">
        <f t="shared" si="26"/>
        <v>0</v>
      </c>
    </row>
    <row r="132" spans="1:31">
      <c r="A132" s="6">
        <v>4</v>
      </c>
      <c r="B132" s="6">
        <f t="shared" si="25"/>
        <v>21</v>
      </c>
      <c r="C132" s="6" t="str">
        <f t="shared" si="27"/>
        <v>651409900ASCREW, STD METRIC M6 HEXALOBULAR INTERNAL, T453335284501730000</v>
      </c>
      <c r="D132" s="6" t="s">
        <v>223</v>
      </c>
      <c r="E132" s="6" t="s">
        <v>168</v>
      </c>
      <c r="F132" s="6"/>
      <c r="G132" s="7" t="s">
        <v>146</v>
      </c>
      <c r="H132" s="7"/>
      <c r="I132" s="7"/>
      <c r="J132" s="7"/>
      <c r="K132" s="7"/>
      <c r="L132" s="7">
        <v>5333528</v>
      </c>
      <c r="M132" s="22">
        <v>45017</v>
      </c>
      <c r="N132" s="8" t="s">
        <v>189</v>
      </c>
      <c r="O132" s="8"/>
      <c r="P132" s="7">
        <v>30000</v>
      </c>
      <c r="Q132" s="7">
        <v>100400.94</v>
      </c>
      <c r="R132" s="7">
        <v>87089500</v>
      </c>
      <c r="S132" s="7">
        <v>15</v>
      </c>
      <c r="T132" s="7" t="s">
        <v>183</v>
      </c>
      <c r="U132" s="7" t="s">
        <v>178</v>
      </c>
      <c r="V132" s="6">
        <f t="shared" si="28"/>
        <v>15060.141</v>
      </c>
      <c r="W132" s="6">
        <f t="shared" si="29"/>
        <v>1506.0141000000001</v>
      </c>
      <c r="X132" s="6">
        <f t="shared" si="30"/>
        <v>16566.1551</v>
      </c>
      <c r="Y132" s="6">
        <f t="shared" si="31"/>
        <v>0.55220517000000002</v>
      </c>
      <c r="Z132" s="6">
        <f t="shared" si="32"/>
        <v>3.346698</v>
      </c>
      <c r="AA132" s="9">
        <f t="shared" si="33"/>
        <v>30000</v>
      </c>
      <c r="AB132" s="10">
        <v>0</v>
      </c>
      <c r="AC132" s="11">
        <f t="shared" si="35"/>
        <v>0</v>
      </c>
      <c r="AD132" s="12">
        <f t="shared" si="34"/>
        <v>30000</v>
      </c>
      <c r="AE132" s="13">
        <f t="shared" si="26"/>
        <v>0</v>
      </c>
    </row>
    <row r="133" spans="1:31">
      <c r="A133" s="6">
        <v>4</v>
      </c>
      <c r="B133" s="6">
        <f t="shared" si="25"/>
        <v>22</v>
      </c>
      <c r="C133" s="6" t="str">
        <f t="shared" si="27"/>
        <v>628408700ASCREW, STANDARD, METRIC, M5, HEXALOBULAR INTERNAL47679234498060000</v>
      </c>
      <c r="D133" s="6" t="s">
        <v>223</v>
      </c>
      <c r="E133" s="6" t="s">
        <v>167</v>
      </c>
      <c r="F133" s="6"/>
      <c r="G133" s="7" t="s">
        <v>145</v>
      </c>
      <c r="H133" s="7"/>
      <c r="I133" s="7"/>
      <c r="J133" s="7"/>
      <c r="K133" s="7"/>
      <c r="L133" s="7">
        <v>4767923</v>
      </c>
      <c r="M133" s="22">
        <v>44980</v>
      </c>
      <c r="N133" s="8" t="s">
        <v>189</v>
      </c>
      <c r="O133" s="8"/>
      <c r="P133" s="7">
        <v>60000</v>
      </c>
      <c r="Q133" s="7">
        <v>309545.81</v>
      </c>
      <c r="R133" s="7">
        <v>87089900</v>
      </c>
      <c r="S133" s="7">
        <v>15</v>
      </c>
      <c r="T133" s="7" t="s">
        <v>271</v>
      </c>
      <c r="U133" s="7" t="s">
        <v>178</v>
      </c>
      <c r="V133" s="6">
        <f t="shared" si="28"/>
        <v>46431.871500000001</v>
      </c>
      <c r="W133" s="6">
        <f t="shared" si="29"/>
        <v>4643.1871500000007</v>
      </c>
      <c r="X133" s="6">
        <f t="shared" si="30"/>
        <v>51075.058649999999</v>
      </c>
      <c r="Y133" s="6">
        <f t="shared" si="31"/>
        <v>0.85125097750000001</v>
      </c>
      <c r="Z133" s="6">
        <f t="shared" si="32"/>
        <v>5.1590968333333329</v>
      </c>
      <c r="AA133" s="9">
        <f t="shared" si="33"/>
        <v>60000</v>
      </c>
      <c r="AB133" s="10">
        <v>18000</v>
      </c>
      <c r="AC133" s="11">
        <f t="shared" si="35"/>
        <v>15322.517594999999</v>
      </c>
      <c r="AD133" s="12">
        <f t="shared" si="34"/>
        <v>60000</v>
      </c>
      <c r="AE133" s="13">
        <f t="shared" si="26"/>
        <v>0</v>
      </c>
    </row>
    <row r="134" spans="1:31">
      <c r="A134" s="6">
        <v>4</v>
      </c>
      <c r="B134" s="6">
        <f t="shared" si="25"/>
        <v>23</v>
      </c>
      <c r="C134" s="6" t="str">
        <f t="shared" si="27"/>
        <v>651015300BELEMENT, HEATER, HYBRID 4434700449573360</v>
      </c>
      <c r="D134" s="6" t="s">
        <v>223</v>
      </c>
      <c r="E134" s="6" t="s">
        <v>155</v>
      </c>
      <c r="F134" s="6"/>
      <c r="G134" s="7" t="s">
        <v>137</v>
      </c>
      <c r="H134" s="7"/>
      <c r="I134" s="7"/>
      <c r="J134" s="7"/>
      <c r="K134" s="7"/>
      <c r="L134" s="7">
        <v>4434700</v>
      </c>
      <c r="M134" s="22">
        <v>44957</v>
      </c>
      <c r="N134" s="8" t="s">
        <v>189</v>
      </c>
      <c r="O134" s="8"/>
      <c r="P134" s="7">
        <v>3360</v>
      </c>
      <c r="Q134" s="7">
        <v>1864351.04</v>
      </c>
      <c r="R134" s="7">
        <v>87089400</v>
      </c>
      <c r="S134" s="7">
        <v>15</v>
      </c>
      <c r="T134" s="7" t="s">
        <v>257</v>
      </c>
      <c r="U134" s="7" t="s">
        <v>178</v>
      </c>
      <c r="V134" s="6">
        <f t="shared" si="28"/>
        <v>279652.65600000002</v>
      </c>
      <c r="W134" s="6">
        <f t="shared" si="29"/>
        <v>27965.265600000002</v>
      </c>
      <c r="X134" s="6">
        <f t="shared" si="30"/>
        <v>307617.9216</v>
      </c>
      <c r="Y134" s="6">
        <f t="shared" si="31"/>
        <v>91.552952857142856</v>
      </c>
      <c r="Z134" s="6">
        <f t="shared" si="32"/>
        <v>554.86638095238095</v>
      </c>
      <c r="AA134" s="9">
        <f t="shared" si="33"/>
        <v>3360</v>
      </c>
      <c r="AB134" s="10">
        <v>710</v>
      </c>
      <c r="AC134" s="11">
        <f t="shared" si="35"/>
        <v>65002.596528571426</v>
      </c>
      <c r="AD134" s="12">
        <f t="shared" si="34"/>
        <v>3360</v>
      </c>
      <c r="AE134" s="13">
        <f t="shared" si="26"/>
        <v>0</v>
      </c>
    </row>
    <row r="135" spans="1:31">
      <c r="A135" s="6">
        <v>4</v>
      </c>
      <c r="B135" s="6">
        <f t="shared" si="25"/>
        <v>24</v>
      </c>
      <c r="C135" s="6" t="str">
        <f t="shared" si="27"/>
        <v>651166400CSPRING, COIL, UPPER 58739214505555000</v>
      </c>
      <c r="D135" s="6" t="s">
        <v>223</v>
      </c>
      <c r="E135" s="6" t="s">
        <v>170</v>
      </c>
      <c r="F135" s="6"/>
      <c r="G135" s="7" t="s">
        <v>148</v>
      </c>
      <c r="H135" s="7"/>
      <c r="I135" s="7"/>
      <c r="J135" s="7"/>
      <c r="K135" s="7"/>
      <c r="L135" s="7">
        <v>5873921</v>
      </c>
      <c r="M135" s="22">
        <v>45055</v>
      </c>
      <c r="N135" s="8" t="s">
        <v>180</v>
      </c>
      <c r="O135" s="8"/>
      <c r="P135" s="7">
        <v>55000</v>
      </c>
      <c r="Q135" s="7">
        <v>114843.51</v>
      </c>
      <c r="R135" s="7">
        <v>87089500</v>
      </c>
      <c r="S135" s="7">
        <v>15</v>
      </c>
      <c r="T135" s="7" t="s">
        <v>272</v>
      </c>
      <c r="U135" s="7" t="s">
        <v>178</v>
      </c>
      <c r="V135" s="6">
        <f t="shared" si="28"/>
        <v>17226.5265</v>
      </c>
      <c r="W135" s="6">
        <f t="shared" si="29"/>
        <v>1722.65265</v>
      </c>
      <c r="X135" s="6">
        <f t="shared" si="30"/>
        <v>18949.17915</v>
      </c>
      <c r="Y135" s="6">
        <f t="shared" si="31"/>
        <v>0.34453053</v>
      </c>
      <c r="Z135" s="6">
        <f t="shared" si="32"/>
        <v>2.0880638181818183</v>
      </c>
      <c r="AA135" s="9">
        <f t="shared" si="33"/>
        <v>55000</v>
      </c>
      <c r="AB135" s="10">
        <v>18000</v>
      </c>
      <c r="AC135" s="11">
        <f t="shared" si="35"/>
        <v>6201.54954</v>
      </c>
      <c r="AD135" s="12">
        <f t="shared" si="34"/>
        <v>55000</v>
      </c>
      <c r="AE135" s="13">
        <f t="shared" si="26"/>
        <v>0</v>
      </c>
    </row>
    <row r="136" spans="1:31">
      <c r="A136" s="6">
        <v>4</v>
      </c>
      <c r="B136" s="6">
        <f t="shared" si="25"/>
        <v>25</v>
      </c>
      <c r="C136" s="6" t="str">
        <f t="shared" si="27"/>
        <v>652466500ALEATHER, HIDE TOP GRAIN, OBSIDIAN BLACK, NNB, BLA5894354450572771</v>
      </c>
      <c r="D136" s="6" t="s">
        <v>223</v>
      </c>
      <c r="E136" s="6" t="s">
        <v>163</v>
      </c>
      <c r="F136" s="6"/>
      <c r="G136" s="7" t="s">
        <v>141</v>
      </c>
      <c r="H136" s="7"/>
      <c r="I136" s="7"/>
      <c r="J136" s="7"/>
      <c r="K136" s="7"/>
      <c r="L136" s="7">
        <v>5894354</v>
      </c>
      <c r="M136" s="22">
        <v>45057</v>
      </c>
      <c r="N136" s="8" t="s">
        <v>184</v>
      </c>
      <c r="O136" s="8"/>
      <c r="P136" s="7">
        <v>2771</v>
      </c>
      <c r="Q136" s="7">
        <v>5894354</v>
      </c>
      <c r="R136" s="7">
        <v>41071200</v>
      </c>
      <c r="S136" s="7">
        <v>0</v>
      </c>
      <c r="T136" s="7" t="s">
        <v>270</v>
      </c>
      <c r="U136" s="7" t="s">
        <v>178</v>
      </c>
      <c r="V136" s="6">
        <f t="shared" si="28"/>
        <v>0</v>
      </c>
      <c r="W136" s="6">
        <f t="shared" si="29"/>
        <v>0</v>
      </c>
      <c r="X136" s="6">
        <f t="shared" si="30"/>
        <v>0</v>
      </c>
      <c r="Y136" s="6">
        <f t="shared" si="31"/>
        <v>0</v>
      </c>
      <c r="Z136" s="6">
        <f t="shared" si="32"/>
        <v>2127.1577047997112</v>
      </c>
      <c r="AA136" s="9">
        <f t="shared" si="33"/>
        <v>2771</v>
      </c>
      <c r="AB136" s="10">
        <v>58</v>
      </c>
      <c r="AC136" s="11">
        <f t="shared" si="35"/>
        <v>0</v>
      </c>
      <c r="AD136" s="12">
        <f t="shared" si="34"/>
        <v>2770.83</v>
      </c>
      <c r="AE136" s="13">
        <f t="shared" si="26"/>
        <v>0.17000000000007276</v>
      </c>
    </row>
    <row r="137" spans="1:31">
      <c r="A137" s="6">
        <v>4</v>
      </c>
      <c r="B137" s="6">
        <f t="shared" si="25"/>
        <v>26</v>
      </c>
      <c r="C137" s="6" t="str">
        <f t="shared" si="27"/>
        <v>652466500ALEATHER, HIDE TOP GRAIN, OBSIDIAN BLACK, NNB, BLA8566470446902078</v>
      </c>
      <c r="D137" s="6" t="s">
        <v>223</v>
      </c>
      <c r="E137" s="6" t="s">
        <v>163</v>
      </c>
      <c r="F137" s="6"/>
      <c r="G137" s="7" t="s">
        <v>141</v>
      </c>
      <c r="H137" s="7"/>
      <c r="I137" s="7"/>
      <c r="J137" s="7"/>
      <c r="K137" s="7"/>
      <c r="L137" s="7">
        <v>8566470</v>
      </c>
      <c r="M137" s="22">
        <v>44690</v>
      </c>
      <c r="N137" s="8" t="s">
        <v>189</v>
      </c>
      <c r="O137" s="8"/>
      <c r="P137" s="7">
        <v>2078</v>
      </c>
      <c r="Q137" s="7">
        <v>5047938.7492206953</v>
      </c>
      <c r="R137" s="7">
        <v>41071200</v>
      </c>
      <c r="S137" s="7">
        <v>10</v>
      </c>
      <c r="T137" s="7" t="s">
        <v>261</v>
      </c>
      <c r="U137" s="7" t="s">
        <v>178</v>
      </c>
      <c r="V137" s="6">
        <f t="shared" si="28"/>
        <v>504793.87492206955</v>
      </c>
      <c r="W137" s="6">
        <f t="shared" si="29"/>
        <v>50479.387492206959</v>
      </c>
      <c r="X137" s="6">
        <f t="shared" si="30"/>
        <v>555273.26241427648</v>
      </c>
      <c r="Y137" s="6">
        <f t="shared" si="31"/>
        <v>267.21523696548434</v>
      </c>
      <c r="Z137" s="6">
        <f t="shared" si="32"/>
        <v>2429.2294269589488</v>
      </c>
      <c r="AA137" s="9">
        <f t="shared" si="33"/>
        <v>2078</v>
      </c>
      <c r="AB137" s="10">
        <v>1293</v>
      </c>
      <c r="AC137" s="11">
        <f t="shared" si="35"/>
        <v>345509.30139637127</v>
      </c>
      <c r="AD137" s="12">
        <f t="shared" si="34"/>
        <v>2078</v>
      </c>
      <c r="AE137" s="13">
        <f t="shared" si="26"/>
        <v>0</v>
      </c>
    </row>
    <row r="138" spans="1:31">
      <c r="A138" s="6">
        <v>4</v>
      </c>
      <c r="B138" s="6">
        <f t="shared" si="25"/>
        <v>27</v>
      </c>
      <c r="C138" s="6" t="str">
        <f t="shared" si="27"/>
        <v>655818900BACTUATOR VIBRATION MOTOR ASSY WITH BRACKET BC3 CU79671854464214400</v>
      </c>
      <c r="D138" s="6" t="s">
        <v>223</v>
      </c>
      <c r="E138" s="6" t="s">
        <v>156</v>
      </c>
      <c r="F138" s="6"/>
      <c r="G138" s="7" t="s">
        <v>133</v>
      </c>
      <c r="H138" s="7"/>
      <c r="I138" s="7"/>
      <c r="J138" s="7"/>
      <c r="K138" s="7"/>
      <c r="L138" s="7">
        <v>7967185</v>
      </c>
      <c r="M138" s="22">
        <v>44642</v>
      </c>
      <c r="N138" s="8" t="s">
        <v>180</v>
      </c>
      <c r="O138" s="8"/>
      <c r="P138" s="7">
        <v>14400</v>
      </c>
      <c r="Q138" s="7">
        <v>4832077.17</v>
      </c>
      <c r="R138" s="7">
        <v>85011019</v>
      </c>
      <c r="S138" s="7">
        <v>10</v>
      </c>
      <c r="T138" s="7" t="s">
        <v>192</v>
      </c>
      <c r="U138" s="7" t="s">
        <v>178</v>
      </c>
      <c r="V138" s="6">
        <f t="shared" si="28"/>
        <v>483207.717</v>
      </c>
      <c r="W138" s="6">
        <f t="shared" si="29"/>
        <v>48320.771700000005</v>
      </c>
      <c r="X138" s="6">
        <f t="shared" si="30"/>
        <v>531528.48869999999</v>
      </c>
      <c r="Y138" s="6">
        <f t="shared" si="31"/>
        <v>36.911700604166668</v>
      </c>
      <c r="Z138" s="6">
        <f t="shared" si="32"/>
        <v>335.56091458333333</v>
      </c>
      <c r="AA138" s="9">
        <f t="shared" si="33"/>
        <v>14400</v>
      </c>
      <c r="AB138" s="10">
        <v>5574</v>
      </c>
      <c r="AC138" s="11">
        <f t="shared" si="35"/>
        <v>205745.81916762501</v>
      </c>
      <c r="AD138" s="12">
        <f t="shared" si="34"/>
        <v>14400</v>
      </c>
      <c r="AE138" s="13">
        <f t="shared" si="26"/>
        <v>0</v>
      </c>
    </row>
    <row r="139" spans="1:31">
      <c r="A139" s="6">
        <v>4</v>
      </c>
      <c r="B139" s="6">
        <f t="shared" si="25"/>
        <v>28</v>
      </c>
      <c r="C139" s="6" t="str">
        <f t="shared" si="27"/>
        <v>655931500AARMATURE, MONOBLOCK ASW4, HYUNDAI BC3-CUV7843100451841620</v>
      </c>
      <c r="D139" s="6" t="s">
        <v>223</v>
      </c>
      <c r="E139" s="6" t="s">
        <v>157</v>
      </c>
      <c r="F139" s="6"/>
      <c r="G139" s="7" t="s">
        <v>134</v>
      </c>
      <c r="H139" s="7"/>
      <c r="I139" s="7"/>
      <c r="J139" s="7"/>
      <c r="K139" s="7"/>
      <c r="L139" s="7">
        <v>7843100</v>
      </c>
      <c r="M139" s="22">
        <v>45184</v>
      </c>
      <c r="N139" s="8" t="e">
        <v>#N/A</v>
      </c>
      <c r="O139" s="8"/>
      <c r="P139" s="7">
        <v>1620</v>
      </c>
      <c r="Q139" s="7">
        <v>674332.87</v>
      </c>
      <c r="R139" s="7" t="e">
        <v>#N/A</v>
      </c>
      <c r="S139" s="7">
        <v>15</v>
      </c>
      <c r="T139" s="7" t="e">
        <v>#N/A</v>
      </c>
      <c r="U139" s="7" t="e">
        <v>#N/A</v>
      </c>
      <c r="V139" s="6">
        <f t="shared" si="28"/>
        <v>101149.9305</v>
      </c>
      <c r="W139" s="6">
        <f t="shared" si="29"/>
        <v>10114.993050000001</v>
      </c>
      <c r="X139" s="6">
        <f t="shared" si="30"/>
        <v>111264.92355000001</v>
      </c>
      <c r="Y139" s="6">
        <f t="shared" si="31"/>
        <v>68.68205157407408</v>
      </c>
      <c r="Z139" s="6">
        <f t="shared" si="32"/>
        <v>416.25485802469137</v>
      </c>
      <c r="AA139" s="9">
        <f t="shared" si="33"/>
        <v>1620</v>
      </c>
      <c r="AB139" s="10">
        <v>972</v>
      </c>
      <c r="AC139" s="11">
        <f t="shared" si="35"/>
        <v>66758.954130000013</v>
      </c>
      <c r="AD139" s="12">
        <f t="shared" si="34"/>
        <v>1620</v>
      </c>
      <c r="AE139" s="13">
        <f t="shared" si="26"/>
        <v>0</v>
      </c>
    </row>
    <row r="140" spans="1:31">
      <c r="A140" s="6">
        <v>4</v>
      </c>
      <c r="B140" s="6">
        <f t="shared" si="25"/>
        <v>29</v>
      </c>
      <c r="C140" s="6" t="str">
        <f t="shared" si="27"/>
        <v>655931500AARMATURE, MONOBLOCK ASW4, HYUNDAI BC3-CUV5125412450041458</v>
      </c>
      <c r="D140" s="6" t="s">
        <v>223</v>
      </c>
      <c r="E140" s="6" t="s">
        <v>157</v>
      </c>
      <c r="F140" s="6"/>
      <c r="G140" s="7" t="s">
        <v>134</v>
      </c>
      <c r="H140" s="7"/>
      <c r="I140" s="7"/>
      <c r="J140" s="7"/>
      <c r="K140" s="7"/>
      <c r="L140" s="7">
        <v>5125412</v>
      </c>
      <c r="M140" s="22">
        <v>45004</v>
      </c>
      <c r="N140" s="8" t="s">
        <v>184</v>
      </c>
      <c r="O140" s="8"/>
      <c r="P140" s="7">
        <v>1458</v>
      </c>
      <c r="Q140" s="7">
        <v>725480.5</v>
      </c>
      <c r="R140" s="7">
        <v>87089900</v>
      </c>
      <c r="S140" s="7">
        <v>15</v>
      </c>
      <c r="T140" s="7" t="s">
        <v>269</v>
      </c>
      <c r="U140" s="7" t="s">
        <v>178</v>
      </c>
      <c r="V140" s="6">
        <f t="shared" si="28"/>
        <v>108822.075</v>
      </c>
      <c r="W140" s="6">
        <f t="shared" si="29"/>
        <v>10882.2075</v>
      </c>
      <c r="X140" s="6">
        <f t="shared" si="30"/>
        <v>119704.2825</v>
      </c>
      <c r="Y140" s="6">
        <f t="shared" si="31"/>
        <v>82.101702674897126</v>
      </c>
      <c r="Z140" s="6">
        <f t="shared" si="32"/>
        <v>497.58607681755831</v>
      </c>
      <c r="AA140" s="9">
        <f t="shared" si="33"/>
        <v>1458</v>
      </c>
      <c r="AB140" s="10">
        <v>83</v>
      </c>
      <c r="AC140" s="11">
        <f t="shared" si="35"/>
        <v>6814.4413220164615</v>
      </c>
      <c r="AD140" s="12">
        <f t="shared" si="34"/>
        <v>1458</v>
      </c>
      <c r="AE140" s="13">
        <f t="shared" si="26"/>
        <v>0</v>
      </c>
    </row>
    <row r="141" spans="1:31">
      <c r="A141" s="6">
        <v>4</v>
      </c>
      <c r="B141" s="6">
        <f t="shared" si="25"/>
        <v>30</v>
      </c>
      <c r="C141" s="6" t="str">
        <f t="shared" si="27"/>
        <v>655931500AARMATURE, MONOBLOCK ASW4, HYUNDAI BC3-CUV4646751449722592</v>
      </c>
      <c r="D141" s="6" t="s">
        <v>223</v>
      </c>
      <c r="E141" s="6" t="s">
        <v>157</v>
      </c>
      <c r="F141" s="6"/>
      <c r="G141" s="7" t="s">
        <v>134</v>
      </c>
      <c r="H141" s="7"/>
      <c r="I141" s="7"/>
      <c r="J141" s="7"/>
      <c r="K141" s="7"/>
      <c r="L141" s="7">
        <v>4646751</v>
      </c>
      <c r="M141" s="22">
        <v>44972</v>
      </c>
      <c r="N141" s="8" t="s">
        <v>184</v>
      </c>
      <c r="O141" s="8"/>
      <c r="P141" s="7">
        <v>2592</v>
      </c>
      <c r="Q141" s="7">
        <v>1320637.94</v>
      </c>
      <c r="R141" s="7">
        <v>87089400</v>
      </c>
      <c r="S141" s="7">
        <v>15</v>
      </c>
      <c r="T141" s="7" t="s">
        <v>186</v>
      </c>
      <c r="U141" s="7" t="s">
        <v>178</v>
      </c>
      <c r="V141" s="6">
        <f t="shared" si="28"/>
        <v>198095.69099999999</v>
      </c>
      <c r="W141" s="6">
        <f t="shared" si="29"/>
        <v>19809.569100000001</v>
      </c>
      <c r="X141" s="6">
        <f t="shared" si="30"/>
        <v>217905.26009999998</v>
      </c>
      <c r="Y141" s="6">
        <f t="shared" si="31"/>
        <v>84.068387384259253</v>
      </c>
      <c r="Z141" s="6">
        <f t="shared" si="32"/>
        <v>509.50537808641974</v>
      </c>
      <c r="AA141" s="9">
        <f t="shared" si="33"/>
        <v>2592</v>
      </c>
      <c r="AB141" s="10">
        <v>2592</v>
      </c>
      <c r="AC141" s="11">
        <f t="shared" si="35"/>
        <v>217905.26009999998</v>
      </c>
      <c r="AD141" s="12">
        <f t="shared" si="34"/>
        <v>2592</v>
      </c>
      <c r="AE141" s="13">
        <f t="shared" si="26"/>
        <v>0</v>
      </c>
    </row>
    <row r="142" spans="1:31">
      <c r="A142" s="6">
        <v>4</v>
      </c>
      <c r="B142" s="6">
        <f t="shared" si="25"/>
        <v>31</v>
      </c>
      <c r="C142" s="6" t="str">
        <f t="shared" si="27"/>
        <v>655931500AARMATURE, MONOBLOCK ASW4, HYUNDAI BC3-CUV5312160450161620</v>
      </c>
      <c r="D142" s="6" t="s">
        <v>223</v>
      </c>
      <c r="E142" s="6" t="s">
        <v>157</v>
      </c>
      <c r="F142" s="6"/>
      <c r="G142" s="7" t="s">
        <v>134</v>
      </c>
      <c r="H142" s="7"/>
      <c r="I142" s="7"/>
      <c r="J142" s="7"/>
      <c r="K142" s="7"/>
      <c r="L142" s="7">
        <v>5312160</v>
      </c>
      <c r="M142" s="22">
        <v>45016</v>
      </c>
      <c r="N142" s="8" t="s">
        <v>184</v>
      </c>
      <c r="O142" s="8"/>
      <c r="P142" s="7">
        <v>1620</v>
      </c>
      <c r="Q142" s="7">
        <v>810425.48</v>
      </c>
      <c r="R142" s="7">
        <v>87089400</v>
      </c>
      <c r="S142" s="7">
        <v>15</v>
      </c>
      <c r="T142" s="7" t="s">
        <v>186</v>
      </c>
      <c r="U142" s="7" t="s">
        <v>178</v>
      </c>
      <c r="V142" s="6">
        <f t="shared" si="28"/>
        <v>121563.82199999999</v>
      </c>
      <c r="W142" s="6">
        <f t="shared" si="29"/>
        <v>12156.3822</v>
      </c>
      <c r="X142" s="6">
        <f t="shared" si="30"/>
        <v>133720.20419999998</v>
      </c>
      <c r="Y142" s="6">
        <f t="shared" si="31"/>
        <v>82.543335925925916</v>
      </c>
      <c r="Z142" s="6">
        <f t="shared" si="32"/>
        <v>500.26264197530861</v>
      </c>
      <c r="AA142" s="9">
        <f t="shared" si="33"/>
        <v>1620</v>
      </c>
      <c r="AB142" s="10">
        <v>1620</v>
      </c>
      <c r="AC142" s="11">
        <f t="shared" si="35"/>
        <v>133720.20419999998</v>
      </c>
      <c r="AD142" s="12">
        <f t="shared" si="34"/>
        <v>1620</v>
      </c>
      <c r="AE142" s="13">
        <f t="shared" si="26"/>
        <v>0</v>
      </c>
    </row>
    <row r="143" spans="1:31">
      <c r="A143" s="6">
        <v>4</v>
      </c>
      <c r="B143" s="6">
        <f t="shared" si="25"/>
        <v>32</v>
      </c>
      <c r="C143" s="6" t="str">
        <f t="shared" si="27"/>
        <v>651015300BELEMENT, HEATER, HYBRID 4302345449472240</v>
      </c>
      <c r="D143" s="6" t="s">
        <v>223</v>
      </c>
      <c r="E143" s="6" t="s">
        <v>155</v>
      </c>
      <c r="F143" s="6"/>
      <c r="G143" s="7" t="s">
        <v>137</v>
      </c>
      <c r="H143" s="7"/>
      <c r="I143" s="7"/>
      <c r="J143" s="7"/>
      <c r="K143" s="7"/>
      <c r="L143" s="7">
        <v>4302345</v>
      </c>
      <c r="M143" s="22">
        <v>44947</v>
      </c>
      <c r="N143" s="8" t="s">
        <v>180</v>
      </c>
      <c r="O143" s="8"/>
      <c r="P143" s="7">
        <v>2240</v>
      </c>
      <c r="Q143" s="7">
        <v>1358146.6666666667</v>
      </c>
      <c r="R143" s="7">
        <v>87089900</v>
      </c>
      <c r="S143" s="7">
        <v>15</v>
      </c>
      <c r="T143" s="7" t="s">
        <v>276</v>
      </c>
      <c r="U143" s="7" t="s">
        <v>178</v>
      </c>
      <c r="V143" s="6">
        <f t="shared" si="28"/>
        <v>203722</v>
      </c>
      <c r="W143" s="6">
        <f t="shared" si="29"/>
        <v>20372.2</v>
      </c>
      <c r="X143" s="6">
        <f t="shared" si="30"/>
        <v>224094.2</v>
      </c>
      <c r="Y143" s="6">
        <f t="shared" si="31"/>
        <v>100.04205357142858</v>
      </c>
      <c r="Z143" s="6">
        <f t="shared" si="32"/>
        <v>606.31547619047626</v>
      </c>
      <c r="AA143" s="9">
        <f t="shared" si="33"/>
        <v>2240</v>
      </c>
      <c r="AB143" s="10">
        <v>714</v>
      </c>
      <c r="AC143" s="11">
        <f t="shared" si="35"/>
        <v>71430.02625000001</v>
      </c>
      <c r="AD143" s="12">
        <f t="shared" si="34"/>
        <v>2240</v>
      </c>
      <c r="AE143" s="13">
        <f t="shared" si="26"/>
        <v>0</v>
      </c>
    </row>
    <row r="144" spans="1:31">
      <c r="A144" s="6">
        <v>4</v>
      </c>
      <c r="B144" s="6">
        <f t="shared" si="25"/>
        <v>33</v>
      </c>
      <c r="C144" s="6" t="str">
        <f t="shared" si="27"/>
        <v>653052600AINFLATOR, APP-4.6, 2.2MO STANDARD_MIB, SQUARE_61X6505272450983456</v>
      </c>
      <c r="D144" s="6" t="s">
        <v>223</v>
      </c>
      <c r="E144" s="6" t="s">
        <v>161</v>
      </c>
      <c r="F144" s="6"/>
      <c r="G144" s="7" t="s">
        <v>139</v>
      </c>
      <c r="H144" s="7"/>
      <c r="I144" s="7"/>
      <c r="J144" s="7"/>
      <c r="K144" s="7"/>
      <c r="L144" s="7">
        <v>6505272</v>
      </c>
      <c r="M144" s="22">
        <v>45098</v>
      </c>
      <c r="N144" s="8" t="s">
        <v>184</v>
      </c>
      <c r="O144" s="8"/>
      <c r="P144" s="7">
        <v>3456</v>
      </c>
      <c r="Q144" s="7">
        <v>1818691.99</v>
      </c>
      <c r="R144" s="7">
        <v>87089500</v>
      </c>
      <c r="S144" s="7">
        <v>15</v>
      </c>
      <c r="T144" s="7" t="s">
        <v>277</v>
      </c>
      <c r="U144" s="7" t="s">
        <v>200</v>
      </c>
      <c r="V144" s="6">
        <f t="shared" si="28"/>
        <v>272803.79849999998</v>
      </c>
      <c r="W144" s="6">
        <f t="shared" si="29"/>
        <v>27280.379849999998</v>
      </c>
      <c r="X144" s="6">
        <f t="shared" si="30"/>
        <v>300084.17834999994</v>
      </c>
      <c r="Y144" s="6">
        <f t="shared" si="31"/>
        <v>86.829912717013869</v>
      </c>
      <c r="Z144" s="6">
        <f t="shared" si="32"/>
        <v>526.24189525462964</v>
      </c>
      <c r="AA144" s="9">
        <f t="shared" si="33"/>
        <v>3456</v>
      </c>
      <c r="AB144" s="10">
        <v>460</v>
      </c>
      <c r="AC144" s="11">
        <f t="shared" si="35"/>
        <v>39941.759849826383</v>
      </c>
      <c r="AD144" s="12">
        <f t="shared" si="34"/>
        <v>3360</v>
      </c>
      <c r="AE144" s="13">
        <f t="shared" si="26"/>
        <v>96</v>
      </c>
    </row>
    <row r="145" spans="1:31">
      <c r="A145" s="6">
        <v>4</v>
      </c>
      <c r="B145" s="6">
        <f t="shared" si="25"/>
        <v>34</v>
      </c>
      <c r="C145" s="6" t="str">
        <f t="shared" si="27"/>
        <v>639590100BSCREW SELF TAPPING INTERNAL T15, 15.0951301244754120000</v>
      </c>
      <c r="D145" s="6" t="s">
        <v>223</v>
      </c>
      <c r="E145" s="6" t="s">
        <v>165</v>
      </c>
      <c r="F145" s="6"/>
      <c r="G145" s="7" t="s">
        <v>143</v>
      </c>
      <c r="H145" s="7"/>
      <c r="I145" s="7"/>
      <c r="J145" s="7"/>
      <c r="K145" s="7"/>
      <c r="L145" s="7">
        <v>9513012</v>
      </c>
      <c r="M145" s="22">
        <v>44754</v>
      </c>
      <c r="N145" s="8" t="s">
        <v>180</v>
      </c>
      <c r="O145" s="8"/>
      <c r="P145" s="7">
        <v>120000</v>
      </c>
      <c r="Q145" s="7">
        <v>131179.14000000001</v>
      </c>
      <c r="R145" s="7">
        <v>87089900</v>
      </c>
      <c r="S145" s="7">
        <v>15</v>
      </c>
      <c r="T145" s="7" t="s">
        <v>262</v>
      </c>
      <c r="U145" s="7" t="s">
        <v>178</v>
      </c>
      <c r="V145" s="6">
        <f t="shared" si="28"/>
        <v>19676.871000000003</v>
      </c>
      <c r="W145" s="6">
        <f t="shared" si="29"/>
        <v>1967.6871000000003</v>
      </c>
      <c r="X145" s="6">
        <f t="shared" si="30"/>
        <v>21644.558100000002</v>
      </c>
      <c r="Y145" s="6">
        <f t="shared" si="31"/>
        <v>0.18037131750000002</v>
      </c>
      <c r="Z145" s="6">
        <f t="shared" si="32"/>
        <v>1.0931595000000001</v>
      </c>
      <c r="AA145" s="9">
        <f t="shared" si="33"/>
        <v>120000</v>
      </c>
      <c r="AB145" s="10">
        <v>0</v>
      </c>
      <c r="AC145" s="11">
        <f t="shared" si="35"/>
        <v>0</v>
      </c>
      <c r="AD145" s="12">
        <f t="shared" si="34"/>
        <v>120000</v>
      </c>
      <c r="AE145" s="13">
        <f t="shared" si="26"/>
        <v>0</v>
      </c>
    </row>
    <row r="146" spans="1:31">
      <c r="A146" s="6">
        <v>4</v>
      </c>
      <c r="B146" s="6">
        <f t="shared" si="25"/>
        <v>35</v>
      </c>
      <c r="C146" s="6" t="str">
        <f t="shared" si="27"/>
        <v>608225700ASCREW,STD METRIIC HEXALOBULAR  M5 T25 12MM65215504509930000</v>
      </c>
      <c r="D146" s="6" t="s">
        <v>223</v>
      </c>
      <c r="E146" s="6" t="s">
        <v>169</v>
      </c>
      <c r="F146" s="6"/>
      <c r="G146" s="7" t="s">
        <v>147</v>
      </c>
      <c r="H146" s="7"/>
      <c r="I146" s="7"/>
      <c r="J146" s="7"/>
      <c r="K146" s="7"/>
      <c r="L146" s="7">
        <v>6521550</v>
      </c>
      <c r="M146" s="22">
        <v>45099</v>
      </c>
      <c r="N146" s="8" t="s">
        <v>189</v>
      </c>
      <c r="O146" s="8"/>
      <c r="P146" s="7">
        <v>30000</v>
      </c>
      <c r="Q146" s="7">
        <v>91043.24</v>
      </c>
      <c r="R146" s="7">
        <v>87089400</v>
      </c>
      <c r="S146" s="7">
        <v>15</v>
      </c>
      <c r="T146" s="7" t="s">
        <v>266</v>
      </c>
      <c r="U146" s="7" t="s">
        <v>178</v>
      </c>
      <c r="V146" s="6">
        <f t="shared" si="28"/>
        <v>13656.486000000001</v>
      </c>
      <c r="W146" s="6">
        <f t="shared" si="29"/>
        <v>1365.6486000000002</v>
      </c>
      <c r="X146" s="6">
        <f t="shared" si="30"/>
        <v>15022.134600000001</v>
      </c>
      <c r="Y146" s="6">
        <f t="shared" si="31"/>
        <v>0.50073782</v>
      </c>
      <c r="Z146" s="6">
        <f t="shared" si="32"/>
        <v>3.0347746666666668</v>
      </c>
      <c r="AA146" s="9">
        <f t="shared" si="33"/>
        <v>30000</v>
      </c>
      <c r="AB146" s="10">
        <v>0</v>
      </c>
      <c r="AC146" s="11">
        <f t="shared" si="35"/>
        <v>0</v>
      </c>
      <c r="AD146" s="12">
        <f t="shared" si="34"/>
        <v>30000</v>
      </c>
      <c r="AE146" s="13">
        <f t="shared" si="26"/>
        <v>0</v>
      </c>
    </row>
    <row r="147" spans="1:31">
      <c r="A147" s="6">
        <v>4</v>
      </c>
      <c r="B147" s="6">
        <f t="shared" si="25"/>
        <v>36</v>
      </c>
      <c r="C147" s="6" t="str">
        <f t="shared" si="27"/>
        <v>655931500AARMATURE, MONOBLOCK ASW4, HYUNDAI BC3-CUV7263786445893726</v>
      </c>
      <c r="D147" s="6" t="s">
        <v>223</v>
      </c>
      <c r="E147" s="6" t="s">
        <v>157</v>
      </c>
      <c r="F147" s="6"/>
      <c r="G147" s="7" t="s">
        <v>134</v>
      </c>
      <c r="H147" s="7"/>
      <c r="I147" s="7"/>
      <c r="J147" s="7"/>
      <c r="K147" s="7"/>
      <c r="L147" s="7">
        <v>7263786</v>
      </c>
      <c r="M147" s="22">
        <v>44589</v>
      </c>
      <c r="N147" s="8" t="s">
        <v>184</v>
      </c>
      <c r="O147" s="8"/>
      <c r="P147" s="7">
        <v>3726</v>
      </c>
      <c r="Q147" s="7">
        <v>1933148.73</v>
      </c>
      <c r="R147" s="7">
        <v>87089400</v>
      </c>
      <c r="S147" s="7">
        <v>15</v>
      </c>
      <c r="T147" s="7" t="s">
        <v>278</v>
      </c>
      <c r="U147" s="7" t="s">
        <v>178</v>
      </c>
      <c r="V147" s="6">
        <f t="shared" si="28"/>
        <v>289972.30949999997</v>
      </c>
      <c r="W147" s="6">
        <f t="shared" si="29"/>
        <v>28997.230949999997</v>
      </c>
      <c r="X147" s="6">
        <f t="shared" si="30"/>
        <v>318969.54044999997</v>
      </c>
      <c r="Y147" s="6">
        <f t="shared" si="31"/>
        <v>85.606425241545892</v>
      </c>
      <c r="Z147" s="6">
        <f t="shared" si="32"/>
        <v>518.82681964573271</v>
      </c>
      <c r="AA147" s="9">
        <f t="shared" si="33"/>
        <v>3726</v>
      </c>
      <c r="AB147" s="10">
        <v>733</v>
      </c>
      <c r="AC147" s="11">
        <f t="shared" si="35"/>
        <v>62749.509702053139</v>
      </c>
      <c r="AD147" s="12">
        <f t="shared" si="34"/>
        <v>3726</v>
      </c>
      <c r="AE147" s="13">
        <f t="shared" si="26"/>
        <v>0</v>
      </c>
    </row>
    <row r="148" spans="1:31">
      <c r="A148" s="6">
        <v>5</v>
      </c>
      <c r="B148" s="6">
        <v>1</v>
      </c>
      <c r="C148" s="6" t="str">
        <f t="shared" si="27"/>
        <v>630580800ALABEL, RAW MATERIAL, BLA K12 TPC BUCKLE5160585449362400000</v>
      </c>
      <c r="D148" s="6" t="s">
        <v>222</v>
      </c>
      <c r="E148" s="6" t="s">
        <v>71</v>
      </c>
      <c r="F148" s="6"/>
      <c r="G148" s="7" t="s">
        <v>31</v>
      </c>
      <c r="H148" s="7"/>
      <c r="I148" s="7"/>
      <c r="J148" s="7"/>
      <c r="K148" s="7"/>
      <c r="L148" s="7">
        <v>5160585</v>
      </c>
      <c r="M148" s="22">
        <v>44936</v>
      </c>
      <c r="N148" s="8" t="s">
        <v>196</v>
      </c>
      <c r="O148" s="8" t="s">
        <v>333</v>
      </c>
      <c r="P148" s="7">
        <v>2400000</v>
      </c>
      <c r="Q148" s="7">
        <v>86522.34</v>
      </c>
      <c r="R148" s="7">
        <v>87082900</v>
      </c>
      <c r="S148" s="7">
        <v>15</v>
      </c>
      <c r="T148" s="7" t="s">
        <v>265</v>
      </c>
      <c r="U148" s="7" t="s">
        <v>178</v>
      </c>
      <c r="V148" s="6">
        <f t="shared" si="28"/>
        <v>12978.350999999999</v>
      </c>
      <c r="W148" s="6">
        <f t="shared" si="29"/>
        <v>1297.8351</v>
      </c>
      <c r="X148" s="6">
        <f t="shared" si="30"/>
        <v>14276.186099999999</v>
      </c>
      <c r="Y148" s="6">
        <f t="shared" si="31"/>
        <v>5.9484108749999999E-3</v>
      </c>
      <c r="Z148" s="6">
        <f t="shared" si="32"/>
        <v>3.6050974999999999E-2</v>
      </c>
      <c r="AA148" s="9">
        <f t="shared" si="33"/>
        <v>2400000</v>
      </c>
      <c r="AB148" s="10">
        <v>11717</v>
      </c>
      <c r="AC148" s="11">
        <f t="shared" si="35"/>
        <v>69.697530222374994</v>
      </c>
      <c r="AD148" s="12">
        <f t="shared" si="34"/>
        <v>548546</v>
      </c>
      <c r="AE148" s="13">
        <f t="shared" si="26"/>
        <v>1851454</v>
      </c>
    </row>
    <row r="149" spans="1:31">
      <c r="A149" s="6">
        <v>5</v>
      </c>
      <c r="B149" s="6">
        <f t="shared" ref="B149:B184" si="36">B148+1</f>
        <v>2</v>
      </c>
      <c r="C149" s="6" t="str">
        <f t="shared" si="27"/>
        <v>634240200AHORN CONTACT, CU 521662145010720000</v>
      </c>
      <c r="D149" s="6" t="s">
        <v>222</v>
      </c>
      <c r="E149" s="6" t="s">
        <v>160</v>
      </c>
      <c r="F149" s="6"/>
      <c r="G149" s="7" t="s">
        <v>138</v>
      </c>
      <c r="H149" s="7"/>
      <c r="I149" s="7"/>
      <c r="J149" s="7"/>
      <c r="K149" s="7"/>
      <c r="L149" s="7">
        <v>5216621</v>
      </c>
      <c r="M149" s="22">
        <v>45010</v>
      </c>
      <c r="N149" s="8" t="s">
        <v>189</v>
      </c>
      <c r="O149" s="8"/>
      <c r="P149" s="7">
        <v>720000</v>
      </c>
      <c r="Q149" s="7">
        <v>803516.76</v>
      </c>
      <c r="R149" s="7">
        <v>87089900</v>
      </c>
      <c r="S149" s="7">
        <v>15</v>
      </c>
      <c r="T149" s="7" t="s">
        <v>258</v>
      </c>
      <c r="U149" s="7" t="s">
        <v>178</v>
      </c>
      <c r="V149" s="6">
        <f t="shared" si="28"/>
        <v>120527.514</v>
      </c>
      <c r="W149" s="6">
        <f t="shared" si="29"/>
        <v>12052.751400000001</v>
      </c>
      <c r="X149" s="6">
        <f t="shared" si="30"/>
        <v>132580.2654</v>
      </c>
      <c r="Y149" s="6">
        <f t="shared" si="31"/>
        <v>0.18413925750000001</v>
      </c>
      <c r="Z149" s="6">
        <f t="shared" si="32"/>
        <v>1.1159954999999999</v>
      </c>
      <c r="AA149" s="9">
        <f t="shared" si="33"/>
        <v>720000</v>
      </c>
      <c r="AB149" s="10">
        <v>46868</v>
      </c>
      <c r="AC149" s="11">
        <f t="shared" si="35"/>
        <v>8630.2387205100003</v>
      </c>
      <c r="AD149" s="12">
        <f t="shared" si="34"/>
        <v>707364</v>
      </c>
      <c r="AE149" s="13">
        <f t="shared" si="26"/>
        <v>12636</v>
      </c>
    </row>
    <row r="150" spans="1:31">
      <c r="A150" s="6">
        <v>5</v>
      </c>
      <c r="B150" s="6">
        <f t="shared" si="36"/>
        <v>3</v>
      </c>
      <c r="C150" s="6" t="str">
        <f t="shared" si="27"/>
        <v>656011400ALEATHER, HIDE TOP GRAIN, GREY, FOSSIL GREY, T9Y,722294145143466.39</v>
      </c>
      <c r="D150" s="6" t="s">
        <v>222</v>
      </c>
      <c r="E150" s="6" t="s">
        <v>162</v>
      </c>
      <c r="F150" s="6"/>
      <c r="G150" s="7" t="s">
        <v>140</v>
      </c>
      <c r="H150" s="7"/>
      <c r="I150" s="7"/>
      <c r="J150" s="7"/>
      <c r="K150" s="7"/>
      <c r="L150" s="7">
        <v>7222941</v>
      </c>
      <c r="M150" s="22">
        <v>45143</v>
      </c>
      <c r="N150" s="8" t="s">
        <v>180</v>
      </c>
      <c r="O150" s="8"/>
      <c r="P150" s="7">
        <v>466.39</v>
      </c>
      <c r="Q150" s="7">
        <v>1147356.54</v>
      </c>
      <c r="R150" s="7">
        <v>41071200</v>
      </c>
      <c r="S150" s="7">
        <v>10</v>
      </c>
      <c r="T150" s="7" t="s">
        <v>260</v>
      </c>
      <c r="U150" s="7" t="s">
        <v>178</v>
      </c>
      <c r="V150" s="6">
        <f t="shared" si="28"/>
        <v>114735.65400000001</v>
      </c>
      <c r="W150" s="6">
        <f t="shared" si="29"/>
        <v>11473.565400000001</v>
      </c>
      <c r="X150" s="6">
        <f t="shared" si="30"/>
        <v>126209.21940000002</v>
      </c>
      <c r="Y150" s="6">
        <f t="shared" si="31"/>
        <v>270.60875962177579</v>
      </c>
      <c r="Z150" s="6">
        <f t="shared" si="32"/>
        <v>2460.0796329252344</v>
      </c>
      <c r="AA150" s="9">
        <f t="shared" si="33"/>
        <v>466.39</v>
      </c>
      <c r="AB150" s="10">
        <v>190.09429800000001</v>
      </c>
      <c r="AC150" s="11">
        <f t="shared" si="35"/>
        <v>51441.182192952219</v>
      </c>
      <c r="AD150" s="12">
        <f t="shared" si="34"/>
        <v>466.42970200000002</v>
      </c>
      <c r="AE150" s="13">
        <v>0</v>
      </c>
    </row>
    <row r="151" spans="1:31">
      <c r="A151" s="6">
        <v>5</v>
      </c>
      <c r="B151" s="6">
        <f t="shared" si="36"/>
        <v>4</v>
      </c>
      <c r="C151" s="6" t="str">
        <f t="shared" si="27"/>
        <v>608067201ANUT, ISO, M5 351094044894800000</v>
      </c>
      <c r="D151" s="6" t="s">
        <v>222</v>
      </c>
      <c r="E151" s="6" t="s">
        <v>164</v>
      </c>
      <c r="F151" s="6"/>
      <c r="G151" s="7" t="s">
        <v>142</v>
      </c>
      <c r="H151" s="7"/>
      <c r="I151" s="7"/>
      <c r="J151" s="7"/>
      <c r="K151" s="7"/>
      <c r="L151" s="7">
        <v>3510940</v>
      </c>
      <c r="M151" s="22">
        <v>44894</v>
      </c>
      <c r="N151" s="8" t="s">
        <v>189</v>
      </c>
      <c r="O151" s="8" t="s">
        <v>332</v>
      </c>
      <c r="P151" s="7">
        <v>800000</v>
      </c>
      <c r="Q151" s="7">
        <v>1498489.13</v>
      </c>
      <c r="R151" s="7">
        <v>87089500</v>
      </c>
      <c r="S151" s="7">
        <v>15</v>
      </c>
      <c r="T151" s="7" t="s">
        <v>183</v>
      </c>
      <c r="U151" s="7" t="s">
        <v>178</v>
      </c>
      <c r="V151" s="6">
        <f t="shared" si="28"/>
        <v>224773.36949999997</v>
      </c>
      <c r="W151" s="6">
        <f t="shared" si="29"/>
        <v>22477.336949999997</v>
      </c>
      <c r="X151" s="6">
        <f t="shared" si="30"/>
        <v>247250.70644999997</v>
      </c>
      <c r="Y151" s="6">
        <f t="shared" si="31"/>
        <v>0.30906338306249997</v>
      </c>
      <c r="Z151" s="6">
        <f t="shared" si="32"/>
        <v>1.8731114124999999</v>
      </c>
      <c r="AA151" s="9">
        <f t="shared" si="33"/>
        <v>800000</v>
      </c>
      <c r="AB151" s="10">
        <v>7680</v>
      </c>
      <c r="AC151" s="11">
        <f t="shared" si="35"/>
        <v>2373.6067819199998</v>
      </c>
      <c r="AD151" s="12">
        <f t="shared" si="34"/>
        <v>70960</v>
      </c>
      <c r="AE151" s="13">
        <f t="shared" ref="AE151:AE186" si="37">AA151-AD151</f>
        <v>729040</v>
      </c>
    </row>
    <row r="152" spans="1:31">
      <c r="A152" s="6">
        <v>5</v>
      </c>
      <c r="B152" s="6">
        <f t="shared" si="36"/>
        <v>5</v>
      </c>
      <c r="C152" s="6" t="str">
        <f t="shared" si="27"/>
        <v>608225700ASCREW,STD METRIIC HEXALOBULAR  M5 T25 12MM82282814502760000</v>
      </c>
      <c r="D152" s="6" t="s">
        <v>222</v>
      </c>
      <c r="E152" s="6" t="s">
        <v>169</v>
      </c>
      <c r="F152" s="6"/>
      <c r="G152" s="7" t="s">
        <v>147</v>
      </c>
      <c r="H152" s="7"/>
      <c r="I152" s="7"/>
      <c r="J152" s="7"/>
      <c r="K152" s="7"/>
      <c r="L152" s="7">
        <v>8228281</v>
      </c>
      <c r="M152" s="22">
        <v>45027</v>
      </c>
      <c r="N152" s="8" t="s">
        <v>180</v>
      </c>
      <c r="O152" s="8"/>
      <c r="P152" s="7">
        <v>60000</v>
      </c>
      <c r="Q152" s="7">
        <v>232591.54</v>
      </c>
      <c r="R152" s="7">
        <v>87082900</v>
      </c>
      <c r="S152" s="7">
        <v>15</v>
      </c>
      <c r="T152" s="7" t="s">
        <v>275</v>
      </c>
      <c r="U152" s="7" t="s">
        <v>178</v>
      </c>
      <c r="V152" s="6">
        <f t="shared" si="28"/>
        <v>34888.731</v>
      </c>
      <c r="W152" s="6">
        <f t="shared" si="29"/>
        <v>3488.8731000000002</v>
      </c>
      <c r="X152" s="6">
        <f t="shared" si="30"/>
        <v>38377.604099999997</v>
      </c>
      <c r="Y152" s="6">
        <f t="shared" si="31"/>
        <v>0.639626735</v>
      </c>
      <c r="Z152" s="6">
        <f t="shared" si="32"/>
        <v>3.8765256666666668</v>
      </c>
      <c r="AA152" s="9">
        <f t="shared" si="33"/>
        <v>60000</v>
      </c>
      <c r="AB152" s="10">
        <v>8292</v>
      </c>
      <c r="AC152" s="11">
        <f t="shared" si="35"/>
        <v>5303.7848866200002</v>
      </c>
      <c r="AD152" s="12">
        <f t="shared" si="34"/>
        <v>59622</v>
      </c>
      <c r="AE152" s="13">
        <f t="shared" si="37"/>
        <v>378</v>
      </c>
    </row>
    <row r="153" spans="1:31">
      <c r="A153" s="6">
        <v>5</v>
      </c>
      <c r="B153" s="6">
        <f t="shared" si="36"/>
        <v>6</v>
      </c>
      <c r="C153" s="6" t="str">
        <f t="shared" si="27"/>
        <v>639590100BSCREW SELF TAPPING INTERNAL T15, 15.01009844987100000</v>
      </c>
      <c r="D153" s="6" t="s">
        <v>222</v>
      </c>
      <c r="E153" s="6" t="s">
        <v>165</v>
      </c>
      <c r="F153" s="6"/>
      <c r="G153" s="7" t="s">
        <v>143</v>
      </c>
      <c r="H153" s="7"/>
      <c r="I153" s="7"/>
      <c r="J153" s="7"/>
      <c r="K153" s="7"/>
      <c r="L153" s="7">
        <v>10098</v>
      </c>
      <c r="M153" s="22">
        <v>44987</v>
      </c>
      <c r="N153" s="8" t="e">
        <v>#N/A</v>
      </c>
      <c r="O153" s="8"/>
      <c r="P153" s="7">
        <v>100000</v>
      </c>
      <c r="Q153" s="7">
        <v>135629.26999999999</v>
      </c>
      <c r="R153" s="7" t="e">
        <v>#N/A</v>
      </c>
      <c r="S153" s="7">
        <v>15</v>
      </c>
      <c r="T153" s="7" t="e">
        <v>#N/A</v>
      </c>
      <c r="U153" s="7" t="e">
        <v>#N/A</v>
      </c>
      <c r="V153" s="6">
        <f t="shared" si="28"/>
        <v>20344.390499999998</v>
      </c>
      <c r="W153" s="6">
        <f t="shared" si="29"/>
        <v>2034.43905</v>
      </c>
      <c r="X153" s="6">
        <f t="shared" si="30"/>
        <v>22378.829549999999</v>
      </c>
      <c r="Y153" s="6">
        <f t="shared" si="31"/>
        <v>0.22378829549999998</v>
      </c>
      <c r="Z153" s="6">
        <f t="shared" si="32"/>
        <v>1.3562926999999998</v>
      </c>
      <c r="AA153" s="9">
        <f t="shared" si="33"/>
        <v>100000</v>
      </c>
      <c r="AB153" s="10">
        <v>58708</v>
      </c>
      <c r="AC153" s="11">
        <f t="shared" si="35"/>
        <v>13138.163252213999</v>
      </c>
      <c r="AD153" s="12">
        <f t="shared" si="34"/>
        <v>96832</v>
      </c>
      <c r="AE153" s="13">
        <f t="shared" si="37"/>
        <v>3168</v>
      </c>
    </row>
    <row r="154" spans="1:31">
      <c r="A154" s="6">
        <v>5</v>
      </c>
      <c r="B154" s="6">
        <f t="shared" si="36"/>
        <v>7</v>
      </c>
      <c r="C154" s="6" t="str">
        <f t="shared" si="27"/>
        <v>644345600ASCREW, SELF-TAPPING, PLA PLASTIC, 3.0, CROSS90853734472590000</v>
      </c>
      <c r="D154" s="6" t="s">
        <v>222</v>
      </c>
      <c r="E154" s="6" t="s">
        <v>166</v>
      </c>
      <c r="F154" s="6"/>
      <c r="G154" s="7" t="s">
        <v>144</v>
      </c>
      <c r="H154" s="7"/>
      <c r="I154" s="7"/>
      <c r="J154" s="7"/>
      <c r="K154" s="7"/>
      <c r="L154" s="7">
        <v>9085373</v>
      </c>
      <c r="M154" s="22">
        <v>44725</v>
      </c>
      <c r="N154" s="8" t="s">
        <v>182</v>
      </c>
      <c r="O154" s="8"/>
      <c r="P154" s="7">
        <v>90000</v>
      </c>
      <c r="Q154" s="7">
        <v>68392.240000000005</v>
      </c>
      <c r="R154" s="7">
        <v>87089500</v>
      </c>
      <c r="S154" s="7">
        <v>15</v>
      </c>
      <c r="T154" s="7" t="s">
        <v>183</v>
      </c>
      <c r="U154" s="7" t="s">
        <v>178</v>
      </c>
      <c r="V154" s="6">
        <f t="shared" si="28"/>
        <v>10258.836000000001</v>
      </c>
      <c r="W154" s="6">
        <f t="shared" si="29"/>
        <v>1025.8836000000001</v>
      </c>
      <c r="X154" s="6">
        <f t="shared" si="30"/>
        <v>11284.7196</v>
      </c>
      <c r="Y154" s="6">
        <f t="shared" si="31"/>
        <v>0.12538577333333334</v>
      </c>
      <c r="Z154" s="6">
        <f t="shared" si="32"/>
        <v>0.7599137777777778</v>
      </c>
      <c r="AA154" s="9">
        <f t="shared" si="33"/>
        <v>90000</v>
      </c>
      <c r="AB154" s="10">
        <v>23434</v>
      </c>
      <c r="AC154" s="11">
        <f t="shared" si="35"/>
        <v>2938.2902122933333</v>
      </c>
      <c r="AD154" s="12">
        <f t="shared" si="34"/>
        <v>89034</v>
      </c>
      <c r="AE154" s="13">
        <f t="shared" si="37"/>
        <v>966</v>
      </c>
    </row>
    <row r="155" spans="1:31">
      <c r="A155" s="6">
        <v>5</v>
      </c>
      <c r="B155" s="6">
        <f t="shared" si="36"/>
        <v>8</v>
      </c>
      <c r="C155" s="6" t="str">
        <f t="shared" si="27"/>
        <v>644345600ASCREW, SELF-TAPPING, PLA PLASTIC, 3.0, CROSS35109404489490000</v>
      </c>
      <c r="D155" s="6" t="s">
        <v>222</v>
      </c>
      <c r="E155" s="6" t="s">
        <v>166</v>
      </c>
      <c r="F155" s="6"/>
      <c r="G155" s="7" t="s">
        <v>144</v>
      </c>
      <c r="H155" s="7"/>
      <c r="I155" s="7"/>
      <c r="J155" s="7"/>
      <c r="K155" s="7"/>
      <c r="L155" s="7">
        <v>3510940</v>
      </c>
      <c r="M155" s="22">
        <v>44894</v>
      </c>
      <c r="N155" s="8" t="s">
        <v>189</v>
      </c>
      <c r="O155" s="8"/>
      <c r="P155" s="7">
        <v>90000</v>
      </c>
      <c r="Q155" s="7">
        <v>68808.17</v>
      </c>
      <c r="R155" s="7">
        <v>87089500</v>
      </c>
      <c r="S155" s="7">
        <v>15</v>
      </c>
      <c r="T155" s="7" t="s">
        <v>183</v>
      </c>
      <c r="U155" s="7" t="s">
        <v>178</v>
      </c>
      <c r="V155" s="6">
        <f t="shared" si="28"/>
        <v>10321.225499999999</v>
      </c>
      <c r="W155" s="6">
        <f t="shared" si="29"/>
        <v>1032.1225499999998</v>
      </c>
      <c r="X155" s="6">
        <f t="shared" si="30"/>
        <v>11353.348049999999</v>
      </c>
      <c r="Y155" s="6">
        <f t="shared" si="31"/>
        <v>0.12614831166666665</v>
      </c>
      <c r="Z155" s="6">
        <f t="shared" si="32"/>
        <v>0.76453522222222225</v>
      </c>
      <c r="AA155" s="9">
        <f t="shared" si="33"/>
        <v>90000</v>
      </c>
      <c r="AB155" s="10">
        <v>0</v>
      </c>
      <c r="AC155" s="11">
        <f t="shared" si="35"/>
        <v>0</v>
      </c>
      <c r="AD155" s="12">
        <f t="shared" si="34"/>
        <v>90000</v>
      </c>
      <c r="AE155" s="13">
        <f t="shared" si="37"/>
        <v>0</v>
      </c>
    </row>
    <row r="156" spans="1:31">
      <c r="A156" s="6">
        <v>5</v>
      </c>
      <c r="B156" s="6">
        <f t="shared" si="36"/>
        <v>9</v>
      </c>
      <c r="C156" s="6" t="str">
        <f t="shared" si="27"/>
        <v>650557200GCUSHION, FOLDED, C AND S HONDA 2JX3323112448811440</v>
      </c>
      <c r="D156" s="6" t="s">
        <v>222</v>
      </c>
      <c r="E156" s="6" t="s">
        <v>159</v>
      </c>
      <c r="F156" s="6"/>
      <c r="G156" s="7" t="s">
        <v>136</v>
      </c>
      <c r="H156" s="7"/>
      <c r="I156" s="7"/>
      <c r="J156" s="7"/>
      <c r="K156" s="7"/>
      <c r="L156" s="7">
        <v>3323112</v>
      </c>
      <c r="M156" s="22">
        <v>44881</v>
      </c>
      <c r="N156" s="8" t="s">
        <v>184</v>
      </c>
      <c r="O156" s="8"/>
      <c r="P156" s="7">
        <v>1440</v>
      </c>
      <c r="Q156" s="7">
        <v>1811293.07</v>
      </c>
      <c r="R156" s="7">
        <v>87089500</v>
      </c>
      <c r="S156" s="7">
        <v>5</v>
      </c>
      <c r="T156" s="7" t="s">
        <v>268</v>
      </c>
      <c r="U156" s="7" t="s">
        <v>178</v>
      </c>
      <c r="V156" s="6">
        <f t="shared" si="28"/>
        <v>90564.653500000015</v>
      </c>
      <c r="W156" s="6">
        <f t="shared" si="29"/>
        <v>9056.4653500000022</v>
      </c>
      <c r="X156" s="6">
        <f t="shared" si="30"/>
        <v>99621.118850000013</v>
      </c>
      <c r="Y156" s="6">
        <f t="shared" si="31"/>
        <v>69.18133253472223</v>
      </c>
      <c r="Z156" s="6">
        <f t="shared" si="32"/>
        <v>1257.8424097222223</v>
      </c>
      <c r="AA156" s="9">
        <f t="shared" si="33"/>
        <v>1440</v>
      </c>
      <c r="AB156" s="10">
        <v>260</v>
      </c>
      <c r="AC156" s="11">
        <f t="shared" si="35"/>
        <v>17987.146459027779</v>
      </c>
      <c r="AD156" s="12">
        <f t="shared" si="34"/>
        <v>1440</v>
      </c>
      <c r="AE156" s="13">
        <f t="shared" si="37"/>
        <v>0</v>
      </c>
    </row>
    <row r="157" spans="1:31">
      <c r="A157" s="6">
        <v>5</v>
      </c>
      <c r="B157" s="6">
        <f t="shared" si="36"/>
        <v>10</v>
      </c>
      <c r="C157" s="6" t="str">
        <f t="shared" si="27"/>
        <v>650557200GCUSHION, FOLDED, C AND S HONDA 2JX3322676448812520</v>
      </c>
      <c r="D157" s="6" t="s">
        <v>222</v>
      </c>
      <c r="E157" s="6" t="s">
        <v>159</v>
      </c>
      <c r="F157" s="6"/>
      <c r="G157" s="7" t="s">
        <v>136</v>
      </c>
      <c r="H157" s="7"/>
      <c r="I157" s="7"/>
      <c r="J157" s="7"/>
      <c r="K157" s="7"/>
      <c r="L157" s="7">
        <v>3322676</v>
      </c>
      <c r="M157" s="22">
        <v>44881</v>
      </c>
      <c r="N157" s="8" t="s">
        <v>184</v>
      </c>
      <c r="O157" s="8"/>
      <c r="P157" s="7">
        <v>2520</v>
      </c>
      <c r="Q157" s="7">
        <v>3146957.71</v>
      </c>
      <c r="R157" s="7">
        <v>87089500</v>
      </c>
      <c r="S157" s="7">
        <v>5</v>
      </c>
      <c r="T157" s="7" t="s">
        <v>267</v>
      </c>
      <c r="U157" s="7" t="s">
        <v>178</v>
      </c>
      <c r="V157" s="6">
        <f t="shared" si="28"/>
        <v>157347.8855</v>
      </c>
      <c r="W157" s="6">
        <f t="shared" si="29"/>
        <v>15734.788550000001</v>
      </c>
      <c r="X157" s="6">
        <f t="shared" si="30"/>
        <v>173082.67405</v>
      </c>
      <c r="Y157" s="6">
        <f t="shared" si="31"/>
        <v>68.683600813492063</v>
      </c>
      <c r="Z157" s="6">
        <f t="shared" si="32"/>
        <v>1248.7927420634921</v>
      </c>
      <c r="AA157" s="9">
        <f t="shared" si="33"/>
        <v>2520</v>
      </c>
      <c r="AB157" s="10">
        <v>1660</v>
      </c>
      <c r="AC157" s="11">
        <f t="shared" si="35"/>
        <v>114014.77735039682</v>
      </c>
      <c r="AD157" s="12">
        <f t="shared" si="34"/>
        <v>2520</v>
      </c>
      <c r="AE157" s="13">
        <f t="shared" si="37"/>
        <v>0</v>
      </c>
    </row>
    <row r="158" spans="1:31">
      <c r="A158" s="6">
        <v>5</v>
      </c>
      <c r="B158" s="6">
        <f t="shared" si="36"/>
        <v>11</v>
      </c>
      <c r="C158" s="6" t="str">
        <f t="shared" si="27"/>
        <v>650557200GCUSHION, FOLDED, C AND S HONDA 2JX3498791448931080</v>
      </c>
      <c r="D158" s="6" t="s">
        <v>222</v>
      </c>
      <c r="E158" s="6" t="s">
        <v>159</v>
      </c>
      <c r="F158" s="6"/>
      <c r="G158" s="7" t="s">
        <v>136</v>
      </c>
      <c r="H158" s="7"/>
      <c r="I158" s="7"/>
      <c r="J158" s="7"/>
      <c r="K158" s="7"/>
      <c r="L158" s="7">
        <v>3498791</v>
      </c>
      <c r="M158" s="22">
        <v>44893</v>
      </c>
      <c r="N158" s="8" t="s">
        <v>189</v>
      </c>
      <c r="O158" s="8"/>
      <c r="P158" s="7">
        <v>1080</v>
      </c>
      <c r="Q158" s="7">
        <v>1351206.3</v>
      </c>
      <c r="R158" s="7">
        <v>87089500</v>
      </c>
      <c r="S158" s="7">
        <v>5</v>
      </c>
      <c r="T158" s="7" t="s">
        <v>267</v>
      </c>
      <c r="U158" s="7" t="s">
        <v>178</v>
      </c>
      <c r="V158" s="6">
        <f t="shared" si="28"/>
        <v>67560.315000000002</v>
      </c>
      <c r="W158" s="6">
        <f t="shared" si="29"/>
        <v>6756.031500000001</v>
      </c>
      <c r="X158" s="6">
        <f t="shared" si="30"/>
        <v>74316.3465</v>
      </c>
      <c r="Y158" s="6">
        <f t="shared" si="31"/>
        <v>68.81143194444445</v>
      </c>
      <c r="Z158" s="6">
        <f t="shared" si="32"/>
        <v>1251.1169444444445</v>
      </c>
      <c r="AA158" s="9">
        <f t="shared" si="33"/>
        <v>1080</v>
      </c>
      <c r="AB158" s="10">
        <v>0</v>
      </c>
      <c r="AC158" s="11">
        <f t="shared" si="35"/>
        <v>0</v>
      </c>
      <c r="AD158" s="12">
        <f t="shared" si="34"/>
        <v>1080</v>
      </c>
      <c r="AE158" s="13">
        <f t="shared" si="37"/>
        <v>0</v>
      </c>
    </row>
    <row r="159" spans="1:31">
      <c r="A159" s="6">
        <v>5</v>
      </c>
      <c r="B159" s="6">
        <f t="shared" si="36"/>
        <v>12</v>
      </c>
      <c r="C159" s="6" t="str">
        <f t="shared" si="27"/>
        <v>650557200GCUSHION, FOLDED, C AND S HONDA 2JX3498696448931080</v>
      </c>
      <c r="D159" s="6" t="s">
        <v>222</v>
      </c>
      <c r="E159" s="6" t="s">
        <v>159</v>
      </c>
      <c r="F159" s="6"/>
      <c r="G159" s="7" t="s">
        <v>136</v>
      </c>
      <c r="H159" s="7"/>
      <c r="I159" s="7"/>
      <c r="J159" s="7"/>
      <c r="K159" s="7"/>
      <c r="L159" s="7">
        <v>3498696</v>
      </c>
      <c r="M159" s="22">
        <v>44893</v>
      </c>
      <c r="N159" s="8" t="s">
        <v>189</v>
      </c>
      <c r="O159" s="8"/>
      <c r="P159" s="7">
        <v>1080</v>
      </c>
      <c r="Q159" s="7">
        <v>1361525.46</v>
      </c>
      <c r="R159" s="7">
        <v>87089500</v>
      </c>
      <c r="S159" s="7">
        <v>5</v>
      </c>
      <c r="T159" s="7" t="s">
        <v>267</v>
      </c>
      <c r="U159" s="7" t="s">
        <v>178</v>
      </c>
      <c r="V159" s="6">
        <f t="shared" si="28"/>
        <v>68076.273000000001</v>
      </c>
      <c r="W159" s="6">
        <f t="shared" si="29"/>
        <v>6807.6273000000001</v>
      </c>
      <c r="X159" s="6">
        <f t="shared" si="30"/>
        <v>74883.900300000008</v>
      </c>
      <c r="Y159" s="6">
        <f t="shared" si="31"/>
        <v>69.336944722222228</v>
      </c>
      <c r="Z159" s="6">
        <f t="shared" si="32"/>
        <v>1260.6717222222221</v>
      </c>
      <c r="AA159" s="9">
        <f t="shared" si="33"/>
        <v>1080</v>
      </c>
      <c r="AB159" s="10">
        <v>0</v>
      </c>
      <c r="AC159" s="11">
        <f t="shared" si="35"/>
        <v>0</v>
      </c>
      <c r="AD159" s="12">
        <f t="shared" si="34"/>
        <v>1080</v>
      </c>
      <c r="AE159" s="13">
        <f t="shared" si="37"/>
        <v>0</v>
      </c>
    </row>
    <row r="160" spans="1:31">
      <c r="A160" s="6">
        <v>5</v>
      </c>
      <c r="B160" s="6">
        <f t="shared" si="36"/>
        <v>13</v>
      </c>
      <c r="C160" s="6" t="str">
        <f t="shared" si="27"/>
        <v>650557200GCUSHION, FOLDED, C AND S HONDA 2JX3322516448811800</v>
      </c>
      <c r="D160" s="6" t="s">
        <v>222</v>
      </c>
      <c r="E160" s="6" t="s">
        <v>159</v>
      </c>
      <c r="F160" s="6"/>
      <c r="G160" s="7" t="s">
        <v>136</v>
      </c>
      <c r="H160" s="7"/>
      <c r="I160" s="7"/>
      <c r="J160" s="7"/>
      <c r="K160" s="7"/>
      <c r="L160" s="7">
        <v>3322516</v>
      </c>
      <c r="M160" s="22">
        <v>44881</v>
      </c>
      <c r="N160" s="8" t="s">
        <v>184</v>
      </c>
      <c r="O160" s="8"/>
      <c r="P160" s="7">
        <v>1800</v>
      </c>
      <c r="Q160" s="7">
        <v>2319294.85</v>
      </c>
      <c r="R160" s="7">
        <v>87089500</v>
      </c>
      <c r="S160" s="7">
        <v>5</v>
      </c>
      <c r="T160" s="7" t="s">
        <v>267</v>
      </c>
      <c r="U160" s="7" t="s">
        <v>178</v>
      </c>
      <c r="V160" s="6">
        <f t="shared" si="28"/>
        <v>115964.74250000001</v>
      </c>
      <c r="W160" s="6">
        <f t="shared" si="29"/>
        <v>11596.474250000001</v>
      </c>
      <c r="X160" s="6">
        <f t="shared" si="30"/>
        <v>127561.21675000001</v>
      </c>
      <c r="Y160" s="6">
        <f t="shared" si="31"/>
        <v>70.867342638888886</v>
      </c>
      <c r="Z160" s="6">
        <f t="shared" si="32"/>
        <v>1288.4971388888889</v>
      </c>
      <c r="AA160" s="9">
        <f t="shared" si="33"/>
        <v>1800</v>
      </c>
      <c r="AB160" s="10">
        <v>0</v>
      </c>
      <c r="AC160" s="11">
        <f t="shared" si="35"/>
        <v>0</v>
      </c>
      <c r="AD160" s="12">
        <f t="shared" si="34"/>
        <v>1800</v>
      </c>
      <c r="AE160" s="13">
        <f t="shared" si="37"/>
        <v>0</v>
      </c>
    </row>
    <row r="161" spans="1:31">
      <c r="A161" s="6">
        <v>5</v>
      </c>
      <c r="B161" s="6">
        <f t="shared" si="36"/>
        <v>14</v>
      </c>
      <c r="C161" s="6" t="str">
        <f t="shared" si="27"/>
        <v>650557200GCUSHION, FOLDED, C AND S HONDA 2JX3460410448902160</v>
      </c>
      <c r="D161" s="6" t="s">
        <v>222</v>
      </c>
      <c r="E161" s="6" t="s">
        <v>159</v>
      </c>
      <c r="F161" s="6"/>
      <c r="G161" s="7" t="s">
        <v>136</v>
      </c>
      <c r="H161" s="7"/>
      <c r="I161" s="7"/>
      <c r="J161" s="7"/>
      <c r="K161" s="7"/>
      <c r="L161" s="7">
        <v>3460410</v>
      </c>
      <c r="M161" s="22">
        <v>44890</v>
      </c>
      <c r="N161" s="8" t="s">
        <v>184</v>
      </c>
      <c r="O161" s="8"/>
      <c r="P161" s="7">
        <v>2160</v>
      </c>
      <c r="Q161" s="7">
        <v>2624382.73</v>
      </c>
      <c r="R161" s="7">
        <v>87089500</v>
      </c>
      <c r="S161" s="7">
        <v>5</v>
      </c>
      <c r="T161" s="7" t="s">
        <v>256</v>
      </c>
      <c r="U161" s="7" t="s">
        <v>178</v>
      </c>
      <c r="V161" s="6">
        <f t="shared" si="28"/>
        <v>131219.13649999999</v>
      </c>
      <c r="W161" s="6">
        <f t="shared" si="29"/>
        <v>13121.91365</v>
      </c>
      <c r="X161" s="6">
        <f t="shared" si="30"/>
        <v>144341.05015</v>
      </c>
      <c r="Y161" s="6">
        <f t="shared" si="31"/>
        <v>66.824560254629631</v>
      </c>
      <c r="Z161" s="6">
        <f t="shared" si="32"/>
        <v>1214.9920046296297</v>
      </c>
      <c r="AA161" s="9">
        <f t="shared" si="33"/>
        <v>2160</v>
      </c>
      <c r="AB161" s="10">
        <v>0</v>
      </c>
      <c r="AC161" s="11">
        <f t="shared" si="35"/>
        <v>0</v>
      </c>
      <c r="AD161" s="12">
        <f t="shared" si="34"/>
        <v>2160</v>
      </c>
      <c r="AE161" s="13">
        <f t="shared" si="37"/>
        <v>0</v>
      </c>
    </row>
    <row r="162" spans="1:31">
      <c r="A162" s="6">
        <v>5</v>
      </c>
      <c r="B162" s="6">
        <f t="shared" si="36"/>
        <v>15</v>
      </c>
      <c r="C162" s="6" t="str">
        <f t="shared" si="27"/>
        <v>650557200GCUSHION, FOLDED, C AND S HONDA 2JX371647044908720</v>
      </c>
      <c r="D162" s="6" t="s">
        <v>222</v>
      </c>
      <c r="E162" s="6" t="s">
        <v>159</v>
      </c>
      <c r="F162" s="6"/>
      <c r="G162" s="7" t="s">
        <v>136</v>
      </c>
      <c r="H162" s="7"/>
      <c r="I162" s="7"/>
      <c r="J162" s="7"/>
      <c r="K162" s="7"/>
      <c r="L162" s="7">
        <v>3716470</v>
      </c>
      <c r="M162" s="22">
        <v>44908</v>
      </c>
      <c r="N162" s="8" t="s">
        <v>189</v>
      </c>
      <c r="O162" s="8"/>
      <c r="P162" s="7">
        <v>720</v>
      </c>
      <c r="Q162" s="7">
        <v>882387.25</v>
      </c>
      <c r="R162" s="7">
        <v>87089500</v>
      </c>
      <c r="S162" s="7">
        <v>5</v>
      </c>
      <c r="T162" s="7" t="s">
        <v>267</v>
      </c>
      <c r="U162" s="7" t="s">
        <v>178</v>
      </c>
      <c r="V162" s="6">
        <f t="shared" si="28"/>
        <v>44119.362500000003</v>
      </c>
      <c r="W162" s="6">
        <f t="shared" si="29"/>
        <v>4411.9362500000007</v>
      </c>
      <c r="X162" s="6">
        <f t="shared" si="30"/>
        <v>48531.298750000002</v>
      </c>
      <c r="Y162" s="6">
        <f t="shared" si="31"/>
        <v>67.404581597222219</v>
      </c>
      <c r="Z162" s="6">
        <f t="shared" si="32"/>
        <v>1225.5378472222221</v>
      </c>
      <c r="AA162" s="9">
        <f t="shared" si="33"/>
        <v>720</v>
      </c>
      <c r="AB162" s="10">
        <v>0</v>
      </c>
      <c r="AC162" s="11">
        <f t="shared" si="35"/>
        <v>0</v>
      </c>
      <c r="AD162" s="12">
        <f t="shared" si="34"/>
        <v>720</v>
      </c>
      <c r="AE162" s="13">
        <f t="shared" si="37"/>
        <v>0</v>
      </c>
    </row>
    <row r="163" spans="1:31">
      <c r="A163" s="6">
        <v>5</v>
      </c>
      <c r="B163" s="6">
        <f t="shared" si="36"/>
        <v>16</v>
      </c>
      <c r="C163" s="6" t="str">
        <f t="shared" si="27"/>
        <v>651409900ASCREW, STD METRIC M6 HEXALOBULAR INTERNAL, T457046134504360000</v>
      </c>
      <c r="D163" s="6" t="s">
        <v>222</v>
      </c>
      <c r="E163" s="6" t="s">
        <v>168</v>
      </c>
      <c r="F163" s="6"/>
      <c r="G163" s="7" t="s">
        <v>146</v>
      </c>
      <c r="H163" s="7"/>
      <c r="I163" s="7"/>
      <c r="J163" s="7"/>
      <c r="K163" s="7"/>
      <c r="L163" s="7">
        <v>5704613</v>
      </c>
      <c r="M163" s="22">
        <v>45043</v>
      </c>
      <c r="N163" s="8" t="s">
        <v>182</v>
      </c>
      <c r="O163" s="8"/>
      <c r="P163" s="7">
        <v>60000</v>
      </c>
      <c r="Q163" s="7">
        <v>203214.49</v>
      </c>
      <c r="R163" s="7">
        <v>87089500</v>
      </c>
      <c r="S163" s="7">
        <v>15</v>
      </c>
      <c r="T163" s="7" t="s">
        <v>183</v>
      </c>
      <c r="U163" s="7" t="s">
        <v>178</v>
      </c>
      <c r="V163" s="6">
        <f t="shared" si="28"/>
        <v>30482.173499999997</v>
      </c>
      <c r="W163" s="6">
        <f t="shared" si="29"/>
        <v>3048.2173499999999</v>
      </c>
      <c r="X163" s="6">
        <f t="shared" si="30"/>
        <v>33530.390849999996</v>
      </c>
      <c r="Y163" s="6">
        <f t="shared" si="31"/>
        <v>0.55883984749999993</v>
      </c>
      <c r="Z163" s="6">
        <f t="shared" si="32"/>
        <v>3.3869081666666667</v>
      </c>
      <c r="AA163" s="9">
        <f t="shared" si="33"/>
        <v>60000</v>
      </c>
      <c r="AB163" s="10">
        <v>18912</v>
      </c>
      <c r="AC163" s="11">
        <f t="shared" si="35"/>
        <v>10568.779195919999</v>
      </c>
      <c r="AD163" s="12">
        <f t="shared" si="34"/>
        <v>60000</v>
      </c>
      <c r="AE163" s="13">
        <f t="shared" si="37"/>
        <v>0</v>
      </c>
    </row>
    <row r="164" spans="1:31">
      <c r="A164" s="6">
        <v>5</v>
      </c>
      <c r="B164" s="6">
        <f t="shared" si="36"/>
        <v>17</v>
      </c>
      <c r="C164" s="6" t="str">
        <f t="shared" si="27"/>
        <v>651409900ASCREW, STD METRIC M6 HEXALOBULAR INTERNAL, T453335284501730000</v>
      </c>
      <c r="D164" s="6" t="s">
        <v>222</v>
      </c>
      <c r="E164" s="6" t="s">
        <v>168</v>
      </c>
      <c r="F164" s="6"/>
      <c r="G164" s="7" t="s">
        <v>146</v>
      </c>
      <c r="H164" s="7"/>
      <c r="I164" s="7"/>
      <c r="J164" s="7"/>
      <c r="K164" s="7"/>
      <c r="L164" s="7">
        <v>5333528</v>
      </c>
      <c r="M164" s="22">
        <v>45017</v>
      </c>
      <c r="N164" s="8" t="s">
        <v>189</v>
      </c>
      <c r="O164" s="8"/>
      <c r="P164" s="7">
        <v>30000</v>
      </c>
      <c r="Q164" s="7">
        <v>100400.94</v>
      </c>
      <c r="R164" s="7">
        <v>87089500</v>
      </c>
      <c r="S164" s="7">
        <v>15</v>
      </c>
      <c r="T164" s="7" t="s">
        <v>183</v>
      </c>
      <c r="U164" s="7" t="s">
        <v>178</v>
      </c>
      <c r="V164" s="6">
        <f t="shared" si="28"/>
        <v>15060.141</v>
      </c>
      <c r="W164" s="6">
        <f t="shared" si="29"/>
        <v>1506.0141000000001</v>
      </c>
      <c r="X164" s="6">
        <f t="shared" si="30"/>
        <v>16566.1551</v>
      </c>
      <c r="Y164" s="6">
        <f t="shared" si="31"/>
        <v>0.55220517000000002</v>
      </c>
      <c r="Z164" s="6">
        <f t="shared" si="32"/>
        <v>3.346698</v>
      </c>
      <c r="AA164" s="9">
        <f t="shared" si="33"/>
        <v>30000</v>
      </c>
      <c r="AB164" s="10">
        <v>4522</v>
      </c>
      <c r="AC164" s="11">
        <f t="shared" si="35"/>
        <v>2497.0717787399999</v>
      </c>
      <c r="AD164" s="12">
        <f t="shared" si="34"/>
        <v>30000</v>
      </c>
      <c r="AE164" s="13">
        <f t="shared" si="37"/>
        <v>0</v>
      </c>
    </row>
    <row r="165" spans="1:31">
      <c r="A165" s="6">
        <v>5</v>
      </c>
      <c r="B165" s="6">
        <f t="shared" si="36"/>
        <v>18</v>
      </c>
      <c r="C165" s="6" t="str">
        <f t="shared" si="27"/>
        <v>651409900ASCREW, STD METRIC M6 HEXALOBULAR INTERNAL, T453335284501730000</v>
      </c>
      <c r="D165" s="6" t="s">
        <v>222</v>
      </c>
      <c r="E165" s="6" t="s">
        <v>168</v>
      </c>
      <c r="F165" s="6"/>
      <c r="G165" s="7" t="s">
        <v>146</v>
      </c>
      <c r="H165" s="7"/>
      <c r="I165" s="7"/>
      <c r="J165" s="7"/>
      <c r="K165" s="7"/>
      <c r="L165" s="7">
        <v>5333528</v>
      </c>
      <c r="M165" s="22">
        <v>45017</v>
      </c>
      <c r="N165" s="8" t="s">
        <v>189</v>
      </c>
      <c r="O165" s="8"/>
      <c r="P165" s="7">
        <v>30000</v>
      </c>
      <c r="Q165" s="7">
        <v>100400.94</v>
      </c>
      <c r="R165" s="7">
        <v>87089500</v>
      </c>
      <c r="S165" s="7">
        <v>15</v>
      </c>
      <c r="T165" s="7" t="s">
        <v>183</v>
      </c>
      <c r="U165" s="7" t="s">
        <v>178</v>
      </c>
      <c r="V165" s="6">
        <f t="shared" si="28"/>
        <v>15060.141</v>
      </c>
      <c r="W165" s="6">
        <f t="shared" si="29"/>
        <v>1506.0141000000001</v>
      </c>
      <c r="X165" s="6">
        <f t="shared" si="30"/>
        <v>16566.1551</v>
      </c>
      <c r="Y165" s="6">
        <f t="shared" si="31"/>
        <v>0.55220517000000002</v>
      </c>
      <c r="Z165" s="6">
        <f t="shared" si="32"/>
        <v>3.346698</v>
      </c>
      <c r="AA165" s="9">
        <f t="shared" si="33"/>
        <v>30000</v>
      </c>
      <c r="AB165" s="10">
        <v>0</v>
      </c>
      <c r="AC165" s="11">
        <f t="shared" si="35"/>
        <v>0</v>
      </c>
      <c r="AD165" s="12">
        <f t="shared" si="34"/>
        <v>30000</v>
      </c>
      <c r="AE165" s="13">
        <f t="shared" si="37"/>
        <v>0</v>
      </c>
    </row>
    <row r="166" spans="1:31">
      <c r="A166" s="6">
        <v>5</v>
      </c>
      <c r="B166" s="6">
        <f t="shared" si="36"/>
        <v>19</v>
      </c>
      <c r="C166" s="6" t="str">
        <f t="shared" si="27"/>
        <v>628408700ASCREW, STANDARD, METRIC, M5, HEXALOBULAR INTERNAL47679234498060000</v>
      </c>
      <c r="D166" s="6" t="s">
        <v>222</v>
      </c>
      <c r="E166" s="6" t="s">
        <v>167</v>
      </c>
      <c r="F166" s="6"/>
      <c r="G166" s="7" t="s">
        <v>145</v>
      </c>
      <c r="H166" s="7"/>
      <c r="I166" s="7"/>
      <c r="J166" s="7"/>
      <c r="K166" s="7"/>
      <c r="L166" s="7">
        <v>4767923</v>
      </c>
      <c r="M166" s="22">
        <v>44980</v>
      </c>
      <c r="N166" s="8" t="s">
        <v>189</v>
      </c>
      <c r="O166" s="8"/>
      <c r="P166" s="7">
        <v>60000</v>
      </c>
      <c r="Q166" s="7">
        <v>309545.81</v>
      </c>
      <c r="R166" s="7">
        <v>87089900</v>
      </c>
      <c r="S166" s="7">
        <v>15</v>
      </c>
      <c r="T166" s="7" t="s">
        <v>271</v>
      </c>
      <c r="U166" s="7" t="s">
        <v>178</v>
      </c>
      <c r="V166" s="6">
        <f t="shared" si="28"/>
        <v>46431.871500000001</v>
      </c>
      <c r="W166" s="6">
        <f t="shared" si="29"/>
        <v>4643.1871500000007</v>
      </c>
      <c r="X166" s="6">
        <f t="shared" si="30"/>
        <v>51075.058649999999</v>
      </c>
      <c r="Y166" s="6">
        <f t="shared" si="31"/>
        <v>0.85125097750000001</v>
      </c>
      <c r="Z166" s="6">
        <f t="shared" si="32"/>
        <v>5.1590968333333329</v>
      </c>
      <c r="AA166" s="9">
        <f t="shared" si="33"/>
        <v>60000</v>
      </c>
      <c r="AB166" s="10">
        <v>13296</v>
      </c>
      <c r="AC166" s="11">
        <f t="shared" si="35"/>
        <v>11318.232996840001</v>
      </c>
      <c r="AD166" s="12">
        <f t="shared" si="34"/>
        <v>60000</v>
      </c>
      <c r="AE166" s="13">
        <f t="shared" si="37"/>
        <v>0</v>
      </c>
    </row>
    <row r="167" spans="1:31">
      <c r="A167" s="6">
        <v>5</v>
      </c>
      <c r="B167" s="6">
        <f t="shared" si="36"/>
        <v>20</v>
      </c>
      <c r="C167" s="6" t="str">
        <f t="shared" si="27"/>
        <v>651166400CSPRING, COIL, UPPER 58739214505555000</v>
      </c>
      <c r="D167" s="6" t="s">
        <v>222</v>
      </c>
      <c r="E167" s="6" t="s">
        <v>170</v>
      </c>
      <c r="F167" s="6"/>
      <c r="G167" s="7" t="s">
        <v>148</v>
      </c>
      <c r="H167" s="7"/>
      <c r="I167" s="7"/>
      <c r="J167" s="7"/>
      <c r="K167" s="7"/>
      <c r="L167" s="7">
        <v>5873921</v>
      </c>
      <c r="M167" s="22">
        <v>45055</v>
      </c>
      <c r="N167" s="8" t="s">
        <v>180</v>
      </c>
      <c r="O167" s="8"/>
      <c r="P167" s="7">
        <v>55000</v>
      </c>
      <c r="Q167" s="7">
        <v>114843.51</v>
      </c>
      <c r="R167" s="7">
        <v>87089500</v>
      </c>
      <c r="S167" s="7">
        <v>15</v>
      </c>
      <c r="T167" s="7" t="s">
        <v>272</v>
      </c>
      <c r="U167" s="7" t="s">
        <v>178</v>
      </c>
      <c r="V167" s="6">
        <f t="shared" si="28"/>
        <v>17226.5265</v>
      </c>
      <c r="W167" s="6">
        <f t="shared" si="29"/>
        <v>1722.65265</v>
      </c>
      <c r="X167" s="6">
        <f t="shared" si="30"/>
        <v>18949.17915</v>
      </c>
      <c r="Y167" s="6">
        <f t="shared" si="31"/>
        <v>0.34453053</v>
      </c>
      <c r="Z167" s="6">
        <f t="shared" si="32"/>
        <v>2.0880638181818183</v>
      </c>
      <c r="AA167" s="9">
        <f t="shared" si="33"/>
        <v>55000</v>
      </c>
      <c r="AB167" s="10">
        <v>13296</v>
      </c>
      <c r="AC167" s="11">
        <f t="shared" si="35"/>
        <v>4580.8779268799999</v>
      </c>
      <c r="AD167" s="12">
        <f t="shared" si="34"/>
        <v>55000</v>
      </c>
      <c r="AE167" s="13">
        <f t="shared" si="37"/>
        <v>0</v>
      </c>
    </row>
    <row r="168" spans="1:31">
      <c r="A168" s="6">
        <v>5</v>
      </c>
      <c r="B168" s="6">
        <f t="shared" si="36"/>
        <v>21</v>
      </c>
      <c r="C168" s="6" t="str">
        <f t="shared" si="27"/>
        <v>652466500ALEATHER, HIDE TOP GRAIN, OBSIDIAN BLACK, NNB, BLA8566470446902078</v>
      </c>
      <c r="D168" s="6" t="s">
        <v>222</v>
      </c>
      <c r="E168" s="6" t="s">
        <v>163</v>
      </c>
      <c r="F168" s="6"/>
      <c r="G168" s="7" t="s">
        <v>141</v>
      </c>
      <c r="H168" s="7"/>
      <c r="I168" s="7"/>
      <c r="J168" s="7"/>
      <c r="K168" s="7"/>
      <c r="L168" s="7">
        <v>8566470</v>
      </c>
      <c r="M168" s="22">
        <v>44690</v>
      </c>
      <c r="N168" s="8" t="s">
        <v>189</v>
      </c>
      <c r="O168" s="8"/>
      <c r="P168" s="7">
        <v>2078</v>
      </c>
      <c r="Q168" s="7">
        <v>5047938.7492206953</v>
      </c>
      <c r="R168" s="7">
        <v>41071200</v>
      </c>
      <c r="S168" s="7">
        <v>10</v>
      </c>
      <c r="T168" s="7" t="s">
        <v>261</v>
      </c>
      <c r="U168" s="7" t="s">
        <v>178</v>
      </c>
      <c r="V168" s="6">
        <f t="shared" si="28"/>
        <v>504793.87492206955</v>
      </c>
      <c r="W168" s="6">
        <f t="shared" si="29"/>
        <v>50479.387492206959</v>
      </c>
      <c r="X168" s="6">
        <f t="shared" si="30"/>
        <v>555273.26241427648</v>
      </c>
      <c r="Y168" s="6">
        <f t="shared" si="31"/>
        <v>267.21523696548434</v>
      </c>
      <c r="Z168" s="6">
        <f t="shared" si="32"/>
        <v>2429.2294269589488</v>
      </c>
      <c r="AA168" s="9">
        <f t="shared" si="33"/>
        <v>2078</v>
      </c>
      <c r="AB168" s="10">
        <v>785</v>
      </c>
      <c r="AC168" s="11">
        <f t="shared" si="35"/>
        <v>209763.96101790521</v>
      </c>
      <c r="AD168" s="12">
        <f t="shared" si="34"/>
        <v>2078</v>
      </c>
      <c r="AE168" s="13">
        <f t="shared" si="37"/>
        <v>0</v>
      </c>
    </row>
    <row r="169" spans="1:31">
      <c r="A169" s="6">
        <v>5</v>
      </c>
      <c r="B169" s="6">
        <f t="shared" si="36"/>
        <v>22</v>
      </c>
      <c r="C169" s="6" t="str">
        <f t="shared" si="27"/>
        <v>652466500ALEATHER, HIDE TOP GRAIN, OBSIDIAN BLACK, NNB, BLA3859804449172150</v>
      </c>
      <c r="D169" s="6" t="s">
        <v>222</v>
      </c>
      <c r="E169" s="6" t="s">
        <v>163</v>
      </c>
      <c r="F169" s="6"/>
      <c r="G169" s="7" t="s">
        <v>141</v>
      </c>
      <c r="H169" s="7"/>
      <c r="I169" s="7"/>
      <c r="J169" s="7"/>
      <c r="K169" s="7"/>
      <c r="L169" s="7">
        <v>3859804</v>
      </c>
      <c r="M169" s="22">
        <v>44917</v>
      </c>
      <c r="N169" s="8" t="s">
        <v>190</v>
      </c>
      <c r="O169" s="8"/>
      <c r="P169" s="7">
        <v>2150</v>
      </c>
      <c r="Q169" s="7">
        <v>5706306</v>
      </c>
      <c r="R169" s="7">
        <v>41071200</v>
      </c>
      <c r="S169" s="7">
        <v>0</v>
      </c>
      <c r="T169" s="7" t="s">
        <v>279</v>
      </c>
      <c r="U169" s="7" t="s">
        <v>178</v>
      </c>
      <c r="V169" s="6">
        <f t="shared" si="28"/>
        <v>0</v>
      </c>
      <c r="W169" s="6">
        <f t="shared" si="29"/>
        <v>0</v>
      </c>
      <c r="X169" s="6">
        <f t="shared" si="30"/>
        <v>0</v>
      </c>
      <c r="Y169" s="6">
        <f t="shared" si="31"/>
        <v>0</v>
      </c>
      <c r="Z169" s="6">
        <f t="shared" si="32"/>
        <v>2654.0958139534882</v>
      </c>
      <c r="AA169" s="9">
        <f t="shared" si="33"/>
        <v>2150</v>
      </c>
      <c r="AB169" s="10">
        <v>1966</v>
      </c>
      <c r="AC169" s="11">
        <f t="shared" si="35"/>
        <v>0</v>
      </c>
      <c r="AD169" s="12">
        <f t="shared" si="34"/>
        <v>2150</v>
      </c>
      <c r="AE169" s="13">
        <f t="shared" si="37"/>
        <v>0</v>
      </c>
    </row>
    <row r="170" spans="1:31">
      <c r="A170" s="6">
        <v>5</v>
      </c>
      <c r="B170" s="6">
        <f t="shared" si="36"/>
        <v>23</v>
      </c>
      <c r="C170" s="6" t="str">
        <f t="shared" si="27"/>
        <v>655818900BACTUATOR VIBRATION MOTOR ASSY WITH BRACKET BC3 CU79671854464214400</v>
      </c>
      <c r="D170" s="6" t="s">
        <v>222</v>
      </c>
      <c r="E170" s="6" t="s">
        <v>156</v>
      </c>
      <c r="F170" s="6"/>
      <c r="G170" s="7" t="s">
        <v>133</v>
      </c>
      <c r="H170" s="7"/>
      <c r="I170" s="7"/>
      <c r="J170" s="7"/>
      <c r="K170" s="7"/>
      <c r="L170" s="7">
        <v>7967185</v>
      </c>
      <c r="M170" s="22">
        <v>44642</v>
      </c>
      <c r="N170" s="8" t="s">
        <v>180</v>
      </c>
      <c r="O170" s="8"/>
      <c r="P170" s="7">
        <v>14400</v>
      </c>
      <c r="Q170" s="7">
        <v>4832077.17</v>
      </c>
      <c r="R170" s="7">
        <v>85011019</v>
      </c>
      <c r="S170" s="7">
        <v>10</v>
      </c>
      <c r="T170" s="7" t="s">
        <v>192</v>
      </c>
      <c r="U170" s="7" t="s">
        <v>178</v>
      </c>
      <c r="V170" s="6">
        <f t="shared" si="28"/>
        <v>483207.717</v>
      </c>
      <c r="W170" s="6">
        <f t="shared" si="29"/>
        <v>48320.771700000005</v>
      </c>
      <c r="X170" s="6">
        <f t="shared" si="30"/>
        <v>531528.48869999999</v>
      </c>
      <c r="Y170" s="6">
        <f t="shared" si="31"/>
        <v>36.911700604166668</v>
      </c>
      <c r="Z170" s="6">
        <f t="shared" si="32"/>
        <v>335.56091458333333</v>
      </c>
      <c r="AA170" s="9">
        <f t="shared" si="33"/>
        <v>14400</v>
      </c>
      <c r="AB170" s="10">
        <v>3368</v>
      </c>
      <c r="AC170" s="11">
        <f t="shared" si="35"/>
        <v>124318.60763483334</v>
      </c>
      <c r="AD170" s="12">
        <f t="shared" si="34"/>
        <v>14400</v>
      </c>
      <c r="AE170" s="13">
        <f t="shared" si="37"/>
        <v>0</v>
      </c>
    </row>
    <row r="171" spans="1:31">
      <c r="A171" s="6">
        <v>5</v>
      </c>
      <c r="B171" s="6">
        <f t="shared" si="36"/>
        <v>24</v>
      </c>
      <c r="C171" s="6" t="str">
        <f t="shared" si="27"/>
        <v>651015300BELEMENT, HEATER, HYBRID 4302345449472240</v>
      </c>
      <c r="D171" s="6" t="s">
        <v>222</v>
      </c>
      <c r="E171" s="6" t="s">
        <v>155</v>
      </c>
      <c r="F171" s="6"/>
      <c r="G171" s="7" t="s">
        <v>137</v>
      </c>
      <c r="H171" s="7"/>
      <c r="I171" s="7"/>
      <c r="J171" s="7"/>
      <c r="K171" s="7"/>
      <c r="L171" s="7">
        <v>4302345</v>
      </c>
      <c r="M171" s="22">
        <v>44947</v>
      </c>
      <c r="N171" s="8" t="s">
        <v>180</v>
      </c>
      <c r="O171" s="8"/>
      <c r="P171" s="7">
        <v>2240</v>
      </c>
      <c r="Q171" s="7">
        <v>1358146.6666666667</v>
      </c>
      <c r="R171" s="7">
        <v>87089900</v>
      </c>
      <c r="S171" s="7">
        <v>15</v>
      </c>
      <c r="T171" s="7" t="s">
        <v>276</v>
      </c>
      <c r="U171" s="7" t="s">
        <v>178</v>
      </c>
      <c r="V171" s="6">
        <f t="shared" si="28"/>
        <v>203722</v>
      </c>
      <c r="W171" s="6">
        <f t="shared" si="29"/>
        <v>20372.2</v>
      </c>
      <c r="X171" s="6">
        <f t="shared" si="30"/>
        <v>224094.2</v>
      </c>
      <c r="Y171" s="6">
        <f t="shared" si="31"/>
        <v>100.04205357142858</v>
      </c>
      <c r="Z171" s="6">
        <f t="shared" si="32"/>
        <v>606.31547619047626</v>
      </c>
      <c r="AA171" s="9">
        <f t="shared" si="33"/>
        <v>2240</v>
      </c>
      <c r="AB171" s="10">
        <v>1526</v>
      </c>
      <c r="AC171" s="11">
        <f t="shared" si="35"/>
        <v>152664.17375000002</v>
      </c>
      <c r="AD171" s="12">
        <f t="shared" si="34"/>
        <v>2240</v>
      </c>
      <c r="AE171" s="13">
        <f t="shared" si="37"/>
        <v>0</v>
      </c>
    </row>
    <row r="172" spans="1:31">
      <c r="A172" s="6">
        <v>5</v>
      </c>
      <c r="B172" s="6">
        <f t="shared" si="36"/>
        <v>25</v>
      </c>
      <c r="C172" s="6" t="str">
        <f t="shared" si="27"/>
        <v>653052600AINFLATOR, APP-4.6, 2.2MO STANDARD_MIB, SQUARE_61X6505272450983456</v>
      </c>
      <c r="D172" s="6" t="s">
        <v>222</v>
      </c>
      <c r="E172" s="6" t="s">
        <v>161</v>
      </c>
      <c r="F172" s="6"/>
      <c r="G172" s="7" t="s">
        <v>139</v>
      </c>
      <c r="H172" s="7"/>
      <c r="I172" s="7"/>
      <c r="J172" s="7"/>
      <c r="K172" s="7"/>
      <c r="L172" s="7">
        <v>6505272</v>
      </c>
      <c r="M172" s="22">
        <v>45098</v>
      </c>
      <c r="N172" s="8" t="s">
        <v>184</v>
      </c>
      <c r="O172" s="8"/>
      <c r="P172" s="7">
        <v>3456</v>
      </c>
      <c r="Q172" s="7">
        <v>1818691.99</v>
      </c>
      <c r="R172" s="7">
        <v>87089500</v>
      </c>
      <c r="S172" s="7">
        <v>15</v>
      </c>
      <c r="T172" s="7" t="s">
        <v>277</v>
      </c>
      <c r="U172" s="7" t="s">
        <v>200</v>
      </c>
      <c r="V172" s="6">
        <f t="shared" si="28"/>
        <v>272803.79849999998</v>
      </c>
      <c r="W172" s="6">
        <f t="shared" si="29"/>
        <v>27280.379849999998</v>
      </c>
      <c r="X172" s="6">
        <f t="shared" si="30"/>
        <v>300084.17834999994</v>
      </c>
      <c r="Y172" s="6">
        <f t="shared" si="31"/>
        <v>86.829912717013869</v>
      </c>
      <c r="Z172" s="6">
        <f t="shared" si="32"/>
        <v>526.24189525462964</v>
      </c>
      <c r="AA172" s="9">
        <f t="shared" si="33"/>
        <v>3456</v>
      </c>
      <c r="AB172" s="10">
        <v>404</v>
      </c>
      <c r="AC172" s="11">
        <f t="shared" si="35"/>
        <v>35079.284737673603</v>
      </c>
      <c r="AD172" s="12">
        <f t="shared" si="34"/>
        <v>3360</v>
      </c>
      <c r="AE172" s="13">
        <f t="shared" si="37"/>
        <v>96</v>
      </c>
    </row>
    <row r="173" spans="1:31">
      <c r="A173" s="6">
        <v>5</v>
      </c>
      <c r="B173" s="6">
        <f t="shared" si="36"/>
        <v>26</v>
      </c>
      <c r="C173" s="6" t="str">
        <f t="shared" si="27"/>
        <v>639590100BSCREW SELF TAPPING INTERNAL T15, 15.0951301244754120000</v>
      </c>
      <c r="D173" s="6" t="s">
        <v>222</v>
      </c>
      <c r="E173" s="6" t="s">
        <v>165</v>
      </c>
      <c r="F173" s="6"/>
      <c r="G173" s="7" t="s">
        <v>143</v>
      </c>
      <c r="H173" s="7"/>
      <c r="I173" s="7"/>
      <c r="J173" s="7"/>
      <c r="K173" s="7"/>
      <c r="L173" s="7">
        <v>9513012</v>
      </c>
      <c r="M173" s="22">
        <v>44754</v>
      </c>
      <c r="N173" s="8" t="s">
        <v>180</v>
      </c>
      <c r="O173" s="8"/>
      <c r="P173" s="7">
        <v>120000</v>
      </c>
      <c r="Q173" s="7">
        <v>131179.14000000001</v>
      </c>
      <c r="R173" s="7">
        <v>87089900</v>
      </c>
      <c r="S173" s="7">
        <v>15</v>
      </c>
      <c r="T173" s="7" t="s">
        <v>262</v>
      </c>
      <c r="U173" s="7" t="s">
        <v>178</v>
      </c>
      <c r="V173" s="6">
        <f t="shared" si="28"/>
        <v>19676.871000000003</v>
      </c>
      <c r="W173" s="6">
        <f t="shared" si="29"/>
        <v>1967.6871000000003</v>
      </c>
      <c r="X173" s="6">
        <f t="shared" si="30"/>
        <v>21644.558100000002</v>
      </c>
      <c r="Y173" s="6">
        <f t="shared" si="31"/>
        <v>0.18037131750000002</v>
      </c>
      <c r="Z173" s="6">
        <f t="shared" si="32"/>
        <v>1.0931595000000001</v>
      </c>
      <c r="AA173" s="9">
        <f t="shared" si="33"/>
        <v>120000</v>
      </c>
      <c r="AB173" s="10">
        <v>22018</v>
      </c>
      <c r="AC173" s="11">
        <f t="shared" si="35"/>
        <v>3971.4156687150003</v>
      </c>
      <c r="AD173" s="12">
        <f t="shared" si="34"/>
        <v>120000</v>
      </c>
      <c r="AE173" s="13">
        <f t="shared" si="37"/>
        <v>0</v>
      </c>
    </row>
    <row r="174" spans="1:31">
      <c r="A174" s="6">
        <v>5</v>
      </c>
      <c r="B174" s="6">
        <f t="shared" si="36"/>
        <v>27</v>
      </c>
      <c r="C174" s="6" t="str">
        <f t="shared" si="27"/>
        <v>608225700ASCREW,STD METRIIC HEXALOBULAR  M5 T25 12MM65215504509930000</v>
      </c>
      <c r="D174" s="6" t="s">
        <v>222</v>
      </c>
      <c r="E174" s="6" t="s">
        <v>169</v>
      </c>
      <c r="F174" s="6"/>
      <c r="G174" s="7" t="s">
        <v>147</v>
      </c>
      <c r="H174" s="7"/>
      <c r="I174" s="7"/>
      <c r="J174" s="7"/>
      <c r="K174" s="7"/>
      <c r="L174" s="7">
        <v>6521550</v>
      </c>
      <c r="M174" s="22">
        <v>45099</v>
      </c>
      <c r="N174" s="8" t="s">
        <v>189</v>
      </c>
      <c r="O174" s="8"/>
      <c r="P174" s="7">
        <v>30000</v>
      </c>
      <c r="Q174" s="7">
        <v>91043.24</v>
      </c>
      <c r="R174" s="7">
        <v>87089400</v>
      </c>
      <c r="S174" s="7">
        <v>15</v>
      </c>
      <c r="T174" s="7" t="s">
        <v>266</v>
      </c>
      <c r="U174" s="7" t="s">
        <v>178</v>
      </c>
      <c r="V174" s="6">
        <f t="shared" si="28"/>
        <v>13656.486000000001</v>
      </c>
      <c r="W174" s="6">
        <f t="shared" si="29"/>
        <v>1365.6486000000002</v>
      </c>
      <c r="X174" s="6">
        <f t="shared" si="30"/>
        <v>15022.134600000001</v>
      </c>
      <c r="Y174" s="6">
        <f t="shared" si="31"/>
        <v>0.50073782</v>
      </c>
      <c r="Z174" s="6">
        <f t="shared" si="32"/>
        <v>3.0347746666666668</v>
      </c>
      <c r="AA174" s="9">
        <f t="shared" si="33"/>
        <v>30000</v>
      </c>
      <c r="AB174" s="10">
        <v>13740</v>
      </c>
      <c r="AC174" s="11">
        <f t="shared" si="35"/>
        <v>6880.1376467999999</v>
      </c>
      <c r="AD174" s="12">
        <f t="shared" si="34"/>
        <v>30000</v>
      </c>
      <c r="AE174" s="13">
        <f t="shared" si="37"/>
        <v>0</v>
      </c>
    </row>
    <row r="175" spans="1:31">
      <c r="A175" s="6">
        <v>5</v>
      </c>
      <c r="B175" s="6">
        <f t="shared" si="36"/>
        <v>28</v>
      </c>
      <c r="C175" s="6" t="str">
        <f t="shared" si="27"/>
        <v>655818900BACTUATOR VIBRATION MOTOR ASSY WITH BRACKET BC3 CU63803174508914400</v>
      </c>
      <c r="D175" s="6" t="s">
        <v>222</v>
      </c>
      <c r="E175" s="6" t="s">
        <v>156</v>
      </c>
      <c r="F175" s="6"/>
      <c r="G175" s="7" t="s">
        <v>133</v>
      </c>
      <c r="H175" s="7"/>
      <c r="I175" s="7"/>
      <c r="J175" s="7"/>
      <c r="K175" s="7"/>
      <c r="L175" s="7">
        <v>6380317</v>
      </c>
      <c r="M175" s="22">
        <v>45089</v>
      </c>
      <c r="N175" s="8" t="s">
        <v>189</v>
      </c>
      <c r="O175" s="8"/>
      <c r="P175" s="7">
        <v>14400</v>
      </c>
      <c r="Q175" s="7">
        <v>4775221.9000000004</v>
      </c>
      <c r="R175" s="7">
        <v>85011019</v>
      </c>
      <c r="S175" s="7">
        <v>15</v>
      </c>
      <c r="T175" s="7" t="s">
        <v>254</v>
      </c>
      <c r="U175" s="7" t="s">
        <v>178</v>
      </c>
      <c r="V175" s="6">
        <f t="shared" si="28"/>
        <v>716283.28500000003</v>
      </c>
      <c r="W175" s="6">
        <f t="shared" si="29"/>
        <v>71628.328500000003</v>
      </c>
      <c r="X175" s="6">
        <f t="shared" si="30"/>
        <v>787911.61349999998</v>
      </c>
      <c r="Y175" s="6">
        <f t="shared" si="31"/>
        <v>54.716084270833335</v>
      </c>
      <c r="Z175" s="6">
        <f t="shared" si="32"/>
        <v>331.61263194444444</v>
      </c>
      <c r="AA175" s="9">
        <f t="shared" si="33"/>
        <v>14400</v>
      </c>
      <c r="AB175" s="10">
        <v>7648</v>
      </c>
      <c r="AC175" s="11">
        <f t="shared" si="35"/>
        <v>418468.61250333337</v>
      </c>
      <c r="AD175" s="12">
        <f t="shared" si="34"/>
        <v>14400</v>
      </c>
      <c r="AE175" s="13">
        <f t="shared" si="37"/>
        <v>0</v>
      </c>
    </row>
    <row r="176" spans="1:31">
      <c r="A176" s="6">
        <v>5</v>
      </c>
      <c r="B176" s="6">
        <f t="shared" si="36"/>
        <v>29</v>
      </c>
      <c r="C176" s="6" t="str">
        <f t="shared" si="27"/>
        <v>655931500AARMATURE, MONOBLOCK ASW4, HYUNDAI BC3-CUV7263786445893726</v>
      </c>
      <c r="D176" s="6" t="s">
        <v>222</v>
      </c>
      <c r="E176" s="6" t="s">
        <v>157</v>
      </c>
      <c r="F176" s="6"/>
      <c r="G176" s="7" t="s">
        <v>134</v>
      </c>
      <c r="H176" s="7"/>
      <c r="I176" s="7"/>
      <c r="J176" s="7"/>
      <c r="K176" s="7"/>
      <c r="L176" s="7">
        <v>7263786</v>
      </c>
      <c r="M176" s="22">
        <v>44589</v>
      </c>
      <c r="N176" s="8" t="s">
        <v>184</v>
      </c>
      <c r="O176" s="8"/>
      <c r="P176" s="7">
        <v>3726</v>
      </c>
      <c r="Q176" s="7">
        <v>1933148.73</v>
      </c>
      <c r="R176" s="7">
        <v>87089400</v>
      </c>
      <c r="S176" s="7">
        <v>15</v>
      </c>
      <c r="T176" s="7" t="s">
        <v>278</v>
      </c>
      <c r="U176" s="7" t="s">
        <v>178</v>
      </c>
      <c r="V176" s="6">
        <f t="shared" si="28"/>
        <v>289972.30949999997</v>
      </c>
      <c r="W176" s="6">
        <f t="shared" si="29"/>
        <v>28997.230949999997</v>
      </c>
      <c r="X176" s="6">
        <f t="shared" si="30"/>
        <v>318969.54044999997</v>
      </c>
      <c r="Y176" s="6">
        <f t="shared" si="31"/>
        <v>85.606425241545892</v>
      </c>
      <c r="Z176" s="6">
        <f t="shared" si="32"/>
        <v>518.82681964573271</v>
      </c>
      <c r="AA176" s="9">
        <f t="shared" si="33"/>
        <v>3726</v>
      </c>
      <c r="AB176" s="10">
        <v>2993</v>
      </c>
      <c r="AC176" s="11">
        <f t="shared" si="35"/>
        <v>256220.03074794685</v>
      </c>
      <c r="AD176" s="12">
        <f t="shared" si="34"/>
        <v>3726</v>
      </c>
      <c r="AE176" s="13">
        <f t="shared" si="37"/>
        <v>0</v>
      </c>
    </row>
    <row r="177" spans="1:31">
      <c r="A177" s="6">
        <v>5</v>
      </c>
      <c r="B177" s="6">
        <f t="shared" si="36"/>
        <v>30</v>
      </c>
      <c r="C177" s="6" t="str">
        <f t="shared" si="27"/>
        <v>655931500AARMATURE, MONOBLOCK ASW4, HYUNDAI BC3-CUV8406755446763240</v>
      </c>
      <c r="D177" s="6" t="s">
        <v>222</v>
      </c>
      <c r="E177" s="6" t="s">
        <v>157</v>
      </c>
      <c r="F177" s="6"/>
      <c r="G177" s="7" t="s">
        <v>134</v>
      </c>
      <c r="H177" s="7"/>
      <c r="I177" s="7"/>
      <c r="J177" s="7"/>
      <c r="K177" s="7"/>
      <c r="L177" s="7">
        <v>8406755</v>
      </c>
      <c r="M177" s="22">
        <v>44676</v>
      </c>
      <c r="N177" s="8" t="s">
        <v>184</v>
      </c>
      <c r="O177" s="8"/>
      <c r="P177" s="7">
        <v>3240</v>
      </c>
      <c r="Q177" s="7">
        <v>1917629.65</v>
      </c>
      <c r="R177" s="7">
        <v>87089400</v>
      </c>
      <c r="S177" s="7">
        <v>15</v>
      </c>
      <c r="T177" s="7" t="s">
        <v>278</v>
      </c>
      <c r="U177" s="7" t="s">
        <v>178</v>
      </c>
      <c r="V177" s="6">
        <f t="shared" si="28"/>
        <v>287644.44749999995</v>
      </c>
      <c r="W177" s="6">
        <f t="shared" si="29"/>
        <v>28764.444749999995</v>
      </c>
      <c r="X177" s="6">
        <f t="shared" si="30"/>
        <v>316408.89224999992</v>
      </c>
      <c r="Y177" s="6">
        <f t="shared" si="31"/>
        <v>97.65706550925924</v>
      </c>
      <c r="Z177" s="6">
        <f t="shared" si="32"/>
        <v>591.86100308641971</v>
      </c>
      <c r="AA177" s="9">
        <f t="shared" si="33"/>
        <v>3240</v>
      </c>
      <c r="AB177" s="10">
        <v>3240</v>
      </c>
      <c r="AC177" s="11">
        <f t="shared" si="35"/>
        <v>316408.89224999992</v>
      </c>
      <c r="AD177" s="12">
        <f t="shared" si="34"/>
        <v>3240</v>
      </c>
      <c r="AE177" s="13">
        <f t="shared" si="37"/>
        <v>0</v>
      </c>
    </row>
    <row r="178" spans="1:31">
      <c r="A178" s="6">
        <v>5</v>
      </c>
      <c r="B178" s="6">
        <f t="shared" si="36"/>
        <v>31</v>
      </c>
      <c r="C178" s="6" t="str">
        <f t="shared" si="27"/>
        <v>655931500AARMATURE, MONOBLOCK ASW4, HYUNDAI BC3-CUV8449485452243240</v>
      </c>
      <c r="D178" s="6" t="s">
        <v>222</v>
      </c>
      <c r="E178" s="6" t="s">
        <v>157</v>
      </c>
      <c r="F178" s="6"/>
      <c r="G178" s="7" t="s">
        <v>134</v>
      </c>
      <c r="H178" s="7"/>
      <c r="I178" s="7"/>
      <c r="J178" s="7"/>
      <c r="K178" s="7"/>
      <c r="L178" s="7">
        <v>8449485</v>
      </c>
      <c r="M178" s="22">
        <v>45224</v>
      </c>
      <c r="N178" s="8" t="e">
        <v>#N/A</v>
      </c>
      <c r="O178" s="8"/>
      <c r="P178" s="7">
        <v>3240</v>
      </c>
      <c r="Q178" s="7">
        <v>1379272.56</v>
      </c>
      <c r="R178" s="7" t="e">
        <v>#N/A</v>
      </c>
      <c r="S178" s="7">
        <v>15</v>
      </c>
      <c r="T178" s="7" t="e">
        <v>#N/A</v>
      </c>
      <c r="U178" s="7" t="e">
        <v>#N/A</v>
      </c>
      <c r="V178" s="6">
        <f t="shared" si="28"/>
        <v>206890.88399999999</v>
      </c>
      <c r="W178" s="6">
        <f t="shared" si="29"/>
        <v>20689.088400000001</v>
      </c>
      <c r="X178" s="6">
        <f t="shared" si="30"/>
        <v>227579.9724</v>
      </c>
      <c r="Y178" s="6">
        <f t="shared" si="31"/>
        <v>70.240732222222221</v>
      </c>
      <c r="Z178" s="6">
        <f t="shared" si="32"/>
        <v>425.70140740740743</v>
      </c>
      <c r="AA178" s="9">
        <f t="shared" si="33"/>
        <v>3240</v>
      </c>
      <c r="AB178" s="10">
        <v>3240</v>
      </c>
      <c r="AC178" s="11">
        <f t="shared" si="35"/>
        <v>227579.9724</v>
      </c>
      <c r="AD178" s="12">
        <f t="shared" si="34"/>
        <v>3240</v>
      </c>
      <c r="AE178" s="13">
        <f t="shared" si="37"/>
        <v>0</v>
      </c>
    </row>
    <row r="179" spans="1:31">
      <c r="A179" s="6">
        <v>5</v>
      </c>
      <c r="B179" s="6">
        <f t="shared" si="36"/>
        <v>32</v>
      </c>
      <c r="C179" s="6" t="str">
        <f t="shared" si="27"/>
        <v>655931500AARMATURE, MONOBLOCK ASW4, HYUNDAI BC3-CUV6364915450893240</v>
      </c>
      <c r="D179" s="6" t="s">
        <v>222</v>
      </c>
      <c r="E179" s="6" t="s">
        <v>157</v>
      </c>
      <c r="F179" s="6"/>
      <c r="G179" s="7" t="s">
        <v>134</v>
      </c>
      <c r="H179" s="7"/>
      <c r="I179" s="7"/>
      <c r="J179" s="7"/>
      <c r="K179" s="7"/>
      <c r="L179" s="7">
        <v>6364915</v>
      </c>
      <c r="M179" s="22">
        <v>45089</v>
      </c>
      <c r="N179" s="8" t="s">
        <v>184</v>
      </c>
      <c r="O179" s="8"/>
      <c r="P179" s="7">
        <v>3240</v>
      </c>
      <c r="Q179" s="7">
        <v>1411884.06</v>
      </c>
      <c r="R179" s="7">
        <v>87089400</v>
      </c>
      <c r="S179" s="7">
        <v>15</v>
      </c>
      <c r="T179" s="7" t="s">
        <v>186</v>
      </c>
      <c r="U179" s="7" t="s">
        <v>178</v>
      </c>
      <c r="V179" s="6">
        <f t="shared" si="28"/>
        <v>211782.609</v>
      </c>
      <c r="W179" s="6">
        <f t="shared" si="29"/>
        <v>21178.260900000001</v>
      </c>
      <c r="X179" s="6">
        <f t="shared" si="30"/>
        <v>232960.86989999999</v>
      </c>
      <c r="Y179" s="6">
        <f t="shared" si="31"/>
        <v>71.901503055555551</v>
      </c>
      <c r="Z179" s="6">
        <f t="shared" si="32"/>
        <v>435.76668518518522</v>
      </c>
      <c r="AA179" s="9">
        <f t="shared" si="33"/>
        <v>3240</v>
      </c>
      <c r="AB179" s="10">
        <v>2244</v>
      </c>
      <c r="AC179" s="11">
        <f t="shared" si="35"/>
        <v>161346.97285666666</v>
      </c>
      <c r="AD179" s="12">
        <f t="shared" si="34"/>
        <v>3240</v>
      </c>
      <c r="AE179" s="13">
        <f t="shared" si="37"/>
        <v>0</v>
      </c>
    </row>
    <row r="180" spans="1:31">
      <c r="A180" s="6">
        <v>5</v>
      </c>
      <c r="B180" s="6">
        <f t="shared" si="36"/>
        <v>33</v>
      </c>
      <c r="C180" s="6" t="str">
        <f t="shared" si="27"/>
        <v>651015300BELEMENT, HEATER, HYBRID 5171681450072520</v>
      </c>
      <c r="D180" s="6" t="s">
        <v>222</v>
      </c>
      <c r="E180" s="6" t="s">
        <v>155</v>
      </c>
      <c r="F180" s="6"/>
      <c r="G180" s="7" t="s">
        <v>137</v>
      </c>
      <c r="H180" s="7"/>
      <c r="I180" s="7"/>
      <c r="J180" s="7"/>
      <c r="K180" s="7"/>
      <c r="L180" s="7">
        <v>5171681</v>
      </c>
      <c r="M180" s="22">
        <v>45007</v>
      </c>
      <c r="N180" s="8" t="s">
        <v>189</v>
      </c>
      <c r="O180" s="8"/>
      <c r="P180" s="7">
        <v>2520</v>
      </c>
      <c r="Q180" s="7">
        <v>1431722.14</v>
      </c>
      <c r="R180" s="7">
        <v>87089400</v>
      </c>
      <c r="S180" s="7">
        <v>15</v>
      </c>
      <c r="T180" s="7" t="s">
        <v>257</v>
      </c>
      <c r="U180" s="7" t="s">
        <v>178</v>
      </c>
      <c r="V180" s="6">
        <f t="shared" si="28"/>
        <v>214758.32099999997</v>
      </c>
      <c r="W180" s="6">
        <f t="shared" si="29"/>
        <v>21475.8321</v>
      </c>
      <c r="X180" s="6">
        <f t="shared" si="30"/>
        <v>236234.15309999997</v>
      </c>
      <c r="Y180" s="6">
        <f t="shared" si="31"/>
        <v>93.743711547619029</v>
      </c>
      <c r="Z180" s="6">
        <f t="shared" si="32"/>
        <v>568.14370634920635</v>
      </c>
      <c r="AA180" s="9">
        <f t="shared" si="33"/>
        <v>2520</v>
      </c>
      <c r="AB180" s="10">
        <v>2376</v>
      </c>
      <c r="AC180" s="11">
        <f t="shared" si="35"/>
        <v>222735.05863714282</v>
      </c>
      <c r="AD180" s="12">
        <f t="shared" si="34"/>
        <v>2520</v>
      </c>
      <c r="AE180" s="13">
        <f t="shared" si="37"/>
        <v>0</v>
      </c>
    </row>
    <row r="181" spans="1:31">
      <c r="A181" s="6">
        <v>5</v>
      </c>
      <c r="B181" s="6">
        <f t="shared" si="36"/>
        <v>34</v>
      </c>
      <c r="C181" s="6" t="str">
        <f t="shared" si="27"/>
        <v>653052600AINFLATOR, APP-4.6, 2.2MO STANDARD_MIB, SQUARE_61X3458622448902592</v>
      </c>
      <c r="D181" s="6" t="s">
        <v>222</v>
      </c>
      <c r="E181" s="6" t="s">
        <v>161</v>
      </c>
      <c r="F181" s="6"/>
      <c r="G181" s="7" t="s">
        <v>139</v>
      </c>
      <c r="H181" s="7"/>
      <c r="I181" s="7"/>
      <c r="J181" s="7"/>
      <c r="K181" s="7"/>
      <c r="L181" s="7">
        <v>3458622</v>
      </c>
      <c r="M181" s="22">
        <v>44890</v>
      </c>
      <c r="N181" s="8" t="s">
        <v>184</v>
      </c>
      <c r="O181" s="8"/>
      <c r="P181" s="7">
        <v>2592</v>
      </c>
      <c r="Q181" s="7">
        <v>1420525.03</v>
      </c>
      <c r="R181" s="7">
        <v>87089500</v>
      </c>
      <c r="S181" s="7">
        <v>15</v>
      </c>
      <c r="T181" s="7" t="s">
        <v>259</v>
      </c>
      <c r="U181" s="7" t="s">
        <v>200</v>
      </c>
      <c r="V181" s="6">
        <f t="shared" si="28"/>
        <v>213078.75450000001</v>
      </c>
      <c r="W181" s="6">
        <f t="shared" si="29"/>
        <v>21307.875450000003</v>
      </c>
      <c r="X181" s="6">
        <f t="shared" si="30"/>
        <v>234386.62995</v>
      </c>
      <c r="Y181" s="6">
        <f t="shared" si="31"/>
        <v>90.426940567129634</v>
      </c>
      <c r="Z181" s="6">
        <f t="shared" si="32"/>
        <v>548.04206404320985</v>
      </c>
      <c r="AA181" s="9">
        <f t="shared" si="33"/>
        <v>2592</v>
      </c>
      <c r="AB181" s="10">
        <v>0</v>
      </c>
      <c r="AC181" s="11">
        <f t="shared" si="35"/>
        <v>0</v>
      </c>
      <c r="AD181" s="12">
        <f t="shared" si="34"/>
        <v>2592</v>
      </c>
      <c r="AE181" s="13">
        <f t="shared" si="37"/>
        <v>0</v>
      </c>
    </row>
    <row r="182" spans="1:31">
      <c r="A182" s="6">
        <v>5</v>
      </c>
      <c r="B182" s="6">
        <f t="shared" si="36"/>
        <v>35</v>
      </c>
      <c r="C182" s="6" t="str">
        <f t="shared" si="27"/>
        <v>628408700ASCREW, STANDARD, METRIC, M5, HEXALOBULAR INTERNAL95368514475560000</v>
      </c>
      <c r="D182" s="6" t="s">
        <v>222</v>
      </c>
      <c r="E182" s="6" t="s">
        <v>167</v>
      </c>
      <c r="F182" s="6"/>
      <c r="G182" s="7" t="s">
        <v>145</v>
      </c>
      <c r="H182" s="7"/>
      <c r="I182" s="7"/>
      <c r="J182" s="7"/>
      <c r="K182" s="7"/>
      <c r="L182" s="7">
        <v>9536851</v>
      </c>
      <c r="M182" s="22">
        <v>44755</v>
      </c>
      <c r="N182" s="8" t="s">
        <v>180</v>
      </c>
      <c r="O182" s="8"/>
      <c r="P182" s="7">
        <v>60000</v>
      </c>
      <c r="Q182" s="7">
        <v>299180.5</v>
      </c>
      <c r="R182" s="7">
        <v>87089900</v>
      </c>
      <c r="S182" s="7">
        <v>15</v>
      </c>
      <c r="T182" s="7" t="s">
        <v>181</v>
      </c>
      <c r="U182" s="7" t="s">
        <v>178</v>
      </c>
      <c r="V182" s="6">
        <f t="shared" si="28"/>
        <v>44877.074999999997</v>
      </c>
      <c r="W182" s="6">
        <f t="shared" si="29"/>
        <v>4487.7074999999995</v>
      </c>
      <c r="X182" s="6">
        <f t="shared" si="30"/>
        <v>49364.782499999994</v>
      </c>
      <c r="Y182" s="6">
        <f t="shared" si="31"/>
        <v>0.82274637499999992</v>
      </c>
      <c r="Z182" s="6">
        <f t="shared" si="32"/>
        <v>4.9863416666666662</v>
      </c>
      <c r="AA182" s="9">
        <f t="shared" si="33"/>
        <v>60000</v>
      </c>
      <c r="AB182" s="10">
        <v>21855</v>
      </c>
      <c r="AC182" s="11">
        <f t="shared" si="35"/>
        <v>17981.122025624998</v>
      </c>
      <c r="AD182" s="12">
        <f t="shared" si="34"/>
        <v>60000</v>
      </c>
      <c r="AE182" s="13">
        <f t="shared" si="37"/>
        <v>0</v>
      </c>
    </row>
    <row r="183" spans="1:31">
      <c r="A183" s="6">
        <v>5</v>
      </c>
      <c r="B183" s="6">
        <f t="shared" si="36"/>
        <v>36</v>
      </c>
      <c r="C183" s="6" t="str">
        <f t="shared" si="27"/>
        <v>651166400CSPRING, COIL, UPPER 96737754476445000</v>
      </c>
      <c r="D183" s="6" t="s">
        <v>222</v>
      </c>
      <c r="E183" s="6" t="s">
        <v>170</v>
      </c>
      <c r="F183" s="6"/>
      <c r="G183" s="7" t="s">
        <v>148</v>
      </c>
      <c r="H183" s="7"/>
      <c r="I183" s="7"/>
      <c r="J183" s="7"/>
      <c r="K183" s="7"/>
      <c r="L183" s="7">
        <v>9673775</v>
      </c>
      <c r="M183" s="22">
        <v>44764</v>
      </c>
      <c r="N183" s="8" t="s">
        <v>180</v>
      </c>
      <c r="O183" s="8"/>
      <c r="P183" s="7">
        <v>45000</v>
      </c>
      <c r="Q183" s="7">
        <v>66305.789999999994</v>
      </c>
      <c r="R183" s="7">
        <v>87089500</v>
      </c>
      <c r="S183" s="7">
        <v>15</v>
      </c>
      <c r="T183" s="7" t="s">
        <v>280</v>
      </c>
      <c r="U183" s="7" t="s">
        <v>178</v>
      </c>
      <c r="V183" s="6">
        <f t="shared" si="28"/>
        <v>9945.8684999999987</v>
      </c>
      <c r="W183" s="6">
        <f t="shared" si="29"/>
        <v>994.58684999999991</v>
      </c>
      <c r="X183" s="6">
        <f t="shared" si="30"/>
        <v>10940.455349999998</v>
      </c>
      <c r="Y183" s="6">
        <f t="shared" si="31"/>
        <v>0.24312122999999997</v>
      </c>
      <c r="Z183" s="6">
        <f t="shared" si="32"/>
        <v>1.4734619999999998</v>
      </c>
      <c r="AA183" s="9">
        <f t="shared" si="33"/>
        <v>45000</v>
      </c>
      <c r="AB183" s="10">
        <v>21855</v>
      </c>
      <c r="AC183" s="11">
        <f t="shared" si="35"/>
        <v>5313.4144816499993</v>
      </c>
      <c r="AD183" s="12">
        <f t="shared" si="34"/>
        <v>45000</v>
      </c>
      <c r="AE183" s="13">
        <f t="shared" si="37"/>
        <v>0</v>
      </c>
    </row>
    <row r="184" spans="1:31">
      <c r="A184" s="6">
        <v>5</v>
      </c>
      <c r="B184" s="6">
        <f t="shared" si="36"/>
        <v>37</v>
      </c>
      <c r="C184" s="6" t="str">
        <f t="shared" si="27"/>
        <v>653052600AINFLATOR, APP-4.6, 2.2MO STANDARD_MIB, SQUARE_61X5131454450053456</v>
      </c>
      <c r="D184" s="6" t="s">
        <v>222</v>
      </c>
      <c r="E184" s="6" t="s">
        <v>161</v>
      </c>
      <c r="F184" s="6"/>
      <c r="G184" s="7" t="s">
        <v>139</v>
      </c>
      <c r="H184" s="7"/>
      <c r="I184" s="7"/>
      <c r="J184" s="7"/>
      <c r="K184" s="7"/>
      <c r="L184" s="7">
        <v>5131454</v>
      </c>
      <c r="M184" s="22">
        <v>45005</v>
      </c>
      <c r="N184" s="8" t="s">
        <v>184</v>
      </c>
      <c r="O184" s="8"/>
      <c r="P184" s="7">
        <v>3456</v>
      </c>
      <c r="Q184" s="7">
        <v>1853088.25</v>
      </c>
      <c r="R184" s="7">
        <v>87089500</v>
      </c>
      <c r="S184" s="7">
        <v>15</v>
      </c>
      <c r="T184" s="7" t="s">
        <v>259</v>
      </c>
      <c r="U184" s="7" t="s">
        <v>200</v>
      </c>
      <c r="V184" s="6">
        <f t="shared" si="28"/>
        <v>277963.23749999999</v>
      </c>
      <c r="W184" s="6">
        <f t="shared" si="29"/>
        <v>27796.32375</v>
      </c>
      <c r="X184" s="6">
        <f t="shared" si="30"/>
        <v>305759.56124999997</v>
      </c>
      <c r="Y184" s="6">
        <f t="shared" si="31"/>
        <v>88.47209526909721</v>
      </c>
      <c r="Z184" s="6">
        <f t="shared" si="32"/>
        <v>536.19451678240739</v>
      </c>
      <c r="AA184" s="9">
        <f t="shared" si="33"/>
        <v>3456</v>
      </c>
      <c r="AB184" s="10">
        <v>1516</v>
      </c>
      <c r="AC184" s="11">
        <f t="shared" si="35"/>
        <v>134123.69642795136</v>
      </c>
      <c r="AD184" s="12">
        <f t="shared" si="34"/>
        <v>3456</v>
      </c>
      <c r="AE184" s="13">
        <f t="shared" si="37"/>
        <v>0</v>
      </c>
    </row>
    <row r="185" spans="1:31">
      <c r="A185" s="6">
        <v>6</v>
      </c>
      <c r="B185" s="6">
        <v>1</v>
      </c>
      <c r="C185" s="6" t="str">
        <f t="shared" si="27"/>
        <v>630580800ALABEL, RAW MATERIAL, BLA K12 TPC BUCKLE5160585449362400000</v>
      </c>
      <c r="D185" s="6" t="s">
        <v>212</v>
      </c>
      <c r="E185" s="6" t="s">
        <v>71</v>
      </c>
      <c r="F185" s="6"/>
      <c r="G185" s="7" t="s">
        <v>31</v>
      </c>
      <c r="H185" s="7"/>
      <c r="I185" s="7"/>
      <c r="J185" s="7"/>
      <c r="K185" s="7"/>
      <c r="L185" s="7">
        <v>5160585</v>
      </c>
      <c r="M185" s="22">
        <v>44936</v>
      </c>
      <c r="N185" s="8" t="s">
        <v>196</v>
      </c>
      <c r="O185" s="8" t="s">
        <v>333</v>
      </c>
      <c r="P185" s="7">
        <v>2400000</v>
      </c>
      <c r="Q185" s="7">
        <v>86522.34</v>
      </c>
      <c r="R185" s="7">
        <v>87082900</v>
      </c>
      <c r="S185" s="7">
        <v>15</v>
      </c>
      <c r="T185" s="7" t="s">
        <v>265</v>
      </c>
      <c r="U185" s="7" t="s">
        <v>178</v>
      </c>
      <c r="V185" s="6">
        <f t="shared" si="28"/>
        <v>12978.350999999999</v>
      </c>
      <c r="W185" s="6">
        <f t="shared" si="29"/>
        <v>1297.8351</v>
      </c>
      <c r="X185" s="6">
        <f t="shared" si="30"/>
        <v>14276.186099999999</v>
      </c>
      <c r="Y185" s="6">
        <f t="shared" si="31"/>
        <v>5.9484108749999999E-3</v>
      </c>
      <c r="Z185" s="6">
        <f t="shared" si="32"/>
        <v>3.6050974999999999E-2</v>
      </c>
      <c r="AA185" s="9">
        <f t="shared" si="33"/>
        <v>2400000</v>
      </c>
      <c r="AB185" s="10">
        <v>8082</v>
      </c>
      <c r="AC185" s="11">
        <f t="shared" si="35"/>
        <v>48.07505669175</v>
      </c>
      <c r="AD185" s="12">
        <f t="shared" si="34"/>
        <v>548546</v>
      </c>
      <c r="AE185" s="13">
        <f t="shared" si="37"/>
        <v>1851454</v>
      </c>
    </row>
    <row r="186" spans="1:31">
      <c r="A186" s="6">
        <v>6</v>
      </c>
      <c r="B186" s="6">
        <f t="shared" ref="B186:B222" si="38">B185+1</f>
        <v>2</v>
      </c>
      <c r="C186" s="6" t="str">
        <f t="shared" si="27"/>
        <v>634240200AHORN CONTACT, CU 521662145010720000</v>
      </c>
      <c r="D186" s="6" t="s">
        <v>212</v>
      </c>
      <c r="E186" s="6" t="s">
        <v>160</v>
      </c>
      <c r="F186" s="6"/>
      <c r="G186" s="7" t="s">
        <v>138</v>
      </c>
      <c r="H186" s="7"/>
      <c r="I186" s="7"/>
      <c r="J186" s="7"/>
      <c r="K186" s="7"/>
      <c r="L186" s="7">
        <v>5216621</v>
      </c>
      <c r="M186" s="22">
        <v>45010</v>
      </c>
      <c r="N186" s="8" t="s">
        <v>189</v>
      </c>
      <c r="O186" s="8"/>
      <c r="P186" s="7">
        <v>720000</v>
      </c>
      <c r="Q186" s="7">
        <v>803516.76</v>
      </c>
      <c r="R186" s="7">
        <v>87089900</v>
      </c>
      <c r="S186" s="7">
        <v>15</v>
      </c>
      <c r="T186" s="7" t="s">
        <v>258</v>
      </c>
      <c r="U186" s="7" t="s">
        <v>178</v>
      </c>
      <c r="V186" s="6">
        <f t="shared" si="28"/>
        <v>120527.514</v>
      </c>
      <c r="W186" s="6">
        <f t="shared" si="29"/>
        <v>12052.751400000001</v>
      </c>
      <c r="X186" s="6">
        <f t="shared" si="30"/>
        <v>132580.2654</v>
      </c>
      <c r="Y186" s="6">
        <f t="shared" si="31"/>
        <v>0.18413925750000001</v>
      </c>
      <c r="Z186" s="6">
        <f t="shared" si="32"/>
        <v>1.1159954999999999</v>
      </c>
      <c r="AA186" s="9">
        <f t="shared" si="33"/>
        <v>720000</v>
      </c>
      <c r="AB186" s="10">
        <v>32328</v>
      </c>
      <c r="AC186" s="11">
        <f t="shared" si="35"/>
        <v>5952.8539164600006</v>
      </c>
      <c r="AD186" s="12">
        <f t="shared" si="34"/>
        <v>707364</v>
      </c>
      <c r="AE186" s="13">
        <f t="shared" si="37"/>
        <v>12636</v>
      </c>
    </row>
    <row r="187" spans="1:31">
      <c r="A187" s="6">
        <v>6</v>
      </c>
      <c r="B187" s="6">
        <f t="shared" si="38"/>
        <v>3</v>
      </c>
      <c r="C187" s="6" t="str">
        <f t="shared" si="27"/>
        <v>656011400ALEATHER, HIDE TOP GRAIN, GREY, FOSSIL GREY, T9Y,722294145143466.39</v>
      </c>
      <c r="D187" s="6" t="s">
        <v>212</v>
      </c>
      <c r="E187" s="6" t="s">
        <v>162</v>
      </c>
      <c r="F187" s="6"/>
      <c r="G187" s="7" t="s">
        <v>140</v>
      </c>
      <c r="H187" s="7"/>
      <c r="I187" s="7"/>
      <c r="J187" s="7"/>
      <c r="K187" s="7"/>
      <c r="L187" s="7">
        <v>7222941</v>
      </c>
      <c r="M187" s="22">
        <v>45143</v>
      </c>
      <c r="N187" s="8" t="s">
        <v>180</v>
      </c>
      <c r="O187" s="8"/>
      <c r="P187" s="7">
        <v>466.39</v>
      </c>
      <c r="Q187" s="7">
        <v>1147356.54</v>
      </c>
      <c r="R187" s="7">
        <v>41071200</v>
      </c>
      <c r="S187" s="7">
        <v>10</v>
      </c>
      <c r="T187" s="7" t="s">
        <v>260</v>
      </c>
      <c r="U187" s="7" t="s">
        <v>178</v>
      </c>
      <c r="V187" s="6">
        <f t="shared" si="28"/>
        <v>114735.65400000001</v>
      </c>
      <c r="W187" s="6">
        <f t="shared" si="29"/>
        <v>11473.565400000001</v>
      </c>
      <c r="X187" s="6">
        <f t="shared" si="30"/>
        <v>126209.21940000002</v>
      </c>
      <c r="Y187" s="6">
        <f t="shared" si="31"/>
        <v>270.60875962177579</v>
      </c>
      <c r="Z187" s="6">
        <f t="shared" si="32"/>
        <v>2460.0796329252344</v>
      </c>
      <c r="AA187" s="9">
        <f t="shared" si="33"/>
        <v>466.39</v>
      </c>
      <c r="AB187" s="10">
        <v>26.261088000000001</v>
      </c>
      <c r="AC187" s="11">
        <f t="shared" si="35"/>
        <v>7106.4804499983011</v>
      </c>
      <c r="AD187" s="12">
        <f t="shared" si="34"/>
        <v>466.42970200000002</v>
      </c>
      <c r="AE187" s="13">
        <v>0</v>
      </c>
    </row>
    <row r="188" spans="1:31">
      <c r="A188" s="6">
        <v>6</v>
      </c>
      <c r="B188" s="6">
        <f t="shared" si="38"/>
        <v>4</v>
      </c>
      <c r="C188" s="6" t="str">
        <f t="shared" si="27"/>
        <v>608067201ANUT, ISO, M5 351094044894800000</v>
      </c>
      <c r="D188" s="6" t="s">
        <v>212</v>
      </c>
      <c r="E188" s="6" t="s">
        <v>164</v>
      </c>
      <c r="F188" s="6"/>
      <c r="G188" s="7" t="s">
        <v>142</v>
      </c>
      <c r="H188" s="7"/>
      <c r="I188" s="7"/>
      <c r="J188" s="7"/>
      <c r="K188" s="7"/>
      <c r="L188" s="7">
        <v>3510940</v>
      </c>
      <c r="M188" s="22">
        <v>44894</v>
      </c>
      <c r="N188" s="8" t="s">
        <v>189</v>
      </c>
      <c r="O188" s="8" t="s">
        <v>332</v>
      </c>
      <c r="P188" s="7">
        <v>800000</v>
      </c>
      <c r="Q188" s="7">
        <v>1498489.13</v>
      </c>
      <c r="R188" s="7">
        <v>87089500</v>
      </c>
      <c r="S188" s="7">
        <v>15</v>
      </c>
      <c r="T188" s="7" t="s">
        <v>183</v>
      </c>
      <c r="U188" s="7" t="s">
        <v>178</v>
      </c>
      <c r="V188" s="6">
        <f t="shared" si="28"/>
        <v>224773.36949999997</v>
      </c>
      <c r="W188" s="6">
        <f t="shared" si="29"/>
        <v>22477.336949999997</v>
      </c>
      <c r="X188" s="6">
        <f t="shared" si="30"/>
        <v>247250.70644999997</v>
      </c>
      <c r="Y188" s="6">
        <f t="shared" si="31"/>
        <v>0.30906338306249997</v>
      </c>
      <c r="Z188" s="6">
        <f t="shared" si="32"/>
        <v>1.8731114124999999</v>
      </c>
      <c r="AA188" s="9">
        <f t="shared" si="33"/>
        <v>800000</v>
      </c>
      <c r="AB188" s="10">
        <v>5760</v>
      </c>
      <c r="AC188" s="11">
        <f t="shared" si="35"/>
        <v>1780.2050864399998</v>
      </c>
      <c r="AD188" s="12">
        <f t="shared" si="34"/>
        <v>70960</v>
      </c>
      <c r="AE188" s="13">
        <f t="shared" ref="AE188:AE224" si="39">AA188-AD188</f>
        <v>729040</v>
      </c>
    </row>
    <row r="189" spans="1:31">
      <c r="A189" s="6">
        <v>6</v>
      </c>
      <c r="B189" s="6">
        <f t="shared" si="38"/>
        <v>5</v>
      </c>
      <c r="C189" s="6" t="str">
        <f t="shared" si="27"/>
        <v>644345600ASCREW, SELF-TAPPING, PLA PLASTIC, 3.0, CROSS90853734472590000</v>
      </c>
      <c r="D189" s="6" t="s">
        <v>212</v>
      </c>
      <c r="E189" s="6" t="s">
        <v>166</v>
      </c>
      <c r="F189" s="6"/>
      <c r="G189" s="7" t="s">
        <v>144</v>
      </c>
      <c r="H189" s="7"/>
      <c r="I189" s="7"/>
      <c r="J189" s="7"/>
      <c r="K189" s="7"/>
      <c r="L189" s="7">
        <v>9085373</v>
      </c>
      <c r="M189" s="22">
        <v>44725</v>
      </c>
      <c r="N189" s="8" t="s">
        <v>182</v>
      </c>
      <c r="O189" s="8"/>
      <c r="P189" s="7">
        <v>90000</v>
      </c>
      <c r="Q189" s="7">
        <v>68392.240000000005</v>
      </c>
      <c r="R189" s="7">
        <v>87089500</v>
      </c>
      <c r="S189" s="7">
        <v>15</v>
      </c>
      <c r="T189" s="7" t="s">
        <v>183</v>
      </c>
      <c r="U189" s="7" t="s">
        <v>178</v>
      </c>
      <c r="V189" s="6">
        <f t="shared" si="28"/>
        <v>10258.836000000001</v>
      </c>
      <c r="W189" s="6">
        <f t="shared" si="29"/>
        <v>1025.8836000000001</v>
      </c>
      <c r="X189" s="6">
        <f t="shared" si="30"/>
        <v>11284.7196</v>
      </c>
      <c r="Y189" s="6">
        <f t="shared" si="31"/>
        <v>0.12538577333333334</v>
      </c>
      <c r="Z189" s="6">
        <f t="shared" si="32"/>
        <v>0.7599137777777778</v>
      </c>
      <c r="AA189" s="9">
        <f t="shared" si="33"/>
        <v>90000</v>
      </c>
      <c r="AB189" s="10">
        <v>16164</v>
      </c>
      <c r="AC189" s="11">
        <f t="shared" si="35"/>
        <v>2026.73564016</v>
      </c>
      <c r="AD189" s="12">
        <f t="shared" si="34"/>
        <v>89034</v>
      </c>
      <c r="AE189" s="13">
        <f t="shared" si="39"/>
        <v>966</v>
      </c>
    </row>
    <row r="190" spans="1:31">
      <c r="A190" s="6">
        <v>6</v>
      </c>
      <c r="B190" s="6">
        <f t="shared" si="38"/>
        <v>6</v>
      </c>
      <c r="C190" s="6" t="str">
        <f t="shared" si="27"/>
        <v>644345600ASCREW, SELF-TAPPING, PLA PLASTIC, 3.0, CROSS35109404489490000</v>
      </c>
      <c r="D190" s="6" t="s">
        <v>212</v>
      </c>
      <c r="E190" s="6" t="s">
        <v>166</v>
      </c>
      <c r="F190" s="6"/>
      <c r="G190" s="7" t="s">
        <v>144</v>
      </c>
      <c r="H190" s="7"/>
      <c r="I190" s="7"/>
      <c r="J190" s="7"/>
      <c r="K190" s="7"/>
      <c r="L190" s="7">
        <v>3510940</v>
      </c>
      <c r="M190" s="22">
        <v>44894</v>
      </c>
      <c r="N190" s="8" t="s">
        <v>189</v>
      </c>
      <c r="O190" s="8"/>
      <c r="P190" s="7">
        <v>90000</v>
      </c>
      <c r="Q190" s="7">
        <v>68808.17</v>
      </c>
      <c r="R190" s="7">
        <v>87089500</v>
      </c>
      <c r="S190" s="7">
        <v>15</v>
      </c>
      <c r="T190" s="7" t="s">
        <v>183</v>
      </c>
      <c r="U190" s="7" t="s">
        <v>178</v>
      </c>
      <c r="V190" s="6">
        <f t="shared" si="28"/>
        <v>10321.225499999999</v>
      </c>
      <c r="W190" s="6">
        <f t="shared" si="29"/>
        <v>1032.1225499999998</v>
      </c>
      <c r="X190" s="6">
        <f t="shared" si="30"/>
        <v>11353.348049999999</v>
      </c>
      <c r="Y190" s="6">
        <f t="shared" si="31"/>
        <v>0.12614831166666665</v>
      </c>
      <c r="Z190" s="6">
        <f t="shared" si="32"/>
        <v>0.76453522222222225</v>
      </c>
      <c r="AA190" s="9">
        <f t="shared" si="33"/>
        <v>90000</v>
      </c>
      <c r="AB190" s="10">
        <v>0</v>
      </c>
      <c r="AC190" s="11">
        <f t="shared" si="35"/>
        <v>0</v>
      </c>
      <c r="AD190" s="12">
        <f t="shared" si="34"/>
        <v>90000</v>
      </c>
      <c r="AE190" s="13">
        <f t="shared" si="39"/>
        <v>0</v>
      </c>
    </row>
    <row r="191" spans="1:31">
      <c r="A191" s="6">
        <v>6</v>
      </c>
      <c r="B191" s="6">
        <f t="shared" si="38"/>
        <v>7</v>
      </c>
      <c r="C191" s="6" t="str">
        <f t="shared" si="27"/>
        <v>650557200GCUSHION, FOLDED, C AND S HONDA 2JX3322676448812520</v>
      </c>
      <c r="D191" s="6" t="s">
        <v>212</v>
      </c>
      <c r="E191" s="6" t="s">
        <v>159</v>
      </c>
      <c r="F191" s="6"/>
      <c r="G191" s="7" t="s">
        <v>136</v>
      </c>
      <c r="H191" s="7"/>
      <c r="I191" s="7"/>
      <c r="J191" s="7"/>
      <c r="K191" s="7"/>
      <c r="L191" s="7">
        <v>3322676</v>
      </c>
      <c r="M191" s="22">
        <v>44881</v>
      </c>
      <c r="N191" s="8" t="s">
        <v>184</v>
      </c>
      <c r="O191" s="8"/>
      <c r="P191" s="7">
        <v>2520</v>
      </c>
      <c r="Q191" s="7">
        <v>3146957.71</v>
      </c>
      <c r="R191" s="7">
        <v>87089500</v>
      </c>
      <c r="S191" s="7">
        <v>5</v>
      </c>
      <c r="T191" s="7" t="s">
        <v>267</v>
      </c>
      <c r="U191" s="7" t="s">
        <v>178</v>
      </c>
      <c r="V191" s="6">
        <f t="shared" si="28"/>
        <v>157347.8855</v>
      </c>
      <c r="W191" s="6">
        <f t="shared" si="29"/>
        <v>15734.788550000001</v>
      </c>
      <c r="X191" s="6">
        <f t="shared" si="30"/>
        <v>173082.67405</v>
      </c>
      <c r="Y191" s="6">
        <f t="shared" si="31"/>
        <v>68.683600813492063</v>
      </c>
      <c r="Z191" s="6">
        <f t="shared" si="32"/>
        <v>1248.7927420634921</v>
      </c>
      <c r="AA191" s="9">
        <f t="shared" si="33"/>
        <v>2520</v>
      </c>
      <c r="AB191" s="10">
        <v>860</v>
      </c>
      <c r="AC191" s="11">
        <f t="shared" si="35"/>
        <v>59067.896699603174</v>
      </c>
      <c r="AD191" s="12">
        <f t="shared" si="34"/>
        <v>2520</v>
      </c>
      <c r="AE191" s="13">
        <f t="shared" si="39"/>
        <v>0</v>
      </c>
    </row>
    <row r="192" spans="1:31">
      <c r="A192" s="6">
        <v>6</v>
      </c>
      <c r="B192" s="6">
        <f t="shared" si="38"/>
        <v>8</v>
      </c>
      <c r="C192" s="6" t="str">
        <f t="shared" si="27"/>
        <v>650557200GCUSHION, FOLDED, C AND S HONDA 2JX3498791448931080</v>
      </c>
      <c r="D192" s="6" t="s">
        <v>212</v>
      </c>
      <c r="E192" s="6" t="s">
        <v>159</v>
      </c>
      <c r="F192" s="6"/>
      <c r="G192" s="7" t="s">
        <v>136</v>
      </c>
      <c r="H192" s="7"/>
      <c r="I192" s="7"/>
      <c r="J192" s="7"/>
      <c r="K192" s="7"/>
      <c r="L192" s="7">
        <v>3498791</v>
      </c>
      <c r="M192" s="22">
        <v>44893</v>
      </c>
      <c r="N192" s="8" t="s">
        <v>189</v>
      </c>
      <c r="O192" s="8"/>
      <c r="P192" s="7">
        <v>1080</v>
      </c>
      <c r="Q192" s="7">
        <v>1351206.3</v>
      </c>
      <c r="R192" s="7">
        <v>87089500</v>
      </c>
      <c r="S192" s="7">
        <v>5</v>
      </c>
      <c r="T192" s="7" t="s">
        <v>267</v>
      </c>
      <c r="U192" s="7" t="s">
        <v>178</v>
      </c>
      <c r="V192" s="6">
        <f t="shared" si="28"/>
        <v>67560.315000000002</v>
      </c>
      <c r="W192" s="6">
        <f t="shared" si="29"/>
        <v>6756.031500000001</v>
      </c>
      <c r="X192" s="6">
        <f t="shared" si="30"/>
        <v>74316.3465</v>
      </c>
      <c r="Y192" s="6">
        <f t="shared" si="31"/>
        <v>68.81143194444445</v>
      </c>
      <c r="Z192" s="6">
        <f t="shared" si="32"/>
        <v>1251.1169444444445</v>
      </c>
      <c r="AA192" s="9">
        <f t="shared" si="33"/>
        <v>1080</v>
      </c>
      <c r="AB192" s="10">
        <v>580</v>
      </c>
      <c r="AC192" s="11">
        <f t="shared" si="35"/>
        <v>39910.630527777779</v>
      </c>
      <c r="AD192" s="12">
        <f t="shared" si="34"/>
        <v>1080</v>
      </c>
      <c r="AE192" s="13">
        <f t="shared" si="39"/>
        <v>0</v>
      </c>
    </row>
    <row r="193" spans="1:31">
      <c r="A193" s="6">
        <v>6</v>
      </c>
      <c r="B193" s="6">
        <f t="shared" si="38"/>
        <v>9</v>
      </c>
      <c r="C193" s="6" t="str">
        <f t="shared" si="27"/>
        <v>650557200GCUSHION, FOLDED, C AND S HONDA 2JX3498696448931080</v>
      </c>
      <c r="D193" s="6" t="s">
        <v>212</v>
      </c>
      <c r="E193" s="6" t="s">
        <v>159</v>
      </c>
      <c r="F193" s="6"/>
      <c r="G193" s="7" t="s">
        <v>136</v>
      </c>
      <c r="H193" s="7"/>
      <c r="I193" s="7"/>
      <c r="J193" s="7"/>
      <c r="K193" s="7"/>
      <c r="L193" s="7">
        <v>3498696</v>
      </c>
      <c r="M193" s="22">
        <v>44893</v>
      </c>
      <c r="N193" s="8" t="s">
        <v>189</v>
      </c>
      <c r="O193" s="8"/>
      <c r="P193" s="7">
        <v>1080</v>
      </c>
      <c r="Q193" s="7">
        <v>1361525.46</v>
      </c>
      <c r="R193" s="7">
        <v>87089500</v>
      </c>
      <c r="S193" s="7">
        <v>5</v>
      </c>
      <c r="T193" s="7" t="s">
        <v>267</v>
      </c>
      <c r="U193" s="7" t="s">
        <v>178</v>
      </c>
      <c r="V193" s="6">
        <f t="shared" si="28"/>
        <v>68076.273000000001</v>
      </c>
      <c r="W193" s="6">
        <f t="shared" si="29"/>
        <v>6807.6273000000001</v>
      </c>
      <c r="X193" s="6">
        <f t="shared" si="30"/>
        <v>74883.900300000008</v>
      </c>
      <c r="Y193" s="6">
        <f t="shared" si="31"/>
        <v>69.336944722222228</v>
      </c>
      <c r="Z193" s="6">
        <f t="shared" si="32"/>
        <v>1260.6717222222221</v>
      </c>
      <c r="AA193" s="9">
        <f t="shared" si="33"/>
        <v>1080</v>
      </c>
      <c r="AB193" s="10">
        <v>0</v>
      </c>
      <c r="AC193" s="11">
        <f t="shared" si="35"/>
        <v>0</v>
      </c>
      <c r="AD193" s="12">
        <f t="shared" si="34"/>
        <v>1080</v>
      </c>
      <c r="AE193" s="13">
        <f t="shared" si="39"/>
        <v>0</v>
      </c>
    </row>
    <row r="194" spans="1:31">
      <c r="A194" s="6">
        <v>6</v>
      </c>
      <c r="B194" s="6">
        <f t="shared" si="38"/>
        <v>10</v>
      </c>
      <c r="C194" s="6" t="str">
        <f t="shared" ref="C194:C257" si="40">E194&amp;G194&amp;L194&amp;M194&amp;P194</f>
        <v>650557200GCUSHION, FOLDED, C AND S HONDA 2JX3322516448811800</v>
      </c>
      <c r="D194" s="6" t="s">
        <v>212</v>
      </c>
      <c r="E194" s="6" t="s">
        <v>159</v>
      </c>
      <c r="F194" s="6"/>
      <c r="G194" s="7" t="s">
        <v>136</v>
      </c>
      <c r="H194" s="7"/>
      <c r="I194" s="7"/>
      <c r="J194" s="7"/>
      <c r="K194" s="7"/>
      <c r="L194" s="7">
        <v>3322516</v>
      </c>
      <c r="M194" s="22">
        <v>44881</v>
      </c>
      <c r="N194" s="8" t="s">
        <v>184</v>
      </c>
      <c r="O194" s="8"/>
      <c r="P194" s="7">
        <v>1800</v>
      </c>
      <c r="Q194" s="7">
        <v>2319294.85</v>
      </c>
      <c r="R194" s="7">
        <v>87089500</v>
      </c>
      <c r="S194" s="7">
        <v>5</v>
      </c>
      <c r="T194" s="7" t="s">
        <v>267</v>
      </c>
      <c r="U194" s="7" t="s">
        <v>178</v>
      </c>
      <c r="V194" s="6">
        <f t="shared" ref="V194:V257" si="41">Q194*S194%</f>
        <v>115964.74250000001</v>
      </c>
      <c r="W194" s="6">
        <f t="shared" ref="W194:W257" si="42">V194*0.1</f>
        <v>11596.474250000001</v>
      </c>
      <c r="X194" s="6">
        <f t="shared" ref="X194:X257" si="43">V194+W194</f>
        <v>127561.21675000001</v>
      </c>
      <c r="Y194" s="6">
        <f t="shared" ref="Y194:Y257" si="44">X194/P194</f>
        <v>70.867342638888886</v>
      </c>
      <c r="Z194" s="6">
        <f t="shared" ref="Z194:Z257" si="45">Q194/P194</f>
        <v>1288.4971388888889</v>
      </c>
      <c r="AA194" s="9">
        <f t="shared" ref="AA194:AA257" si="46">P194</f>
        <v>1800</v>
      </c>
      <c r="AB194" s="10">
        <v>0</v>
      </c>
      <c r="AC194" s="11">
        <f t="shared" si="35"/>
        <v>0</v>
      </c>
      <c r="AD194" s="12">
        <f t="shared" ref="AD194:AD257" si="47">SUMIF($C$2:$C$2284,C194,$AB$2:$AB$2284)</f>
        <v>1800</v>
      </c>
      <c r="AE194" s="13">
        <f t="shared" si="39"/>
        <v>0</v>
      </c>
    </row>
    <row r="195" spans="1:31">
      <c r="A195" s="6">
        <v>6</v>
      </c>
      <c r="B195" s="6">
        <f t="shared" si="38"/>
        <v>11</v>
      </c>
      <c r="C195" s="6" t="str">
        <f t="shared" si="40"/>
        <v>650557200GCUSHION, FOLDED, C AND S HONDA 2JX3460410448902160</v>
      </c>
      <c r="D195" s="6" t="s">
        <v>212</v>
      </c>
      <c r="E195" s="6" t="s">
        <v>159</v>
      </c>
      <c r="F195" s="6"/>
      <c r="G195" s="7" t="s">
        <v>136</v>
      </c>
      <c r="H195" s="7"/>
      <c r="I195" s="7"/>
      <c r="J195" s="7"/>
      <c r="K195" s="7"/>
      <c r="L195" s="7">
        <v>3460410</v>
      </c>
      <c r="M195" s="22">
        <v>44890</v>
      </c>
      <c r="N195" s="8" t="s">
        <v>184</v>
      </c>
      <c r="O195" s="8"/>
      <c r="P195" s="7">
        <v>2160</v>
      </c>
      <c r="Q195" s="7">
        <v>2624382.73</v>
      </c>
      <c r="R195" s="7">
        <v>87089500</v>
      </c>
      <c r="S195" s="7">
        <v>5</v>
      </c>
      <c r="T195" s="7" t="s">
        <v>256</v>
      </c>
      <c r="U195" s="7" t="s">
        <v>178</v>
      </c>
      <c r="V195" s="6">
        <f t="shared" si="41"/>
        <v>131219.13649999999</v>
      </c>
      <c r="W195" s="6">
        <f t="shared" si="42"/>
        <v>13121.91365</v>
      </c>
      <c r="X195" s="6">
        <f t="shared" si="43"/>
        <v>144341.05015</v>
      </c>
      <c r="Y195" s="6">
        <f t="shared" si="44"/>
        <v>66.824560254629631</v>
      </c>
      <c r="Z195" s="6">
        <f t="shared" si="45"/>
        <v>1214.9920046296297</v>
      </c>
      <c r="AA195" s="9">
        <f t="shared" si="46"/>
        <v>2160</v>
      </c>
      <c r="AB195" s="10">
        <v>0</v>
      </c>
      <c r="AC195" s="11">
        <f t="shared" ref="AC195:AC258" si="48">AB195*Y195</f>
        <v>0</v>
      </c>
      <c r="AD195" s="12">
        <f t="shared" si="47"/>
        <v>2160</v>
      </c>
      <c r="AE195" s="13">
        <f t="shared" si="39"/>
        <v>0</v>
      </c>
    </row>
    <row r="196" spans="1:31">
      <c r="A196" s="6">
        <v>6</v>
      </c>
      <c r="B196" s="6">
        <f t="shared" si="38"/>
        <v>12</v>
      </c>
      <c r="C196" s="6" t="str">
        <f t="shared" si="40"/>
        <v>650557200GCUSHION, FOLDED, C AND S HONDA 2JX371647044908720</v>
      </c>
      <c r="D196" s="6" t="s">
        <v>212</v>
      </c>
      <c r="E196" s="6" t="s">
        <v>159</v>
      </c>
      <c r="F196" s="6"/>
      <c r="G196" s="7" t="s">
        <v>136</v>
      </c>
      <c r="H196" s="7"/>
      <c r="I196" s="7"/>
      <c r="J196" s="7"/>
      <c r="K196" s="7"/>
      <c r="L196" s="7">
        <v>3716470</v>
      </c>
      <c r="M196" s="22">
        <v>44908</v>
      </c>
      <c r="N196" s="8" t="s">
        <v>189</v>
      </c>
      <c r="O196" s="8"/>
      <c r="P196" s="7">
        <v>720</v>
      </c>
      <c r="Q196" s="7">
        <v>882387.25</v>
      </c>
      <c r="R196" s="7">
        <v>87089500</v>
      </c>
      <c r="S196" s="7">
        <v>5</v>
      </c>
      <c r="T196" s="7" t="s">
        <v>267</v>
      </c>
      <c r="U196" s="7" t="s">
        <v>178</v>
      </c>
      <c r="V196" s="6">
        <f t="shared" si="41"/>
        <v>44119.362500000003</v>
      </c>
      <c r="W196" s="6">
        <f t="shared" si="42"/>
        <v>4411.9362500000007</v>
      </c>
      <c r="X196" s="6">
        <f t="shared" si="43"/>
        <v>48531.298750000002</v>
      </c>
      <c r="Y196" s="6">
        <f t="shared" si="44"/>
        <v>67.404581597222219</v>
      </c>
      <c r="Z196" s="6">
        <f t="shared" si="45"/>
        <v>1225.5378472222221</v>
      </c>
      <c r="AA196" s="9">
        <f t="shared" si="46"/>
        <v>720</v>
      </c>
      <c r="AB196" s="10">
        <v>0</v>
      </c>
      <c r="AC196" s="11">
        <f t="shared" si="48"/>
        <v>0</v>
      </c>
      <c r="AD196" s="12">
        <f t="shared" si="47"/>
        <v>720</v>
      </c>
      <c r="AE196" s="13">
        <f t="shared" si="39"/>
        <v>0</v>
      </c>
    </row>
    <row r="197" spans="1:31">
      <c r="A197" s="6">
        <v>6</v>
      </c>
      <c r="B197" s="6">
        <f t="shared" si="38"/>
        <v>13</v>
      </c>
      <c r="C197" s="6" t="str">
        <f t="shared" si="40"/>
        <v>651409900ASCREW, STD METRIC M6 HEXALOBULAR INTERNAL, T453335284501730000</v>
      </c>
      <c r="D197" s="6" t="s">
        <v>212</v>
      </c>
      <c r="E197" s="6" t="s">
        <v>168</v>
      </c>
      <c r="F197" s="6"/>
      <c r="G197" s="7" t="s">
        <v>146</v>
      </c>
      <c r="H197" s="7"/>
      <c r="I197" s="7"/>
      <c r="J197" s="7"/>
      <c r="K197" s="7"/>
      <c r="L197" s="7">
        <v>5333528</v>
      </c>
      <c r="M197" s="22">
        <v>45017</v>
      </c>
      <c r="N197" s="8" t="s">
        <v>189</v>
      </c>
      <c r="O197" s="8"/>
      <c r="P197" s="7">
        <v>30000</v>
      </c>
      <c r="Q197" s="7">
        <v>100400.94</v>
      </c>
      <c r="R197" s="7">
        <v>87089500</v>
      </c>
      <c r="S197" s="7">
        <v>15</v>
      </c>
      <c r="T197" s="7" t="s">
        <v>183</v>
      </c>
      <c r="U197" s="7" t="s">
        <v>178</v>
      </c>
      <c r="V197" s="6">
        <f t="shared" si="41"/>
        <v>15060.141</v>
      </c>
      <c r="W197" s="6">
        <f t="shared" si="42"/>
        <v>1506.0141000000001</v>
      </c>
      <c r="X197" s="6">
        <f t="shared" si="43"/>
        <v>16566.1551</v>
      </c>
      <c r="Y197" s="6">
        <f t="shared" si="44"/>
        <v>0.55220517000000002</v>
      </c>
      <c r="Z197" s="6">
        <f t="shared" si="45"/>
        <v>3.346698</v>
      </c>
      <c r="AA197" s="9">
        <f t="shared" si="46"/>
        <v>30000</v>
      </c>
      <c r="AB197" s="10">
        <v>16164</v>
      </c>
      <c r="AC197" s="11">
        <f t="shared" si="48"/>
        <v>8925.8443678799995</v>
      </c>
      <c r="AD197" s="12">
        <f t="shared" si="47"/>
        <v>30000</v>
      </c>
      <c r="AE197" s="13">
        <f t="shared" si="39"/>
        <v>0</v>
      </c>
    </row>
    <row r="198" spans="1:31">
      <c r="A198" s="6">
        <v>6</v>
      </c>
      <c r="B198" s="6">
        <f t="shared" si="38"/>
        <v>14</v>
      </c>
      <c r="C198" s="6" t="str">
        <f t="shared" si="40"/>
        <v>651409900ASCREW, STD METRIC M6 HEXALOBULAR INTERNAL, T453335284501730000</v>
      </c>
      <c r="D198" s="6" t="s">
        <v>212</v>
      </c>
      <c r="E198" s="6" t="s">
        <v>168</v>
      </c>
      <c r="F198" s="6"/>
      <c r="G198" s="7" t="s">
        <v>146</v>
      </c>
      <c r="H198" s="7"/>
      <c r="I198" s="7"/>
      <c r="J198" s="7"/>
      <c r="K198" s="7"/>
      <c r="L198" s="7">
        <v>5333528</v>
      </c>
      <c r="M198" s="22">
        <v>45017</v>
      </c>
      <c r="N198" s="8" t="s">
        <v>189</v>
      </c>
      <c r="O198" s="8"/>
      <c r="P198" s="7">
        <v>30000</v>
      </c>
      <c r="Q198" s="7">
        <v>100400.94</v>
      </c>
      <c r="R198" s="7">
        <v>87089500</v>
      </c>
      <c r="S198" s="7">
        <v>15</v>
      </c>
      <c r="T198" s="7" t="s">
        <v>183</v>
      </c>
      <c r="U198" s="7" t="s">
        <v>178</v>
      </c>
      <c r="V198" s="6">
        <f t="shared" si="41"/>
        <v>15060.141</v>
      </c>
      <c r="W198" s="6">
        <f t="shared" si="42"/>
        <v>1506.0141000000001</v>
      </c>
      <c r="X198" s="6">
        <f t="shared" si="43"/>
        <v>16566.1551</v>
      </c>
      <c r="Y198" s="6">
        <f t="shared" si="44"/>
        <v>0.55220517000000002</v>
      </c>
      <c r="Z198" s="6">
        <f t="shared" si="45"/>
        <v>3.346698</v>
      </c>
      <c r="AA198" s="9">
        <f t="shared" si="46"/>
        <v>30000</v>
      </c>
      <c r="AB198" s="10">
        <v>0</v>
      </c>
      <c r="AC198" s="11">
        <f t="shared" si="48"/>
        <v>0</v>
      </c>
      <c r="AD198" s="12">
        <f t="shared" si="47"/>
        <v>30000</v>
      </c>
      <c r="AE198" s="13">
        <f t="shared" si="39"/>
        <v>0</v>
      </c>
    </row>
    <row r="199" spans="1:31">
      <c r="A199" s="6">
        <v>6</v>
      </c>
      <c r="B199" s="6">
        <f t="shared" si="38"/>
        <v>15</v>
      </c>
      <c r="C199" s="6" t="str">
        <f t="shared" si="40"/>
        <v>652466500ALEATHER, HIDE TOP GRAIN, OBSIDIAN BLACK, NNB, BLA589435445057548.43</v>
      </c>
      <c r="D199" s="6" t="s">
        <v>212</v>
      </c>
      <c r="E199" s="6" t="s">
        <v>163</v>
      </c>
      <c r="F199" s="6"/>
      <c r="G199" s="7" t="s">
        <v>141</v>
      </c>
      <c r="H199" s="7"/>
      <c r="I199" s="7"/>
      <c r="J199" s="7"/>
      <c r="K199" s="7"/>
      <c r="L199" s="7">
        <v>5894354</v>
      </c>
      <c r="M199" s="22">
        <v>45057</v>
      </c>
      <c r="N199" s="8" t="s">
        <v>184</v>
      </c>
      <c r="O199" s="8"/>
      <c r="P199" s="7">
        <v>548.42999999999995</v>
      </c>
      <c r="Q199" s="7">
        <v>1411455.65</v>
      </c>
      <c r="R199" s="7">
        <v>41071200</v>
      </c>
      <c r="S199" s="7">
        <v>0</v>
      </c>
      <c r="T199" s="7" t="s">
        <v>270</v>
      </c>
      <c r="U199" s="7" t="s">
        <v>178</v>
      </c>
      <c r="V199" s="6">
        <f t="shared" si="41"/>
        <v>0</v>
      </c>
      <c r="W199" s="6">
        <f t="shared" si="42"/>
        <v>0</v>
      </c>
      <c r="X199" s="6">
        <f t="shared" si="43"/>
        <v>0</v>
      </c>
      <c r="Y199" s="6">
        <f t="shared" si="44"/>
        <v>0</v>
      </c>
      <c r="Z199" s="6">
        <f t="shared" si="45"/>
        <v>2573.6295425122626</v>
      </c>
      <c r="AA199" s="9">
        <f t="shared" si="46"/>
        <v>548.42999999999995</v>
      </c>
      <c r="AB199" s="10">
        <v>177.7</v>
      </c>
      <c r="AC199" s="11">
        <f t="shared" si="48"/>
        <v>0</v>
      </c>
      <c r="AD199" s="12">
        <f t="shared" si="47"/>
        <v>548.42999999999995</v>
      </c>
      <c r="AE199" s="13">
        <f t="shared" si="39"/>
        <v>0</v>
      </c>
    </row>
    <row r="200" spans="1:31">
      <c r="A200" s="6">
        <v>6</v>
      </c>
      <c r="B200" s="6">
        <f t="shared" si="38"/>
        <v>16</v>
      </c>
      <c r="C200" s="6" t="str">
        <f t="shared" si="40"/>
        <v>639590100BSCREW SELF TAPPING INTERNAL T15, 15.0951301244754120000</v>
      </c>
      <c r="D200" s="6" t="s">
        <v>212</v>
      </c>
      <c r="E200" s="6" t="s">
        <v>165</v>
      </c>
      <c r="F200" s="6"/>
      <c r="G200" s="7" t="s">
        <v>143</v>
      </c>
      <c r="H200" s="7"/>
      <c r="I200" s="7"/>
      <c r="J200" s="7"/>
      <c r="K200" s="7"/>
      <c r="L200" s="7">
        <v>9513012</v>
      </c>
      <c r="M200" s="22">
        <v>44754</v>
      </c>
      <c r="N200" s="8" t="s">
        <v>180</v>
      </c>
      <c r="O200" s="8"/>
      <c r="P200" s="7">
        <v>120000</v>
      </c>
      <c r="Q200" s="7">
        <v>131179.14000000001</v>
      </c>
      <c r="R200" s="7">
        <v>87089900</v>
      </c>
      <c r="S200" s="7">
        <v>15</v>
      </c>
      <c r="T200" s="7" t="s">
        <v>262</v>
      </c>
      <c r="U200" s="7" t="s">
        <v>178</v>
      </c>
      <c r="V200" s="6">
        <f t="shared" si="41"/>
        <v>19676.871000000003</v>
      </c>
      <c r="W200" s="6">
        <f t="shared" si="42"/>
        <v>1967.6871000000003</v>
      </c>
      <c r="X200" s="6">
        <f t="shared" si="43"/>
        <v>21644.558100000002</v>
      </c>
      <c r="Y200" s="6">
        <f t="shared" si="44"/>
        <v>0.18037131750000002</v>
      </c>
      <c r="Z200" s="6">
        <f t="shared" si="45"/>
        <v>1.0931595000000001</v>
      </c>
      <c r="AA200" s="9">
        <f t="shared" si="46"/>
        <v>120000</v>
      </c>
      <c r="AB200" s="10">
        <v>50332</v>
      </c>
      <c r="AC200" s="11">
        <f t="shared" si="48"/>
        <v>9078.4491524100013</v>
      </c>
      <c r="AD200" s="12">
        <f t="shared" si="47"/>
        <v>120000</v>
      </c>
      <c r="AE200" s="13">
        <f t="shared" si="39"/>
        <v>0</v>
      </c>
    </row>
    <row r="201" spans="1:31">
      <c r="A201" s="6">
        <v>6</v>
      </c>
      <c r="B201" s="6">
        <f t="shared" si="38"/>
        <v>17</v>
      </c>
      <c r="C201" s="6" t="str">
        <f t="shared" si="40"/>
        <v>608225700ASCREW,STD METRIIC HEXALOBULAR  M5 T25 12MM65215504509930000</v>
      </c>
      <c r="D201" s="6" t="s">
        <v>212</v>
      </c>
      <c r="E201" s="6" t="s">
        <v>169</v>
      </c>
      <c r="F201" s="6"/>
      <c r="G201" s="7" t="s">
        <v>147</v>
      </c>
      <c r="H201" s="7"/>
      <c r="I201" s="7"/>
      <c r="J201" s="7"/>
      <c r="K201" s="7"/>
      <c r="L201" s="7">
        <v>6521550</v>
      </c>
      <c r="M201" s="22">
        <v>45099</v>
      </c>
      <c r="N201" s="8" t="s">
        <v>189</v>
      </c>
      <c r="O201" s="8"/>
      <c r="P201" s="7">
        <v>30000</v>
      </c>
      <c r="Q201" s="7">
        <v>91043.24</v>
      </c>
      <c r="R201" s="7">
        <v>87089400</v>
      </c>
      <c r="S201" s="7">
        <v>15</v>
      </c>
      <c r="T201" s="7" t="s">
        <v>266</v>
      </c>
      <c r="U201" s="7" t="s">
        <v>178</v>
      </c>
      <c r="V201" s="6">
        <f t="shared" si="41"/>
        <v>13656.486000000001</v>
      </c>
      <c r="W201" s="6">
        <f t="shared" si="42"/>
        <v>1365.6486000000002</v>
      </c>
      <c r="X201" s="6">
        <f t="shared" si="43"/>
        <v>15022.134600000001</v>
      </c>
      <c r="Y201" s="6">
        <f t="shared" si="44"/>
        <v>0.50073782</v>
      </c>
      <c r="Z201" s="6">
        <f t="shared" si="45"/>
        <v>3.0347746666666668</v>
      </c>
      <c r="AA201" s="9">
        <f t="shared" si="46"/>
        <v>30000</v>
      </c>
      <c r="AB201" s="10">
        <v>15092</v>
      </c>
      <c r="AC201" s="11">
        <f t="shared" si="48"/>
        <v>7557.1351794399998</v>
      </c>
      <c r="AD201" s="12">
        <f t="shared" si="47"/>
        <v>30000</v>
      </c>
      <c r="AE201" s="13">
        <f t="shared" si="39"/>
        <v>0</v>
      </c>
    </row>
    <row r="202" spans="1:31">
      <c r="A202" s="6">
        <v>6</v>
      </c>
      <c r="B202" s="6">
        <f t="shared" si="38"/>
        <v>18</v>
      </c>
      <c r="C202" s="6" t="str">
        <f t="shared" si="40"/>
        <v>655818900BACTUATOR VIBRATION MOTOR ASSY WITH BRACKET BC3 CU63803174508914400</v>
      </c>
      <c r="D202" s="6" t="s">
        <v>212</v>
      </c>
      <c r="E202" s="6" t="s">
        <v>156</v>
      </c>
      <c r="F202" s="6"/>
      <c r="G202" s="7" t="s">
        <v>133</v>
      </c>
      <c r="H202" s="7"/>
      <c r="I202" s="7"/>
      <c r="J202" s="7"/>
      <c r="K202" s="7"/>
      <c r="L202" s="7">
        <v>6380317</v>
      </c>
      <c r="M202" s="22">
        <v>45089</v>
      </c>
      <c r="N202" s="8" t="s">
        <v>189</v>
      </c>
      <c r="O202" s="8"/>
      <c r="P202" s="7">
        <v>14400</v>
      </c>
      <c r="Q202" s="7">
        <v>4775221.9000000004</v>
      </c>
      <c r="R202" s="7">
        <v>85011019</v>
      </c>
      <c r="S202" s="7">
        <v>15</v>
      </c>
      <c r="T202" s="7" t="s">
        <v>254</v>
      </c>
      <c r="U202" s="7" t="s">
        <v>178</v>
      </c>
      <c r="V202" s="6">
        <f t="shared" si="41"/>
        <v>716283.28500000003</v>
      </c>
      <c r="W202" s="6">
        <f t="shared" si="42"/>
        <v>71628.328500000003</v>
      </c>
      <c r="X202" s="6">
        <f t="shared" si="43"/>
        <v>787911.61349999998</v>
      </c>
      <c r="Y202" s="6">
        <f t="shared" si="44"/>
        <v>54.716084270833335</v>
      </c>
      <c r="Z202" s="6">
        <f t="shared" si="45"/>
        <v>331.61263194444444</v>
      </c>
      <c r="AA202" s="9">
        <f t="shared" si="46"/>
        <v>14400</v>
      </c>
      <c r="AB202" s="10">
        <v>6752</v>
      </c>
      <c r="AC202" s="11">
        <f t="shared" si="48"/>
        <v>369443.00099666667</v>
      </c>
      <c r="AD202" s="12">
        <f t="shared" si="47"/>
        <v>14400</v>
      </c>
      <c r="AE202" s="13">
        <f t="shared" si="39"/>
        <v>0</v>
      </c>
    </row>
    <row r="203" spans="1:31">
      <c r="A203" s="6">
        <v>6</v>
      </c>
      <c r="B203" s="6">
        <f t="shared" si="38"/>
        <v>19</v>
      </c>
      <c r="C203" s="6" t="str">
        <f t="shared" si="40"/>
        <v>655931500AARMATURE, MONOBLOCK ASW4, HYUNDAI BC3-CUV6364915450893240</v>
      </c>
      <c r="D203" s="6" t="s">
        <v>212</v>
      </c>
      <c r="E203" s="6" t="s">
        <v>157</v>
      </c>
      <c r="F203" s="6"/>
      <c r="G203" s="7" t="s">
        <v>134</v>
      </c>
      <c r="H203" s="7"/>
      <c r="I203" s="7"/>
      <c r="J203" s="7"/>
      <c r="K203" s="7"/>
      <c r="L203" s="7">
        <v>6364915</v>
      </c>
      <c r="M203" s="22">
        <v>45089</v>
      </c>
      <c r="N203" s="8" t="s">
        <v>184</v>
      </c>
      <c r="O203" s="8"/>
      <c r="P203" s="7">
        <v>3240</v>
      </c>
      <c r="Q203" s="7">
        <v>1411884.06</v>
      </c>
      <c r="R203" s="7">
        <v>87089400</v>
      </c>
      <c r="S203" s="7">
        <v>15</v>
      </c>
      <c r="T203" s="7" t="s">
        <v>186</v>
      </c>
      <c r="U203" s="7" t="s">
        <v>178</v>
      </c>
      <c r="V203" s="6">
        <f t="shared" si="41"/>
        <v>211782.609</v>
      </c>
      <c r="W203" s="6">
        <f t="shared" si="42"/>
        <v>21178.260900000001</v>
      </c>
      <c r="X203" s="6">
        <f t="shared" si="43"/>
        <v>232960.86989999999</v>
      </c>
      <c r="Y203" s="6">
        <f t="shared" si="44"/>
        <v>71.901503055555551</v>
      </c>
      <c r="Z203" s="6">
        <f t="shared" si="45"/>
        <v>435.76668518518522</v>
      </c>
      <c r="AA203" s="9">
        <f t="shared" si="46"/>
        <v>3240</v>
      </c>
      <c r="AB203" s="10">
        <v>996</v>
      </c>
      <c r="AC203" s="11">
        <f t="shared" si="48"/>
        <v>71613.897043333331</v>
      </c>
      <c r="AD203" s="12">
        <f t="shared" si="47"/>
        <v>3240</v>
      </c>
      <c r="AE203" s="13">
        <f t="shared" si="39"/>
        <v>0</v>
      </c>
    </row>
    <row r="204" spans="1:31">
      <c r="A204" s="6">
        <v>6</v>
      </c>
      <c r="B204" s="6">
        <f t="shared" si="38"/>
        <v>20</v>
      </c>
      <c r="C204" s="6" t="str">
        <f t="shared" si="40"/>
        <v>651015300BELEMENT, HEATER, HYBRID 5171681450072520</v>
      </c>
      <c r="D204" s="6" t="s">
        <v>212</v>
      </c>
      <c r="E204" s="6" t="s">
        <v>155</v>
      </c>
      <c r="F204" s="6"/>
      <c r="G204" s="7" t="s">
        <v>137</v>
      </c>
      <c r="H204" s="7"/>
      <c r="I204" s="7"/>
      <c r="J204" s="7"/>
      <c r="K204" s="7"/>
      <c r="L204" s="7">
        <v>5171681</v>
      </c>
      <c r="M204" s="22">
        <v>45007</v>
      </c>
      <c r="N204" s="8" t="s">
        <v>189</v>
      </c>
      <c r="O204" s="8"/>
      <c r="P204" s="7">
        <v>2520</v>
      </c>
      <c r="Q204" s="7">
        <v>1431722.14</v>
      </c>
      <c r="R204" s="7">
        <v>87089400</v>
      </c>
      <c r="S204" s="7">
        <v>15</v>
      </c>
      <c r="T204" s="7" t="s">
        <v>257</v>
      </c>
      <c r="U204" s="7" t="s">
        <v>178</v>
      </c>
      <c r="V204" s="6">
        <f t="shared" si="41"/>
        <v>214758.32099999997</v>
      </c>
      <c r="W204" s="6">
        <f t="shared" si="42"/>
        <v>21475.8321</v>
      </c>
      <c r="X204" s="6">
        <f t="shared" si="43"/>
        <v>236234.15309999997</v>
      </c>
      <c r="Y204" s="6">
        <f t="shared" si="44"/>
        <v>93.743711547619029</v>
      </c>
      <c r="Z204" s="6">
        <f t="shared" si="45"/>
        <v>568.14370634920635</v>
      </c>
      <c r="AA204" s="9">
        <f t="shared" si="46"/>
        <v>2520</v>
      </c>
      <c r="AB204" s="10">
        <v>144</v>
      </c>
      <c r="AC204" s="11">
        <f t="shared" si="48"/>
        <v>13499.09446285714</v>
      </c>
      <c r="AD204" s="12">
        <f t="shared" si="47"/>
        <v>2520</v>
      </c>
      <c r="AE204" s="13">
        <f t="shared" si="39"/>
        <v>0</v>
      </c>
    </row>
    <row r="205" spans="1:31">
      <c r="A205" s="6">
        <v>6</v>
      </c>
      <c r="B205" s="6">
        <f t="shared" si="38"/>
        <v>21</v>
      </c>
      <c r="C205" s="6" t="str">
        <f t="shared" si="40"/>
        <v>653052600AINFLATOR, APP-4.6, 2.2MO STANDARD_MIB, SQUARE_61X5131454450053456</v>
      </c>
      <c r="D205" s="6" t="s">
        <v>212</v>
      </c>
      <c r="E205" s="6" t="s">
        <v>161</v>
      </c>
      <c r="F205" s="6"/>
      <c r="G205" s="7" t="s">
        <v>139</v>
      </c>
      <c r="H205" s="7"/>
      <c r="I205" s="7"/>
      <c r="J205" s="7"/>
      <c r="K205" s="7"/>
      <c r="L205" s="7">
        <v>5131454</v>
      </c>
      <c r="M205" s="22">
        <v>45005</v>
      </c>
      <c r="N205" s="8" t="s">
        <v>184</v>
      </c>
      <c r="O205" s="8"/>
      <c r="P205" s="7">
        <v>3456</v>
      </c>
      <c r="Q205" s="7">
        <v>1853088.25</v>
      </c>
      <c r="R205" s="7">
        <v>87089500</v>
      </c>
      <c r="S205" s="7">
        <v>15</v>
      </c>
      <c r="T205" s="7" t="s">
        <v>259</v>
      </c>
      <c r="U205" s="7" t="s">
        <v>200</v>
      </c>
      <c r="V205" s="6">
        <f t="shared" si="41"/>
        <v>277963.23749999999</v>
      </c>
      <c r="W205" s="6">
        <f t="shared" si="42"/>
        <v>27796.32375</v>
      </c>
      <c r="X205" s="6">
        <f t="shared" si="43"/>
        <v>305759.56124999997</v>
      </c>
      <c r="Y205" s="6">
        <f t="shared" si="44"/>
        <v>88.47209526909721</v>
      </c>
      <c r="Z205" s="6">
        <f t="shared" si="45"/>
        <v>536.19451678240739</v>
      </c>
      <c r="AA205" s="9">
        <f t="shared" si="46"/>
        <v>3456</v>
      </c>
      <c r="AB205" s="10">
        <v>1076</v>
      </c>
      <c r="AC205" s="11">
        <f t="shared" si="48"/>
        <v>95195.9745095486</v>
      </c>
      <c r="AD205" s="12">
        <f t="shared" si="47"/>
        <v>3456</v>
      </c>
      <c r="AE205" s="13">
        <f t="shared" si="39"/>
        <v>0</v>
      </c>
    </row>
    <row r="206" spans="1:31">
      <c r="A206" s="6">
        <v>6</v>
      </c>
      <c r="B206" s="6">
        <f t="shared" si="38"/>
        <v>22</v>
      </c>
      <c r="C206" s="6" t="str">
        <f t="shared" si="40"/>
        <v>628408700ASCREW, STANDARD, METRIC, M5, HEXALOBULAR INTERNAL95368514475560000</v>
      </c>
      <c r="D206" s="6" t="s">
        <v>212</v>
      </c>
      <c r="E206" s="6" t="s">
        <v>167</v>
      </c>
      <c r="F206" s="6"/>
      <c r="G206" s="7" t="s">
        <v>145</v>
      </c>
      <c r="H206" s="7"/>
      <c r="I206" s="7"/>
      <c r="J206" s="7"/>
      <c r="K206" s="7"/>
      <c r="L206" s="7">
        <v>9536851</v>
      </c>
      <c r="M206" s="22">
        <v>44755</v>
      </c>
      <c r="N206" s="8" t="s">
        <v>180</v>
      </c>
      <c r="O206" s="8"/>
      <c r="P206" s="7">
        <v>60000</v>
      </c>
      <c r="Q206" s="7">
        <v>299180.5</v>
      </c>
      <c r="R206" s="7">
        <v>87089900</v>
      </c>
      <c r="S206" s="7">
        <v>15</v>
      </c>
      <c r="T206" s="7" t="s">
        <v>181</v>
      </c>
      <c r="U206" s="7" t="s">
        <v>178</v>
      </c>
      <c r="V206" s="6">
        <f t="shared" si="41"/>
        <v>44877.074999999997</v>
      </c>
      <c r="W206" s="6">
        <f t="shared" si="42"/>
        <v>4487.7074999999995</v>
      </c>
      <c r="X206" s="6">
        <f t="shared" si="43"/>
        <v>49364.782499999994</v>
      </c>
      <c r="Y206" s="6">
        <f t="shared" si="44"/>
        <v>0.82274637499999992</v>
      </c>
      <c r="Z206" s="6">
        <f t="shared" si="45"/>
        <v>4.9863416666666662</v>
      </c>
      <c r="AA206" s="9">
        <f t="shared" si="46"/>
        <v>60000</v>
      </c>
      <c r="AB206" s="10">
        <v>25200</v>
      </c>
      <c r="AC206" s="11">
        <f t="shared" si="48"/>
        <v>20733.208649999997</v>
      </c>
      <c r="AD206" s="12">
        <f t="shared" si="47"/>
        <v>60000</v>
      </c>
      <c r="AE206" s="13">
        <f t="shared" si="39"/>
        <v>0</v>
      </c>
    </row>
    <row r="207" spans="1:31">
      <c r="A207" s="6">
        <v>6</v>
      </c>
      <c r="B207" s="6">
        <f t="shared" si="38"/>
        <v>23</v>
      </c>
      <c r="C207" s="6" t="str">
        <f t="shared" si="40"/>
        <v>651166400CSPRING, COIL, UPPER 96737754476445000</v>
      </c>
      <c r="D207" s="6" t="s">
        <v>212</v>
      </c>
      <c r="E207" s="6" t="s">
        <v>170</v>
      </c>
      <c r="F207" s="6"/>
      <c r="G207" s="7" t="s">
        <v>148</v>
      </c>
      <c r="H207" s="7"/>
      <c r="I207" s="7"/>
      <c r="J207" s="7"/>
      <c r="K207" s="7"/>
      <c r="L207" s="7">
        <v>9673775</v>
      </c>
      <c r="M207" s="22">
        <v>44764</v>
      </c>
      <c r="N207" s="8" t="s">
        <v>180</v>
      </c>
      <c r="O207" s="8"/>
      <c r="P207" s="7">
        <v>45000</v>
      </c>
      <c r="Q207" s="7">
        <v>66305.789999999994</v>
      </c>
      <c r="R207" s="7">
        <v>87089500</v>
      </c>
      <c r="S207" s="7">
        <v>15</v>
      </c>
      <c r="T207" s="7" t="s">
        <v>280</v>
      </c>
      <c r="U207" s="7" t="s">
        <v>178</v>
      </c>
      <c r="V207" s="6">
        <f t="shared" si="41"/>
        <v>9945.8684999999987</v>
      </c>
      <c r="W207" s="6">
        <f t="shared" si="42"/>
        <v>994.58684999999991</v>
      </c>
      <c r="X207" s="6">
        <f t="shared" si="43"/>
        <v>10940.455349999998</v>
      </c>
      <c r="Y207" s="6">
        <f t="shared" si="44"/>
        <v>0.24312122999999997</v>
      </c>
      <c r="Z207" s="6">
        <f t="shared" si="45"/>
        <v>1.4734619999999998</v>
      </c>
      <c r="AA207" s="9">
        <f t="shared" si="46"/>
        <v>45000</v>
      </c>
      <c r="AB207" s="10">
        <v>13145</v>
      </c>
      <c r="AC207" s="11">
        <f t="shared" si="48"/>
        <v>3195.8285683499994</v>
      </c>
      <c r="AD207" s="12">
        <f t="shared" si="47"/>
        <v>45000</v>
      </c>
      <c r="AE207" s="13">
        <f t="shared" si="39"/>
        <v>0</v>
      </c>
    </row>
    <row r="208" spans="1:31">
      <c r="A208" s="6">
        <v>6</v>
      </c>
      <c r="B208" s="6">
        <f t="shared" si="38"/>
        <v>24</v>
      </c>
      <c r="C208" s="6" t="str">
        <f t="shared" si="40"/>
        <v>652466500ALEATHER, HIDE TOP GRAIN, OBSIDIAN BLACK, NNB, BLA5703451450435478.49</v>
      </c>
      <c r="D208" s="6" t="s">
        <v>212</v>
      </c>
      <c r="E208" s="6" t="s">
        <v>163</v>
      </c>
      <c r="F208" s="6"/>
      <c r="G208" s="7" t="s">
        <v>141</v>
      </c>
      <c r="H208" s="7"/>
      <c r="I208" s="7"/>
      <c r="J208" s="7"/>
      <c r="K208" s="7"/>
      <c r="L208" s="7">
        <v>5703451</v>
      </c>
      <c r="M208" s="22">
        <v>45043</v>
      </c>
      <c r="N208" s="8" t="s">
        <v>184</v>
      </c>
      <c r="O208" s="8"/>
      <c r="P208" s="7">
        <v>5478.4900000000007</v>
      </c>
      <c r="Q208" s="7">
        <v>14099606.499999998</v>
      </c>
      <c r="R208" s="7">
        <v>41071200</v>
      </c>
      <c r="S208" s="7">
        <v>0</v>
      </c>
      <c r="T208" s="7" t="s">
        <v>261</v>
      </c>
      <c r="U208" s="7" t="s">
        <v>178</v>
      </c>
      <c r="V208" s="6">
        <f t="shared" si="41"/>
        <v>0</v>
      </c>
      <c r="W208" s="6">
        <f t="shared" si="42"/>
        <v>0</v>
      </c>
      <c r="X208" s="6">
        <f t="shared" si="43"/>
        <v>0</v>
      </c>
      <c r="Y208" s="6">
        <f t="shared" si="44"/>
        <v>0</v>
      </c>
      <c r="Z208" s="6">
        <f t="shared" si="45"/>
        <v>2573.6300513462643</v>
      </c>
      <c r="AA208" s="9">
        <f t="shared" si="46"/>
        <v>5478.4900000000007</v>
      </c>
      <c r="AB208" s="10">
        <v>117</v>
      </c>
      <c r="AC208" s="11">
        <f t="shared" si="48"/>
        <v>0</v>
      </c>
      <c r="AD208" s="12">
        <f t="shared" si="47"/>
        <v>5478.4900000000007</v>
      </c>
      <c r="AE208" s="13">
        <f t="shared" si="39"/>
        <v>0</v>
      </c>
    </row>
    <row r="209" spans="1:31">
      <c r="A209" s="6">
        <v>6</v>
      </c>
      <c r="B209" s="6">
        <f t="shared" si="38"/>
        <v>25</v>
      </c>
      <c r="C209" s="6" t="str">
        <f t="shared" si="40"/>
        <v>655818900BACTUATOR VIBRATION MOTOR ASSY WITH BRACKET BC3 CU6803465451179600</v>
      </c>
      <c r="D209" s="6" t="s">
        <v>212</v>
      </c>
      <c r="E209" s="6" t="s">
        <v>156</v>
      </c>
      <c r="F209" s="6"/>
      <c r="G209" s="7" t="s">
        <v>133</v>
      </c>
      <c r="H209" s="7"/>
      <c r="I209" s="7"/>
      <c r="J209" s="7"/>
      <c r="K209" s="7"/>
      <c r="L209" s="7">
        <v>6803465</v>
      </c>
      <c r="M209" s="22">
        <v>45117</v>
      </c>
      <c r="N209" s="8" t="s">
        <v>189</v>
      </c>
      <c r="O209" s="8"/>
      <c r="P209" s="7">
        <v>9600</v>
      </c>
      <c r="Q209" s="7">
        <v>3184191.34</v>
      </c>
      <c r="R209" s="7">
        <v>85011019</v>
      </c>
      <c r="S209" s="7">
        <v>15</v>
      </c>
      <c r="T209" s="7" t="s">
        <v>254</v>
      </c>
      <c r="U209" s="7" t="s">
        <v>178</v>
      </c>
      <c r="V209" s="6">
        <f t="shared" si="41"/>
        <v>477628.70099999994</v>
      </c>
      <c r="W209" s="6">
        <f t="shared" si="42"/>
        <v>47762.8701</v>
      </c>
      <c r="X209" s="6">
        <f t="shared" si="43"/>
        <v>525391.57109999994</v>
      </c>
      <c r="Y209" s="6">
        <f t="shared" si="44"/>
        <v>54.728288656249994</v>
      </c>
      <c r="Z209" s="6">
        <f t="shared" si="45"/>
        <v>331.68659791666664</v>
      </c>
      <c r="AA209" s="9">
        <f t="shared" si="46"/>
        <v>9600</v>
      </c>
      <c r="AB209" s="10">
        <v>794</v>
      </c>
      <c r="AC209" s="11">
        <f t="shared" si="48"/>
        <v>43454.261193062492</v>
      </c>
      <c r="AD209" s="12">
        <f t="shared" si="47"/>
        <v>9600</v>
      </c>
      <c r="AE209" s="13">
        <f t="shared" si="39"/>
        <v>0</v>
      </c>
    </row>
    <row r="210" spans="1:31">
      <c r="A210" s="6">
        <v>6</v>
      </c>
      <c r="B210" s="6">
        <f t="shared" si="38"/>
        <v>26</v>
      </c>
      <c r="C210" s="6" t="str">
        <f t="shared" si="40"/>
        <v>655931500AARMATURE, MONOBLOCK ASW4, HYUNDAI BC3-CUV5758453450472916</v>
      </c>
      <c r="D210" s="6" t="s">
        <v>212</v>
      </c>
      <c r="E210" s="6" t="s">
        <v>157</v>
      </c>
      <c r="F210" s="6"/>
      <c r="G210" s="7" t="s">
        <v>134</v>
      </c>
      <c r="H210" s="7"/>
      <c r="I210" s="7"/>
      <c r="J210" s="7"/>
      <c r="K210" s="7"/>
      <c r="L210" s="7">
        <v>5758453</v>
      </c>
      <c r="M210" s="22">
        <v>45047</v>
      </c>
      <c r="N210" s="8" t="s">
        <v>184</v>
      </c>
      <c r="O210" s="8"/>
      <c r="P210" s="7">
        <v>2916</v>
      </c>
      <c r="Q210" s="7">
        <v>1301739.6100000001</v>
      </c>
      <c r="R210" s="7">
        <v>87089400</v>
      </c>
      <c r="S210" s="7">
        <v>15</v>
      </c>
      <c r="T210" s="7" t="s">
        <v>186</v>
      </c>
      <c r="U210" s="7" t="s">
        <v>178</v>
      </c>
      <c r="V210" s="6">
        <f t="shared" si="41"/>
        <v>195260.94150000002</v>
      </c>
      <c r="W210" s="6">
        <f t="shared" si="42"/>
        <v>19526.094150000001</v>
      </c>
      <c r="X210" s="6">
        <f t="shared" si="43"/>
        <v>214787.03565000001</v>
      </c>
      <c r="Y210" s="6">
        <f t="shared" si="44"/>
        <v>73.658105504115227</v>
      </c>
      <c r="Z210" s="6">
        <f t="shared" si="45"/>
        <v>446.41276063100139</v>
      </c>
      <c r="AA210" s="9">
        <f t="shared" si="46"/>
        <v>2916</v>
      </c>
      <c r="AB210" s="10">
        <v>2916</v>
      </c>
      <c r="AC210" s="11">
        <f t="shared" si="48"/>
        <v>214787.03565000001</v>
      </c>
      <c r="AD210" s="12">
        <f t="shared" si="47"/>
        <v>2916</v>
      </c>
      <c r="AE210" s="13">
        <f t="shared" si="39"/>
        <v>0</v>
      </c>
    </row>
    <row r="211" spans="1:31">
      <c r="A211" s="6">
        <v>6</v>
      </c>
      <c r="B211" s="6">
        <f t="shared" si="38"/>
        <v>27</v>
      </c>
      <c r="C211" s="6" t="str">
        <f t="shared" si="40"/>
        <v>655931500AARMATURE, MONOBLOCK ASW4, HYUNDAI BC3-CUV5758642450471944</v>
      </c>
      <c r="D211" s="6" t="s">
        <v>212</v>
      </c>
      <c r="E211" s="6" t="s">
        <v>157</v>
      </c>
      <c r="F211" s="6"/>
      <c r="G211" s="7" t="s">
        <v>134</v>
      </c>
      <c r="H211" s="7"/>
      <c r="I211" s="7"/>
      <c r="J211" s="7"/>
      <c r="K211" s="7"/>
      <c r="L211" s="7">
        <v>5758642</v>
      </c>
      <c r="M211" s="22">
        <v>45047</v>
      </c>
      <c r="N211" s="8" t="s">
        <v>184</v>
      </c>
      <c r="O211" s="8"/>
      <c r="P211" s="7">
        <v>1944</v>
      </c>
      <c r="Q211" s="7">
        <v>868155.44</v>
      </c>
      <c r="R211" s="7">
        <v>87089400</v>
      </c>
      <c r="S211" s="7">
        <v>15</v>
      </c>
      <c r="T211" s="7" t="s">
        <v>186</v>
      </c>
      <c r="U211" s="7" t="s">
        <v>178</v>
      </c>
      <c r="V211" s="6">
        <f t="shared" si="41"/>
        <v>130223.31599999999</v>
      </c>
      <c r="W211" s="6">
        <f t="shared" si="42"/>
        <v>13022.3316</v>
      </c>
      <c r="X211" s="6">
        <f t="shared" si="43"/>
        <v>143245.6476</v>
      </c>
      <c r="Y211" s="6">
        <f t="shared" si="44"/>
        <v>73.686032716049382</v>
      </c>
      <c r="Z211" s="6">
        <f t="shared" si="45"/>
        <v>446.58201646090532</v>
      </c>
      <c r="AA211" s="9">
        <f t="shared" si="46"/>
        <v>1944</v>
      </c>
      <c r="AB211" s="10">
        <v>1944</v>
      </c>
      <c r="AC211" s="11">
        <f t="shared" si="48"/>
        <v>143245.6476</v>
      </c>
      <c r="AD211" s="12">
        <f t="shared" si="47"/>
        <v>1944</v>
      </c>
      <c r="AE211" s="13">
        <f t="shared" si="39"/>
        <v>0</v>
      </c>
    </row>
    <row r="212" spans="1:31">
      <c r="A212" s="6">
        <v>6</v>
      </c>
      <c r="B212" s="6">
        <f t="shared" si="38"/>
        <v>28</v>
      </c>
      <c r="C212" s="6" t="str">
        <f t="shared" si="40"/>
        <v>655931500AARMATURE, MONOBLOCK ASW4, HYUNDAI BC3-CUV5956461450612915</v>
      </c>
      <c r="D212" s="6" t="s">
        <v>212</v>
      </c>
      <c r="E212" s="6" t="s">
        <v>157</v>
      </c>
      <c r="F212" s="6"/>
      <c r="G212" s="7" t="s">
        <v>134</v>
      </c>
      <c r="H212" s="7"/>
      <c r="I212" s="7"/>
      <c r="J212" s="7"/>
      <c r="K212" s="7"/>
      <c r="L212" s="7">
        <v>5956461</v>
      </c>
      <c r="M212" s="22">
        <v>45061</v>
      </c>
      <c r="N212" s="8" t="s">
        <v>184</v>
      </c>
      <c r="O212" s="8"/>
      <c r="P212" s="7">
        <v>2915</v>
      </c>
      <c r="Q212" s="7">
        <v>1290630.6299999999</v>
      </c>
      <c r="R212" s="7">
        <v>87089400</v>
      </c>
      <c r="S212" s="7">
        <v>15</v>
      </c>
      <c r="T212" s="7" t="s">
        <v>186</v>
      </c>
      <c r="U212" s="7" t="s">
        <v>178</v>
      </c>
      <c r="V212" s="6">
        <f t="shared" si="41"/>
        <v>193594.59449999998</v>
      </c>
      <c r="W212" s="6">
        <f t="shared" si="42"/>
        <v>19359.459449999998</v>
      </c>
      <c r="X212" s="6">
        <f t="shared" si="43"/>
        <v>212954.05394999997</v>
      </c>
      <c r="Y212" s="6">
        <f t="shared" si="44"/>
        <v>73.05456396226414</v>
      </c>
      <c r="Z212" s="6">
        <f t="shared" si="45"/>
        <v>442.75493310463116</v>
      </c>
      <c r="AA212" s="9">
        <f t="shared" si="46"/>
        <v>2915</v>
      </c>
      <c r="AB212" s="10">
        <v>2226</v>
      </c>
      <c r="AC212" s="11">
        <f t="shared" si="48"/>
        <v>162619.45937999999</v>
      </c>
      <c r="AD212" s="12">
        <f t="shared" si="47"/>
        <v>2915</v>
      </c>
      <c r="AE212" s="13">
        <f t="shared" si="39"/>
        <v>0</v>
      </c>
    </row>
    <row r="213" spans="1:31">
      <c r="A213" s="6">
        <v>6</v>
      </c>
      <c r="B213" s="6">
        <f t="shared" si="38"/>
        <v>29</v>
      </c>
      <c r="C213" s="6" t="str">
        <f t="shared" si="40"/>
        <v>655931500AARMATURE, MONOBLOCK ASW4, HYUNDAI BC3-CUV5557301450341620</v>
      </c>
      <c r="D213" s="6" t="s">
        <v>212</v>
      </c>
      <c r="E213" s="6" t="s">
        <v>157</v>
      </c>
      <c r="F213" s="6"/>
      <c r="G213" s="7" t="s">
        <v>134</v>
      </c>
      <c r="H213" s="7"/>
      <c r="I213" s="7"/>
      <c r="J213" s="7"/>
      <c r="K213" s="7"/>
      <c r="L213" s="7">
        <v>5557301</v>
      </c>
      <c r="M213" s="22">
        <v>45034</v>
      </c>
      <c r="N213" s="8" t="s">
        <v>184</v>
      </c>
      <c r="O213" s="8"/>
      <c r="P213" s="7">
        <v>1620</v>
      </c>
      <c r="Q213" s="7">
        <v>736488.33</v>
      </c>
      <c r="R213" s="7">
        <v>87089900</v>
      </c>
      <c r="S213" s="7">
        <v>15</v>
      </c>
      <c r="T213" s="7" t="s">
        <v>274</v>
      </c>
      <c r="U213" s="7" t="s">
        <v>178</v>
      </c>
      <c r="V213" s="6">
        <f t="shared" si="41"/>
        <v>110473.24949999999</v>
      </c>
      <c r="W213" s="6">
        <f t="shared" si="42"/>
        <v>11047.32495</v>
      </c>
      <c r="X213" s="6">
        <f t="shared" si="43"/>
        <v>121520.57444999999</v>
      </c>
      <c r="Y213" s="6">
        <f t="shared" si="44"/>
        <v>75.012700277777768</v>
      </c>
      <c r="Z213" s="6">
        <f t="shared" si="45"/>
        <v>454.62242592592588</v>
      </c>
      <c r="AA213" s="9">
        <f t="shared" si="46"/>
        <v>1620</v>
      </c>
      <c r="AB213" s="10">
        <v>0</v>
      </c>
      <c r="AC213" s="11">
        <f t="shared" si="48"/>
        <v>0</v>
      </c>
      <c r="AD213" s="12">
        <f t="shared" si="47"/>
        <v>1620</v>
      </c>
      <c r="AE213" s="13">
        <f t="shared" si="39"/>
        <v>0</v>
      </c>
    </row>
    <row r="214" spans="1:31">
      <c r="A214" s="6">
        <v>6</v>
      </c>
      <c r="B214" s="6">
        <f t="shared" si="38"/>
        <v>30</v>
      </c>
      <c r="C214" s="6" t="str">
        <f t="shared" si="40"/>
        <v>655931500AARMATURE, MONOBLOCK ASW4, HYUNDAI BC3-CUV5556436450343240</v>
      </c>
      <c r="D214" s="6" t="s">
        <v>212</v>
      </c>
      <c r="E214" s="6" t="s">
        <v>157</v>
      </c>
      <c r="F214" s="6"/>
      <c r="G214" s="7" t="s">
        <v>134</v>
      </c>
      <c r="H214" s="7"/>
      <c r="I214" s="7"/>
      <c r="J214" s="7"/>
      <c r="K214" s="7"/>
      <c r="L214" s="7">
        <v>5556436</v>
      </c>
      <c r="M214" s="22">
        <v>45034</v>
      </c>
      <c r="N214" s="8" t="s">
        <v>184</v>
      </c>
      <c r="O214" s="8"/>
      <c r="P214" s="7">
        <v>3240</v>
      </c>
      <c r="Q214" s="7">
        <v>1489568.3</v>
      </c>
      <c r="R214" s="7">
        <v>87089400</v>
      </c>
      <c r="S214" s="7">
        <v>15</v>
      </c>
      <c r="T214" s="7" t="s">
        <v>186</v>
      </c>
      <c r="U214" s="7" t="s">
        <v>178</v>
      </c>
      <c r="V214" s="6">
        <f t="shared" si="41"/>
        <v>223435.245</v>
      </c>
      <c r="W214" s="6">
        <f t="shared" si="42"/>
        <v>22343.5245</v>
      </c>
      <c r="X214" s="6">
        <f t="shared" si="43"/>
        <v>245778.76949999999</v>
      </c>
      <c r="Y214" s="6">
        <f t="shared" si="44"/>
        <v>75.857644907407405</v>
      </c>
      <c r="Z214" s="6">
        <f t="shared" si="45"/>
        <v>459.74330246913581</v>
      </c>
      <c r="AA214" s="9">
        <f t="shared" si="46"/>
        <v>3240</v>
      </c>
      <c r="AB214" s="10">
        <v>0</v>
      </c>
      <c r="AC214" s="11">
        <f t="shared" si="48"/>
        <v>0</v>
      </c>
      <c r="AD214" s="12">
        <f t="shared" si="47"/>
        <v>3240</v>
      </c>
      <c r="AE214" s="13">
        <f t="shared" si="39"/>
        <v>0</v>
      </c>
    </row>
    <row r="215" spans="1:31">
      <c r="A215" s="6">
        <v>6</v>
      </c>
      <c r="B215" s="6">
        <f t="shared" si="38"/>
        <v>31</v>
      </c>
      <c r="C215" s="6" t="str">
        <f t="shared" si="40"/>
        <v>655931500AARMATURE, MONOBLOCK ASW4, HYUNDAI BC3-CUV5573166450351134</v>
      </c>
      <c r="D215" s="6" t="s">
        <v>212</v>
      </c>
      <c r="E215" s="6" t="s">
        <v>157</v>
      </c>
      <c r="F215" s="6"/>
      <c r="G215" s="7" t="s">
        <v>134</v>
      </c>
      <c r="H215" s="7"/>
      <c r="I215" s="7"/>
      <c r="J215" s="7"/>
      <c r="K215" s="7"/>
      <c r="L215" s="7">
        <v>5573166</v>
      </c>
      <c r="M215" s="22">
        <v>45035</v>
      </c>
      <c r="N215" s="8" t="s">
        <v>184</v>
      </c>
      <c r="O215" s="8"/>
      <c r="P215" s="7">
        <v>1134</v>
      </c>
      <c r="Q215" s="7">
        <v>516088.27</v>
      </c>
      <c r="R215" s="7">
        <v>87089400</v>
      </c>
      <c r="S215" s="7">
        <v>15</v>
      </c>
      <c r="T215" s="7" t="s">
        <v>186</v>
      </c>
      <c r="U215" s="7" t="s">
        <v>178</v>
      </c>
      <c r="V215" s="6">
        <f t="shared" si="41"/>
        <v>77413.2405</v>
      </c>
      <c r="W215" s="6">
        <f t="shared" si="42"/>
        <v>7741.3240500000002</v>
      </c>
      <c r="X215" s="6">
        <f t="shared" si="43"/>
        <v>85154.564549999996</v>
      </c>
      <c r="Y215" s="6">
        <f t="shared" si="44"/>
        <v>75.092208597883598</v>
      </c>
      <c r="Z215" s="6">
        <f t="shared" si="45"/>
        <v>455.10429453262788</v>
      </c>
      <c r="AA215" s="9">
        <f t="shared" si="46"/>
        <v>1134</v>
      </c>
      <c r="AB215" s="10">
        <v>0</v>
      </c>
      <c r="AC215" s="11">
        <f t="shared" si="48"/>
        <v>0</v>
      </c>
      <c r="AD215" s="12">
        <f t="shared" si="47"/>
        <v>1134</v>
      </c>
      <c r="AE215" s="13">
        <f t="shared" si="39"/>
        <v>0</v>
      </c>
    </row>
    <row r="216" spans="1:31">
      <c r="A216" s="6">
        <v>6</v>
      </c>
      <c r="B216" s="6">
        <f t="shared" si="38"/>
        <v>32</v>
      </c>
      <c r="C216" s="6" t="str">
        <f t="shared" si="40"/>
        <v>651015100AARMATURE, MONOBLOCK, ASW4, HYUNDAI BC3504684544999486</v>
      </c>
      <c r="D216" s="6" t="s">
        <v>212</v>
      </c>
      <c r="E216" s="6" t="s">
        <v>158</v>
      </c>
      <c r="F216" s="6"/>
      <c r="G216" s="7" t="s">
        <v>135</v>
      </c>
      <c r="H216" s="7"/>
      <c r="I216" s="7"/>
      <c r="J216" s="7"/>
      <c r="K216" s="7"/>
      <c r="L216" s="7">
        <v>5046845</v>
      </c>
      <c r="M216" s="22">
        <v>44999</v>
      </c>
      <c r="N216" s="8" t="s">
        <v>184</v>
      </c>
      <c r="O216" s="8"/>
      <c r="P216" s="7">
        <v>486</v>
      </c>
      <c r="Q216" s="7">
        <v>235596.73</v>
      </c>
      <c r="R216" s="7">
        <v>87089900</v>
      </c>
      <c r="S216" s="7">
        <v>15</v>
      </c>
      <c r="T216" s="7" t="s">
        <v>274</v>
      </c>
      <c r="U216" s="7" t="s">
        <v>178</v>
      </c>
      <c r="V216" s="6">
        <f t="shared" si="41"/>
        <v>35339.5095</v>
      </c>
      <c r="W216" s="6">
        <f t="shared" si="42"/>
        <v>3533.9509500000004</v>
      </c>
      <c r="X216" s="6">
        <f t="shared" si="43"/>
        <v>38873.460449999999</v>
      </c>
      <c r="Y216" s="6">
        <f t="shared" si="44"/>
        <v>79.986544135802461</v>
      </c>
      <c r="Z216" s="6">
        <f t="shared" si="45"/>
        <v>484.76693415637862</v>
      </c>
      <c r="AA216" s="9">
        <f t="shared" si="46"/>
        <v>486</v>
      </c>
      <c r="AB216" s="10">
        <v>318</v>
      </c>
      <c r="AC216" s="11">
        <f t="shared" si="48"/>
        <v>25435.721035185183</v>
      </c>
      <c r="AD216" s="12">
        <f t="shared" si="47"/>
        <v>446</v>
      </c>
      <c r="AE216" s="13">
        <f t="shared" si="39"/>
        <v>40</v>
      </c>
    </row>
    <row r="217" spans="1:31">
      <c r="A217" s="6">
        <v>6</v>
      </c>
      <c r="B217" s="6">
        <f t="shared" si="38"/>
        <v>33</v>
      </c>
      <c r="C217" s="6" t="str">
        <f t="shared" si="40"/>
        <v>650557200GCUSHION, FOLDED, C AND S HONDA 2JX4101790449351080</v>
      </c>
      <c r="D217" s="6" t="s">
        <v>212</v>
      </c>
      <c r="E217" s="6" t="s">
        <v>159</v>
      </c>
      <c r="F217" s="6"/>
      <c r="G217" s="7" t="s">
        <v>136</v>
      </c>
      <c r="H217" s="7"/>
      <c r="I217" s="7"/>
      <c r="J217" s="7"/>
      <c r="K217" s="7"/>
      <c r="L217" s="7">
        <v>4101790</v>
      </c>
      <c r="M217" s="22">
        <v>44935</v>
      </c>
      <c r="N217" s="8" t="s">
        <v>189</v>
      </c>
      <c r="O217" s="8"/>
      <c r="P217" s="7">
        <v>1080</v>
      </c>
      <c r="Q217" s="7">
        <v>1332212.3400000001</v>
      </c>
      <c r="R217" s="7">
        <v>87089500</v>
      </c>
      <c r="S217" s="7">
        <v>5</v>
      </c>
      <c r="T217" s="7" t="s">
        <v>267</v>
      </c>
      <c r="U217" s="7" t="s">
        <v>178</v>
      </c>
      <c r="V217" s="6">
        <f t="shared" si="41"/>
        <v>66610.617000000013</v>
      </c>
      <c r="W217" s="6">
        <f t="shared" si="42"/>
        <v>6661.061700000002</v>
      </c>
      <c r="X217" s="6">
        <f t="shared" si="43"/>
        <v>73271.678700000019</v>
      </c>
      <c r="Y217" s="6">
        <f t="shared" si="44"/>
        <v>67.844146944444461</v>
      </c>
      <c r="Z217" s="6">
        <f t="shared" si="45"/>
        <v>1233.5299444444445</v>
      </c>
      <c r="AA217" s="9">
        <f t="shared" si="46"/>
        <v>1080</v>
      </c>
      <c r="AB217" s="10">
        <v>0</v>
      </c>
      <c r="AC217" s="11">
        <f t="shared" si="48"/>
        <v>0</v>
      </c>
      <c r="AD217" s="12">
        <f t="shared" si="47"/>
        <v>960</v>
      </c>
      <c r="AE217" s="13">
        <f t="shared" si="39"/>
        <v>120</v>
      </c>
    </row>
    <row r="218" spans="1:31">
      <c r="A218" s="6">
        <v>6</v>
      </c>
      <c r="B218" s="6">
        <f t="shared" si="38"/>
        <v>34</v>
      </c>
      <c r="C218" s="6" t="str">
        <f t="shared" si="40"/>
        <v>651015300BELEMENT, HEATER, HYBRID 5734540450454900</v>
      </c>
      <c r="D218" s="6" t="s">
        <v>212</v>
      </c>
      <c r="E218" s="6" t="s">
        <v>155</v>
      </c>
      <c r="F218" s="6"/>
      <c r="G218" s="7" t="s">
        <v>137</v>
      </c>
      <c r="H218" s="7"/>
      <c r="I218" s="7"/>
      <c r="J218" s="7"/>
      <c r="K218" s="7"/>
      <c r="L218" s="7">
        <v>5734540</v>
      </c>
      <c r="M218" s="22">
        <v>45045</v>
      </c>
      <c r="N218" s="8" t="s">
        <v>189</v>
      </c>
      <c r="O218" s="8"/>
      <c r="P218" s="7">
        <v>4900</v>
      </c>
      <c r="Q218" s="7">
        <v>2731162.99</v>
      </c>
      <c r="R218" s="7">
        <v>87089400</v>
      </c>
      <c r="S218" s="7">
        <v>15</v>
      </c>
      <c r="T218" s="7" t="s">
        <v>257</v>
      </c>
      <c r="U218" s="7" t="s">
        <v>178</v>
      </c>
      <c r="V218" s="6">
        <f t="shared" si="41"/>
        <v>409674.4485</v>
      </c>
      <c r="W218" s="6">
        <f t="shared" si="42"/>
        <v>40967.44485</v>
      </c>
      <c r="X218" s="6">
        <f t="shared" si="43"/>
        <v>450641.89335000003</v>
      </c>
      <c r="Y218" s="6">
        <f t="shared" si="44"/>
        <v>91.967733336734696</v>
      </c>
      <c r="Z218" s="6">
        <f t="shared" si="45"/>
        <v>557.38020204081636</v>
      </c>
      <c r="AA218" s="9">
        <f t="shared" si="46"/>
        <v>4900</v>
      </c>
      <c r="AB218" s="10">
        <v>2426</v>
      </c>
      <c r="AC218" s="11">
        <f t="shared" si="48"/>
        <v>223113.72107491837</v>
      </c>
      <c r="AD218" s="12">
        <f t="shared" si="47"/>
        <v>4900</v>
      </c>
      <c r="AE218" s="13">
        <f t="shared" si="39"/>
        <v>0</v>
      </c>
    </row>
    <row r="219" spans="1:31">
      <c r="A219" s="6">
        <v>6</v>
      </c>
      <c r="B219" s="6">
        <f t="shared" si="38"/>
        <v>35</v>
      </c>
      <c r="C219" s="6" t="str">
        <f t="shared" si="40"/>
        <v>653052600AINFLATOR, APP-4.6, 2.2MO STANDARD_MIB, SQUARE_61X403704044930864</v>
      </c>
      <c r="D219" s="6" t="s">
        <v>212</v>
      </c>
      <c r="E219" s="6" t="s">
        <v>161</v>
      </c>
      <c r="F219" s="6"/>
      <c r="G219" s="7" t="s">
        <v>139</v>
      </c>
      <c r="H219" s="7"/>
      <c r="I219" s="7"/>
      <c r="J219" s="7"/>
      <c r="K219" s="7"/>
      <c r="L219" s="7">
        <v>4037040</v>
      </c>
      <c r="M219" s="22">
        <v>44930</v>
      </c>
      <c r="N219" s="8" t="s">
        <v>184</v>
      </c>
      <c r="O219" s="8"/>
      <c r="P219" s="7">
        <v>864</v>
      </c>
      <c r="Q219" s="7">
        <v>478672.4</v>
      </c>
      <c r="R219" s="7">
        <v>87089400</v>
      </c>
      <c r="S219" s="7">
        <v>15</v>
      </c>
      <c r="T219" s="7" t="s">
        <v>259</v>
      </c>
      <c r="U219" s="7" t="s">
        <v>200</v>
      </c>
      <c r="V219" s="6">
        <f t="shared" si="41"/>
        <v>71800.86</v>
      </c>
      <c r="W219" s="6">
        <f t="shared" si="42"/>
        <v>7180.0860000000002</v>
      </c>
      <c r="X219" s="6">
        <f t="shared" si="43"/>
        <v>78980.945999999996</v>
      </c>
      <c r="Y219" s="6">
        <f t="shared" si="44"/>
        <v>91.413131944444444</v>
      </c>
      <c r="Z219" s="6">
        <f t="shared" si="45"/>
        <v>554.01898148148155</v>
      </c>
      <c r="AA219" s="9">
        <f t="shared" si="46"/>
        <v>864</v>
      </c>
      <c r="AB219" s="10">
        <v>364</v>
      </c>
      <c r="AC219" s="11">
        <f t="shared" si="48"/>
        <v>33274.380027777777</v>
      </c>
      <c r="AD219" s="12">
        <f t="shared" si="47"/>
        <v>844</v>
      </c>
      <c r="AE219" s="13">
        <f t="shared" si="39"/>
        <v>20</v>
      </c>
    </row>
    <row r="220" spans="1:31">
      <c r="A220" s="6">
        <v>6</v>
      </c>
      <c r="B220" s="6">
        <f t="shared" si="38"/>
        <v>36</v>
      </c>
      <c r="C220" s="6" t="str">
        <f t="shared" si="40"/>
        <v>652466500ALEATHER, HIDE TOP GRAIN, OBSIDIAN BLACK, NNB, BLA4680928449742119.5</v>
      </c>
      <c r="D220" s="6" t="s">
        <v>212</v>
      </c>
      <c r="E220" s="6" t="s">
        <v>163</v>
      </c>
      <c r="F220" s="6"/>
      <c r="G220" s="7" t="s">
        <v>141</v>
      </c>
      <c r="H220" s="7"/>
      <c r="I220" s="7"/>
      <c r="J220" s="7"/>
      <c r="K220" s="7"/>
      <c r="L220" s="7">
        <v>4680928</v>
      </c>
      <c r="M220" s="22">
        <v>44974</v>
      </c>
      <c r="N220" s="8" t="s">
        <v>184</v>
      </c>
      <c r="O220" s="8"/>
      <c r="P220" s="7">
        <v>2119.5</v>
      </c>
      <c r="Q220" s="7">
        <v>5532517.6200000001</v>
      </c>
      <c r="R220" s="7">
        <v>41071200</v>
      </c>
      <c r="S220" s="7">
        <v>0</v>
      </c>
      <c r="T220" s="7" t="s">
        <v>261</v>
      </c>
      <c r="U220" s="7" t="s">
        <v>178</v>
      </c>
      <c r="V220" s="6">
        <f t="shared" si="41"/>
        <v>0</v>
      </c>
      <c r="W220" s="6">
        <f t="shared" si="42"/>
        <v>0</v>
      </c>
      <c r="X220" s="6">
        <f t="shared" si="43"/>
        <v>0</v>
      </c>
      <c r="Y220" s="6">
        <f t="shared" si="44"/>
        <v>0</v>
      </c>
      <c r="Z220" s="6">
        <f t="shared" si="45"/>
        <v>2610.2937579617833</v>
      </c>
      <c r="AA220" s="9">
        <f t="shared" si="46"/>
        <v>2119.5</v>
      </c>
      <c r="AB220" s="10">
        <v>1790.2</v>
      </c>
      <c r="AC220" s="11">
        <f t="shared" si="48"/>
        <v>0</v>
      </c>
      <c r="AD220" s="12">
        <f t="shared" si="47"/>
        <v>2119.1999999999998</v>
      </c>
      <c r="AE220" s="13">
        <f t="shared" si="39"/>
        <v>0.3000000000001819</v>
      </c>
    </row>
    <row r="221" spans="1:31">
      <c r="A221" s="6">
        <v>6</v>
      </c>
      <c r="B221" s="6">
        <f t="shared" si="38"/>
        <v>37</v>
      </c>
      <c r="C221" s="6" t="str">
        <f t="shared" si="40"/>
        <v>651166400CSPRING, COIL, UPPER 63071094508445000</v>
      </c>
      <c r="D221" s="6" t="s">
        <v>212</v>
      </c>
      <c r="E221" s="6" t="s">
        <v>170</v>
      </c>
      <c r="F221" s="6"/>
      <c r="G221" s="7" t="s">
        <v>148</v>
      </c>
      <c r="H221" s="7"/>
      <c r="I221" s="7"/>
      <c r="J221" s="7"/>
      <c r="K221" s="7"/>
      <c r="L221" s="7">
        <v>6307109</v>
      </c>
      <c r="M221" s="22">
        <v>45084</v>
      </c>
      <c r="N221" s="8" t="s">
        <v>180</v>
      </c>
      <c r="O221" s="8"/>
      <c r="P221" s="7">
        <v>45000</v>
      </c>
      <c r="Q221" s="7">
        <v>90981.82</v>
      </c>
      <c r="R221" s="7">
        <v>87089400</v>
      </c>
      <c r="S221" s="7">
        <v>15</v>
      </c>
      <c r="T221" s="7" t="s">
        <v>281</v>
      </c>
      <c r="U221" s="7" t="s">
        <v>178</v>
      </c>
      <c r="V221" s="6">
        <f t="shared" si="41"/>
        <v>13647.273000000001</v>
      </c>
      <c r="W221" s="6">
        <f t="shared" si="42"/>
        <v>1364.7273000000002</v>
      </c>
      <c r="X221" s="6">
        <f t="shared" si="43"/>
        <v>15012.000300000002</v>
      </c>
      <c r="Y221" s="6">
        <f t="shared" si="44"/>
        <v>0.33360000666666673</v>
      </c>
      <c r="Z221" s="6">
        <f t="shared" si="45"/>
        <v>2.0218182222222225</v>
      </c>
      <c r="AA221" s="9">
        <f t="shared" si="46"/>
        <v>45000</v>
      </c>
      <c r="AB221" s="10">
        <v>12055</v>
      </c>
      <c r="AC221" s="11">
        <f t="shared" si="48"/>
        <v>4021.5480803666674</v>
      </c>
      <c r="AD221" s="12">
        <f t="shared" si="47"/>
        <v>45000</v>
      </c>
      <c r="AE221" s="13">
        <f t="shared" si="39"/>
        <v>0</v>
      </c>
    </row>
    <row r="222" spans="1:31">
      <c r="A222" s="6">
        <v>6</v>
      </c>
      <c r="B222" s="6">
        <f t="shared" si="38"/>
        <v>38</v>
      </c>
      <c r="C222" s="6" t="str">
        <f t="shared" si="40"/>
        <v>651166400CSPRING, COIL, UPPER 55801274503510000</v>
      </c>
      <c r="D222" s="6" t="s">
        <v>212</v>
      </c>
      <c r="E222" s="6" t="s">
        <v>170</v>
      </c>
      <c r="F222" s="6"/>
      <c r="G222" s="7" t="s">
        <v>148</v>
      </c>
      <c r="H222" s="7"/>
      <c r="I222" s="7"/>
      <c r="J222" s="7"/>
      <c r="K222" s="7"/>
      <c r="L222" s="7">
        <v>5580127</v>
      </c>
      <c r="M222" s="22">
        <v>45035</v>
      </c>
      <c r="N222" s="8" t="s">
        <v>180</v>
      </c>
      <c r="O222" s="8"/>
      <c r="P222" s="7">
        <v>10000</v>
      </c>
      <c r="Q222" s="7">
        <v>20085.18</v>
      </c>
      <c r="R222" s="7">
        <v>87089900</v>
      </c>
      <c r="S222" s="7">
        <v>15</v>
      </c>
      <c r="T222" s="7" t="s">
        <v>280</v>
      </c>
      <c r="U222" s="7" t="s">
        <v>178</v>
      </c>
      <c r="V222" s="6">
        <f t="shared" si="41"/>
        <v>3012.777</v>
      </c>
      <c r="W222" s="6">
        <f t="shared" si="42"/>
        <v>301.27770000000004</v>
      </c>
      <c r="X222" s="6">
        <f t="shared" si="43"/>
        <v>3314.0547000000001</v>
      </c>
      <c r="Y222" s="6">
        <f t="shared" si="44"/>
        <v>0.33140547000000004</v>
      </c>
      <c r="Z222" s="6">
        <f t="shared" si="45"/>
        <v>2.008518</v>
      </c>
      <c r="AA222" s="9">
        <f t="shared" si="46"/>
        <v>10000</v>
      </c>
      <c r="AB222" s="10">
        <v>0</v>
      </c>
      <c r="AC222" s="11">
        <f t="shared" si="48"/>
        <v>0</v>
      </c>
      <c r="AD222" s="12">
        <f t="shared" si="47"/>
        <v>10000</v>
      </c>
      <c r="AE222" s="13">
        <f t="shared" si="39"/>
        <v>0</v>
      </c>
    </row>
    <row r="223" spans="1:31">
      <c r="A223" s="6">
        <v>7</v>
      </c>
      <c r="B223" s="6">
        <v>1</v>
      </c>
      <c r="C223" s="6" t="str">
        <f t="shared" si="40"/>
        <v>630580800ALABEL, RAW MATERIAL, BLA K12 TPC BUCKLE5160585449362400000</v>
      </c>
      <c r="D223" s="6" t="s">
        <v>216</v>
      </c>
      <c r="E223" s="6" t="s">
        <v>71</v>
      </c>
      <c r="F223" s="6"/>
      <c r="G223" s="7" t="s">
        <v>31</v>
      </c>
      <c r="H223" s="7"/>
      <c r="I223" s="7"/>
      <c r="J223" s="7"/>
      <c r="K223" s="7"/>
      <c r="L223" s="7">
        <v>5160585</v>
      </c>
      <c r="M223" s="22">
        <v>44936</v>
      </c>
      <c r="N223" s="8" t="s">
        <v>196</v>
      </c>
      <c r="O223" s="8" t="s">
        <v>333</v>
      </c>
      <c r="P223" s="7">
        <v>2400000</v>
      </c>
      <c r="Q223" s="7">
        <v>86522.34</v>
      </c>
      <c r="R223" s="7">
        <v>87082900</v>
      </c>
      <c r="S223" s="7">
        <v>15</v>
      </c>
      <c r="T223" s="7" t="s">
        <v>265</v>
      </c>
      <c r="U223" s="7" t="s">
        <v>178</v>
      </c>
      <c r="V223" s="6">
        <f t="shared" si="41"/>
        <v>12978.350999999999</v>
      </c>
      <c r="W223" s="6">
        <f t="shared" si="42"/>
        <v>1297.8351</v>
      </c>
      <c r="X223" s="6">
        <f t="shared" si="43"/>
        <v>14276.186099999999</v>
      </c>
      <c r="Y223" s="6">
        <f t="shared" si="44"/>
        <v>5.9484108749999999E-3</v>
      </c>
      <c r="Z223" s="6">
        <f t="shared" si="45"/>
        <v>3.6050974999999999E-2</v>
      </c>
      <c r="AA223" s="9">
        <f t="shared" si="46"/>
        <v>2400000</v>
      </c>
      <c r="AB223" s="10">
        <v>11626</v>
      </c>
      <c r="AC223" s="11">
        <f t="shared" si="48"/>
        <v>69.156224832749999</v>
      </c>
      <c r="AD223" s="12">
        <f t="shared" si="47"/>
        <v>548546</v>
      </c>
      <c r="AE223" s="13">
        <f t="shared" si="39"/>
        <v>1851454</v>
      </c>
    </row>
    <row r="224" spans="1:31">
      <c r="A224" s="6">
        <v>7</v>
      </c>
      <c r="B224" s="6">
        <f t="shared" ref="B224:B260" si="49">B223+1</f>
        <v>2</v>
      </c>
      <c r="C224" s="6" t="str">
        <f t="shared" si="40"/>
        <v>634240200AHORN CONTACT, CU 521662145010720000</v>
      </c>
      <c r="D224" s="6" t="s">
        <v>216</v>
      </c>
      <c r="E224" s="6" t="s">
        <v>160</v>
      </c>
      <c r="F224" s="6"/>
      <c r="G224" s="7" t="s">
        <v>138</v>
      </c>
      <c r="H224" s="7"/>
      <c r="I224" s="7"/>
      <c r="J224" s="7"/>
      <c r="K224" s="7"/>
      <c r="L224" s="7">
        <v>5216621</v>
      </c>
      <c r="M224" s="22">
        <v>45010</v>
      </c>
      <c r="N224" s="8" t="s">
        <v>189</v>
      </c>
      <c r="O224" s="8"/>
      <c r="P224" s="7">
        <v>720000</v>
      </c>
      <c r="Q224" s="7">
        <v>803516.76</v>
      </c>
      <c r="R224" s="7">
        <v>87089900</v>
      </c>
      <c r="S224" s="7">
        <v>15</v>
      </c>
      <c r="T224" s="7" t="s">
        <v>258</v>
      </c>
      <c r="U224" s="7" t="s">
        <v>178</v>
      </c>
      <c r="V224" s="6">
        <f t="shared" si="41"/>
        <v>120527.514</v>
      </c>
      <c r="W224" s="6">
        <f t="shared" si="42"/>
        <v>12052.751400000001</v>
      </c>
      <c r="X224" s="6">
        <f t="shared" si="43"/>
        <v>132580.2654</v>
      </c>
      <c r="Y224" s="6">
        <f t="shared" si="44"/>
        <v>0.18413925750000001</v>
      </c>
      <c r="Z224" s="6">
        <f t="shared" si="45"/>
        <v>1.1159954999999999</v>
      </c>
      <c r="AA224" s="9">
        <f t="shared" si="46"/>
        <v>720000</v>
      </c>
      <c r="AB224" s="10">
        <v>46504</v>
      </c>
      <c r="AC224" s="11">
        <f t="shared" si="48"/>
        <v>8563.2120307800014</v>
      </c>
      <c r="AD224" s="12">
        <f t="shared" si="47"/>
        <v>707364</v>
      </c>
      <c r="AE224" s="13">
        <f t="shared" si="39"/>
        <v>12636</v>
      </c>
    </row>
    <row r="225" spans="1:31">
      <c r="A225" s="6">
        <v>7</v>
      </c>
      <c r="B225" s="6">
        <f t="shared" si="49"/>
        <v>3</v>
      </c>
      <c r="C225" s="6" t="str">
        <f t="shared" si="40"/>
        <v>656011400ALEATHER, HIDE TOP GRAIN, GREY, FOSSIL GREY, T9Y,722294145143466.39</v>
      </c>
      <c r="D225" s="6" t="s">
        <v>216</v>
      </c>
      <c r="E225" s="6" t="s">
        <v>162</v>
      </c>
      <c r="F225" s="6"/>
      <c r="G225" s="7" t="s">
        <v>140</v>
      </c>
      <c r="H225" s="7"/>
      <c r="I225" s="7"/>
      <c r="J225" s="7"/>
      <c r="K225" s="7"/>
      <c r="L225" s="7">
        <v>7222941</v>
      </c>
      <c r="M225" s="22">
        <v>45143</v>
      </c>
      <c r="N225" s="8" t="s">
        <v>180</v>
      </c>
      <c r="O225" s="8"/>
      <c r="P225" s="7">
        <v>466.39</v>
      </c>
      <c r="Q225" s="7">
        <v>1147356.54</v>
      </c>
      <c r="R225" s="7">
        <v>41071200</v>
      </c>
      <c r="S225" s="7">
        <v>10</v>
      </c>
      <c r="T225" s="7" t="s">
        <v>260</v>
      </c>
      <c r="U225" s="7" t="s">
        <v>178</v>
      </c>
      <c r="V225" s="6">
        <f t="shared" si="41"/>
        <v>114735.65400000001</v>
      </c>
      <c r="W225" s="6">
        <f t="shared" si="42"/>
        <v>11473.565400000001</v>
      </c>
      <c r="X225" s="6">
        <f t="shared" si="43"/>
        <v>126209.21940000002</v>
      </c>
      <c r="Y225" s="6">
        <f t="shared" si="44"/>
        <v>270.60875962177579</v>
      </c>
      <c r="Z225" s="6">
        <f t="shared" si="45"/>
        <v>2460.0796329252344</v>
      </c>
      <c r="AA225" s="9">
        <f t="shared" si="46"/>
        <v>466.39</v>
      </c>
      <c r="AB225" s="10">
        <v>30</v>
      </c>
      <c r="AC225" s="11">
        <f t="shared" si="48"/>
        <v>8118.2627886532737</v>
      </c>
      <c r="AD225" s="12">
        <f t="shared" si="47"/>
        <v>466.42970200000002</v>
      </c>
      <c r="AE225" s="13">
        <v>0</v>
      </c>
    </row>
    <row r="226" spans="1:31">
      <c r="A226" s="6">
        <v>7</v>
      </c>
      <c r="B226" s="6">
        <f t="shared" si="49"/>
        <v>4</v>
      </c>
      <c r="C226" s="6" t="str">
        <f t="shared" si="40"/>
        <v>608067201ANUT, ISO, M5 351094044894800000</v>
      </c>
      <c r="D226" s="6" t="s">
        <v>216</v>
      </c>
      <c r="E226" s="6" t="s">
        <v>164</v>
      </c>
      <c r="F226" s="6"/>
      <c r="G226" s="7" t="s">
        <v>142</v>
      </c>
      <c r="H226" s="7"/>
      <c r="I226" s="7"/>
      <c r="J226" s="7"/>
      <c r="K226" s="7"/>
      <c r="L226" s="7">
        <v>3510940</v>
      </c>
      <c r="M226" s="22">
        <v>44894</v>
      </c>
      <c r="N226" s="8" t="s">
        <v>189</v>
      </c>
      <c r="O226" s="8" t="s">
        <v>332</v>
      </c>
      <c r="P226" s="7">
        <v>800000</v>
      </c>
      <c r="Q226" s="7">
        <v>1498489.13</v>
      </c>
      <c r="R226" s="7">
        <v>87089500</v>
      </c>
      <c r="S226" s="7">
        <v>15</v>
      </c>
      <c r="T226" s="7" t="s">
        <v>183</v>
      </c>
      <c r="U226" s="7" t="s">
        <v>178</v>
      </c>
      <c r="V226" s="6">
        <f t="shared" si="41"/>
        <v>224773.36949999997</v>
      </c>
      <c r="W226" s="6">
        <f t="shared" si="42"/>
        <v>22477.336949999997</v>
      </c>
      <c r="X226" s="6">
        <f t="shared" si="43"/>
        <v>247250.70644999997</v>
      </c>
      <c r="Y226" s="6">
        <f t="shared" si="44"/>
        <v>0.30906338306249997</v>
      </c>
      <c r="Z226" s="6">
        <f t="shared" si="45"/>
        <v>1.8731114124999999</v>
      </c>
      <c r="AA226" s="9">
        <f t="shared" si="46"/>
        <v>800000</v>
      </c>
      <c r="AB226" s="10">
        <v>1920</v>
      </c>
      <c r="AC226" s="11">
        <f t="shared" si="48"/>
        <v>593.40169547999994</v>
      </c>
      <c r="AD226" s="12">
        <f t="shared" si="47"/>
        <v>70960</v>
      </c>
      <c r="AE226" s="13">
        <f t="shared" ref="AE226:AE257" si="50">AA226-AD226</f>
        <v>729040</v>
      </c>
    </row>
    <row r="227" spans="1:31">
      <c r="A227" s="6">
        <v>7</v>
      </c>
      <c r="B227" s="6">
        <f t="shared" si="49"/>
        <v>5</v>
      </c>
      <c r="C227" s="6" t="str">
        <f t="shared" si="40"/>
        <v>644345600ASCREW, SELF-TAPPING, PLA PLASTIC, 3.0, CROSS90853734472590000</v>
      </c>
      <c r="D227" s="6" t="s">
        <v>216</v>
      </c>
      <c r="E227" s="6" t="s">
        <v>166</v>
      </c>
      <c r="F227" s="6"/>
      <c r="G227" s="7" t="s">
        <v>144</v>
      </c>
      <c r="H227" s="7"/>
      <c r="I227" s="7"/>
      <c r="J227" s="7"/>
      <c r="K227" s="7"/>
      <c r="L227" s="7">
        <v>9085373</v>
      </c>
      <c r="M227" s="22">
        <v>44725</v>
      </c>
      <c r="N227" s="8" t="s">
        <v>182</v>
      </c>
      <c r="O227" s="8"/>
      <c r="P227" s="7">
        <v>90000</v>
      </c>
      <c r="Q227" s="7">
        <v>68392.240000000005</v>
      </c>
      <c r="R227" s="7">
        <v>87089500</v>
      </c>
      <c r="S227" s="7">
        <v>15</v>
      </c>
      <c r="T227" s="7" t="s">
        <v>183</v>
      </c>
      <c r="U227" s="7" t="s">
        <v>178</v>
      </c>
      <c r="V227" s="6">
        <f t="shared" si="41"/>
        <v>10258.836000000001</v>
      </c>
      <c r="W227" s="6">
        <f t="shared" si="42"/>
        <v>1025.8836000000001</v>
      </c>
      <c r="X227" s="6">
        <f t="shared" si="43"/>
        <v>11284.7196</v>
      </c>
      <c r="Y227" s="6">
        <f t="shared" si="44"/>
        <v>0.12538577333333334</v>
      </c>
      <c r="Z227" s="6">
        <f t="shared" si="45"/>
        <v>0.7599137777777778</v>
      </c>
      <c r="AA227" s="9">
        <f t="shared" si="46"/>
        <v>90000</v>
      </c>
      <c r="AB227" s="10">
        <v>906</v>
      </c>
      <c r="AC227" s="11">
        <f t="shared" si="48"/>
        <v>113.59951064000001</v>
      </c>
      <c r="AD227" s="12">
        <f t="shared" si="47"/>
        <v>89034</v>
      </c>
      <c r="AE227" s="13">
        <f t="shared" si="50"/>
        <v>966</v>
      </c>
    </row>
    <row r="228" spans="1:31">
      <c r="A228" s="6">
        <v>7</v>
      </c>
      <c r="B228" s="6">
        <f t="shared" si="49"/>
        <v>6</v>
      </c>
      <c r="C228" s="6" t="str">
        <f t="shared" si="40"/>
        <v>644345600ASCREW, SELF-TAPPING, PLA PLASTIC, 3.0, CROSS35109404489490000</v>
      </c>
      <c r="D228" s="6" t="s">
        <v>216</v>
      </c>
      <c r="E228" s="6" t="s">
        <v>166</v>
      </c>
      <c r="F228" s="6"/>
      <c r="G228" s="7" t="s">
        <v>144</v>
      </c>
      <c r="H228" s="7"/>
      <c r="I228" s="7"/>
      <c r="J228" s="7"/>
      <c r="K228" s="7"/>
      <c r="L228" s="7">
        <v>3510940</v>
      </c>
      <c r="M228" s="22">
        <v>44894</v>
      </c>
      <c r="N228" s="8" t="s">
        <v>189</v>
      </c>
      <c r="O228" s="8"/>
      <c r="P228" s="7">
        <v>90000</v>
      </c>
      <c r="Q228" s="7">
        <v>68808.17</v>
      </c>
      <c r="R228" s="7">
        <v>87089500</v>
      </c>
      <c r="S228" s="7">
        <v>15</v>
      </c>
      <c r="T228" s="7" t="s">
        <v>183</v>
      </c>
      <c r="U228" s="7" t="s">
        <v>178</v>
      </c>
      <c r="V228" s="6">
        <f t="shared" si="41"/>
        <v>10321.225499999999</v>
      </c>
      <c r="W228" s="6">
        <f t="shared" si="42"/>
        <v>1032.1225499999998</v>
      </c>
      <c r="X228" s="6">
        <f t="shared" si="43"/>
        <v>11353.348049999999</v>
      </c>
      <c r="Y228" s="6">
        <f t="shared" si="44"/>
        <v>0.12614831166666665</v>
      </c>
      <c r="Z228" s="6">
        <f t="shared" si="45"/>
        <v>0.76453522222222225</v>
      </c>
      <c r="AA228" s="9">
        <f t="shared" si="46"/>
        <v>90000</v>
      </c>
      <c r="AB228" s="10">
        <v>22346</v>
      </c>
      <c r="AC228" s="11">
        <f t="shared" si="48"/>
        <v>2818.9101725033329</v>
      </c>
      <c r="AD228" s="12">
        <f t="shared" si="47"/>
        <v>90000</v>
      </c>
      <c r="AE228" s="13">
        <f t="shared" si="50"/>
        <v>0</v>
      </c>
    </row>
    <row r="229" spans="1:31">
      <c r="A229" s="6">
        <v>7</v>
      </c>
      <c r="B229" s="6">
        <f t="shared" si="49"/>
        <v>7</v>
      </c>
      <c r="C229" s="6" t="str">
        <f t="shared" si="40"/>
        <v>650557200GCUSHION, FOLDED, C AND S HONDA 2JX3498791448931080</v>
      </c>
      <c r="D229" s="6" t="s">
        <v>216</v>
      </c>
      <c r="E229" s="6" t="s">
        <v>159</v>
      </c>
      <c r="F229" s="6"/>
      <c r="G229" s="7" t="s">
        <v>136</v>
      </c>
      <c r="H229" s="7"/>
      <c r="I229" s="7"/>
      <c r="J229" s="7"/>
      <c r="K229" s="7"/>
      <c r="L229" s="7">
        <v>3498791</v>
      </c>
      <c r="M229" s="22">
        <v>44893</v>
      </c>
      <c r="N229" s="8" t="s">
        <v>189</v>
      </c>
      <c r="O229" s="8"/>
      <c r="P229" s="7">
        <v>1080</v>
      </c>
      <c r="Q229" s="7">
        <v>1351206.3</v>
      </c>
      <c r="R229" s="7">
        <v>87089500</v>
      </c>
      <c r="S229" s="7">
        <v>5</v>
      </c>
      <c r="T229" s="7" t="s">
        <v>267</v>
      </c>
      <c r="U229" s="7" t="s">
        <v>178</v>
      </c>
      <c r="V229" s="6">
        <f t="shared" si="41"/>
        <v>67560.315000000002</v>
      </c>
      <c r="W229" s="6">
        <f t="shared" si="42"/>
        <v>6756.031500000001</v>
      </c>
      <c r="X229" s="6">
        <f t="shared" si="43"/>
        <v>74316.3465</v>
      </c>
      <c r="Y229" s="6">
        <f t="shared" si="44"/>
        <v>68.81143194444445</v>
      </c>
      <c r="Z229" s="6">
        <f t="shared" si="45"/>
        <v>1251.1169444444445</v>
      </c>
      <c r="AA229" s="9">
        <f t="shared" si="46"/>
        <v>1080</v>
      </c>
      <c r="AB229" s="10">
        <v>480</v>
      </c>
      <c r="AC229" s="11">
        <f t="shared" si="48"/>
        <v>33029.487333333338</v>
      </c>
      <c r="AD229" s="12">
        <f t="shared" si="47"/>
        <v>1080</v>
      </c>
      <c r="AE229" s="13">
        <f t="shared" si="50"/>
        <v>0</v>
      </c>
    </row>
    <row r="230" spans="1:31">
      <c r="A230" s="6">
        <v>7</v>
      </c>
      <c r="B230" s="6">
        <f t="shared" si="49"/>
        <v>8</v>
      </c>
      <c r="C230" s="6" t="str">
        <f t="shared" si="40"/>
        <v>650557200GCUSHION, FOLDED, C AND S HONDA 2JX3498696448931080</v>
      </c>
      <c r="D230" s="6" t="s">
        <v>216</v>
      </c>
      <c r="E230" s="6" t="s">
        <v>159</v>
      </c>
      <c r="F230" s="6"/>
      <c r="G230" s="7" t="s">
        <v>136</v>
      </c>
      <c r="H230" s="7"/>
      <c r="I230" s="7"/>
      <c r="J230" s="7"/>
      <c r="K230" s="7"/>
      <c r="L230" s="7">
        <v>3498696</v>
      </c>
      <c r="M230" s="22">
        <v>44893</v>
      </c>
      <c r="N230" s="8" t="s">
        <v>189</v>
      </c>
      <c r="O230" s="8"/>
      <c r="P230" s="7">
        <v>1080</v>
      </c>
      <c r="Q230" s="7">
        <v>1361525.46</v>
      </c>
      <c r="R230" s="7">
        <v>87089500</v>
      </c>
      <c r="S230" s="7">
        <v>5</v>
      </c>
      <c r="T230" s="7" t="s">
        <v>267</v>
      </c>
      <c r="U230" s="7" t="s">
        <v>178</v>
      </c>
      <c r="V230" s="6">
        <f t="shared" si="41"/>
        <v>68076.273000000001</v>
      </c>
      <c r="W230" s="6">
        <f t="shared" si="42"/>
        <v>6807.6273000000001</v>
      </c>
      <c r="X230" s="6">
        <f t="shared" si="43"/>
        <v>74883.900300000008</v>
      </c>
      <c r="Y230" s="6">
        <f t="shared" si="44"/>
        <v>69.336944722222228</v>
      </c>
      <c r="Z230" s="6">
        <f t="shared" si="45"/>
        <v>1260.6717222222221</v>
      </c>
      <c r="AA230" s="9">
        <f t="shared" si="46"/>
        <v>1080</v>
      </c>
      <c r="AB230" s="10">
        <v>0</v>
      </c>
      <c r="AC230" s="11">
        <f t="shared" si="48"/>
        <v>0</v>
      </c>
      <c r="AD230" s="12">
        <f t="shared" si="47"/>
        <v>1080</v>
      </c>
      <c r="AE230" s="13">
        <f t="shared" si="50"/>
        <v>0</v>
      </c>
    </row>
    <row r="231" spans="1:31">
      <c r="A231" s="6">
        <v>7</v>
      </c>
      <c r="B231" s="6">
        <f t="shared" si="49"/>
        <v>9</v>
      </c>
      <c r="C231" s="6" t="str">
        <f t="shared" si="40"/>
        <v>650557200GCUSHION, FOLDED, C AND S HONDA 2JX3322516448811800</v>
      </c>
      <c r="D231" s="6" t="s">
        <v>216</v>
      </c>
      <c r="E231" s="6" t="s">
        <v>159</v>
      </c>
      <c r="F231" s="6"/>
      <c r="G231" s="7" t="s">
        <v>136</v>
      </c>
      <c r="H231" s="7"/>
      <c r="I231" s="7"/>
      <c r="J231" s="7"/>
      <c r="K231" s="7"/>
      <c r="L231" s="7">
        <v>3322516</v>
      </c>
      <c r="M231" s="22">
        <v>44881</v>
      </c>
      <c r="N231" s="8" t="s">
        <v>184</v>
      </c>
      <c r="O231" s="8"/>
      <c r="P231" s="7">
        <v>1800</v>
      </c>
      <c r="Q231" s="7">
        <v>2319294.85</v>
      </c>
      <c r="R231" s="7">
        <v>87089500</v>
      </c>
      <c r="S231" s="7">
        <v>5</v>
      </c>
      <c r="T231" s="7" t="s">
        <v>267</v>
      </c>
      <c r="U231" s="7" t="s">
        <v>178</v>
      </c>
      <c r="V231" s="6">
        <f t="shared" si="41"/>
        <v>115964.74250000001</v>
      </c>
      <c r="W231" s="6">
        <f t="shared" si="42"/>
        <v>11596.474250000001</v>
      </c>
      <c r="X231" s="6">
        <f t="shared" si="43"/>
        <v>127561.21675000001</v>
      </c>
      <c r="Y231" s="6">
        <f t="shared" si="44"/>
        <v>70.867342638888886</v>
      </c>
      <c r="Z231" s="6">
        <f t="shared" si="45"/>
        <v>1288.4971388888889</v>
      </c>
      <c r="AA231" s="9">
        <f t="shared" si="46"/>
        <v>1800</v>
      </c>
      <c r="AB231" s="10">
        <v>0</v>
      </c>
      <c r="AC231" s="11">
        <f t="shared" si="48"/>
        <v>0</v>
      </c>
      <c r="AD231" s="12">
        <f t="shared" si="47"/>
        <v>1800</v>
      </c>
      <c r="AE231" s="13">
        <f t="shared" si="50"/>
        <v>0</v>
      </c>
    </row>
    <row r="232" spans="1:31">
      <c r="A232" s="6">
        <v>7</v>
      </c>
      <c r="B232" s="6">
        <f t="shared" si="49"/>
        <v>10</v>
      </c>
      <c r="C232" s="6" t="str">
        <f t="shared" si="40"/>
        <v>650557200GCUSHION, FOLDED, C AND S HONDA 2JX3460410448902160</v>
      </c>
      <c r="D232" s="6" t="s">
        <v>216</v>
      </c>
      <c r="E232" s="6" t="s">
        <v>159</v>
      </c>
      <c r="F232" s="6"/>
      <c r="G232" s="7" t="s">
        <v>136</v>
      </c>
      <c r="H232" s="7"/>
      <c r="I232" s="7"/>
      <c r="J232" s="7"/>
      <c r="K232" s="7"/>
      <c r="L232" s="7">
        <v>3460410</v>
      </c>
      <c r="M232" s="22">
        <v>44890</v>
      </c>
      <c r="N232" s="8" t="s">
        <v>184</v>
      </c>
      <c r="O232" s="8"/>
      <c r="P232" s="7">
        <v>2160</v>
      </c>
      <c r="Q232" s="7">
        <v>2624382.73</v>
      </c>
      <c r="R232" s="7">
        <v>87089500</v>
      </c>
      <c r="S232" s="7">
        <v>5</v>
      </c>
      <c r="T232" s="7" t="s">
        <v>256</v>
      </c>
      <c r="U232" s="7" t="s">
        <v>178</v>
      </c>
      <c r="V232" s="6">
        <f t="shared" si="41"/>
        <v>131219.13649999999</v>
      </c>
      <c r="W232" s="6">
        <f t="shared" si="42"/>
        <v>13121.91365</v>
      </c>
      <c r="X232" s="6">
        <f t="shared" si="43"/>
        <v>144341.05015</v>
      </c>
      <c r="Y232" s="6">
        <f t="shared" si="44"/>
        <v>66.824560254629631</v>
      </c>
      <c r="Z232" s="6">
        <f t="shared" si="45"/>
        <v>1214.9920046296297</v>
      </c>
      <c r="AA232" s="9">
        <f t="shared" si="46"/>
        <v>2160</v>
      </c>
      <c r="AB232" s="10">
        <v>0</v>
      </c>
      <c r="AC232" s="11">
        <f t="shared" si="48"/>
        <v>0</v>
      </c>
      <c r="AD232" s="12">
        <f t="shared" si="47"/>
        <v>2160</v>
      </c>
      <c r="AE232" s="13">
        <f t="shared" si="50"/>
        <v>0</v>
      </c>
    </row>
    <row r="233" spans="1:31">
      <c r="A233" s="6">
        <v>7</v>
      </c>
      <c r="B233" s="6">
        <f t="shared" si="49"/>
        <v>11</v>
      </c>
      <c r="C233" s="6" t="str">
        <f t="shared" si="40"/>
        <v>650557200GCUSHION, FOLDED, C AND S HONDA 2JX371647044908720</v>
      </c>
      <c r="D233" s="6" t="s">
        <v>216</v>
      </c>
      <c r="E233" s="6" t="s">
        <v>159</v>
      </c>
      <c r="F233" s="6"/>
      <c r="G233" s="7" t="s">
        <v>136</v>
      </c>
      <c r="H233" s="7"/>
      <c r="I233" s="7"/>
      <c r="J233" s="7"/>
      <c r="K233" s="7"/>
      <c r="L233" s="7">
        <v>3716470</v>
      </c>
      <c r="M233" s="22">
        <v>44908</v>
      </c>
      <c r="N233" s="8" t="s">
        <v>189</v>
      </c>
      <c r="O233" s="8"/>
      <c r="P233" s="7">
        <v>720</v>
      </c>
      <c r="Q233" s="7">
        <v>882387.25</v>
      </c>
      <c r="R233" s="7">
        <v>87089500</v>
      </c>
      <c r="S233" s="7">
        <v>5</v>
      </c>
      <c r="T233" s="7" t="s">
        <v>267</v>
      </c>
      <c r="U233" s="7" t="s">
        <v>178</v>
      </c>
      <c r="V233" s="6">
        <f t="shared" si="41"/>
        <v>44119.362500000003</v>
      </c>
      <c r="W233" s="6">
        <f t="shared" si="42"/>
        <v>4411.9362500000007</v>
      </c>
      <c r="X233" s="6">
        <f t="shared" si="43"/>
        <v>48531.298750000002</v>
      </c>
      <c r="Y233" s="6">
        <f t="shared" si="44"/>
        <v>67.404581597222219</v>
      </c>
      <c r="Z233" s="6">
        <f t="shared" si="45"/>
        <v>1225.5378472222221</v>
      </c>
      <c r="AA233" s="9">
        <f t="shared" si="46"/>
        <v>720</v>
      </c>
      <c r="AB233" s="10">
        <v>0</v>
      </c>
      <c r="AC233" s="11">
        <f t="shared" si="48"/>
        <v>0</v>
      </c>
      <c r="AD233" s="12">
        <f t="shared" si="47"/>
        <v>720</v>
      </c>
      <c r="AE233" s="13">
        <f t="shared" si="50"/>
        <v>0</v>
      </c>
    </row>
    <row r="234" spans="1:31">
      <c r="A234" s="6">
        <v>7</v>
      </c>
      <c r="B234" s="6">
        <f t="shared" si="49"/>
        <v>12</v>
      </c>
      <c r="C234" s="6" t="str">
        <f t="shared" si="40"/>
        <v>651409900ASCREW, STD METRIC M6 HEXALOBULAR INTERNAL, T453335284501730000</v>
      </c>
      <c r="D234" s="6" t="s">
        <v>216</v>
      </c>
      <c r="E234" s="6" t="s">
        <v>168</v>
      </c>
      <c r="F234" s="6"/>
      <c r="G234" s="7" t="s">
        <v>146</v>
      </c>
      <c r="H234" s="7"/>
      <c r="I234" s="7"/>
      <c r="J234" s="7"/>
      <c r="K234" s="7"/>
      <c r="L234" s="7">
        <v>5333528</v>
      </c>
      <c r="M234" s="22">
        <v>45017</v>
      </c>
      <c r="N234" s="8" t="s">
        <v>189</v>
      </c>
      <c r="O234" s="8"/>
      <c r="P234" s="7">
        <v>30000</v>
      </c>
      <c r="Q234" s="7">
        <v>100400.94</v>
      </c>
      <c r="R234" s="7">
        <v>87089500</v>
      </c>
      <c r="S234" s="7">
        <v>15</v>
      </c>
      <c r="T234" s="7" t="s">
        <v>183</v>
      </c>
      <c r="U234" s="7" t="s">
        <v>178</v>
      </c>
      <c r="V234" s="6">
        <f t="shared" si="41"/>
        <v>15060.141</v>
      </c>
      <c r="W234" s="6">
        <f t="shared" si="42"/>
        <v>1506.0141000000001</v>
      </c>
      <c r="X234" s="6">
        <f t="shared" si="43"/>
        <v>16566.1551</v>
      </c>
      <c r="Y234" s="6">
        <f t="shared" si="44"/>
        <v>0.55220517000000002</v>
      </c>
      <c r="Z234" s="6">
        <f t="shared" si="45"/>
        <v>3.346698</v>
      </c>
      <c r="AA234" s="9">
        <f t="shared" si="46"/>
        <v>30000</v>
      </c>
      <c r="AB234" s="10">
        <v>0</v>
      </c>
      <c r="AC234" s="11">
        <f t="shared" si="48"/>
        <v>0</v>
      </c>
      <c r="AD234" s="12">
        <f t="shared" si="47"/>
        <v>30000</v>
      </c>
      <c r="AE234" s="13">
        <f t="shared" si="50"/>
        <v>0</v>
      </c>
    </row>
    <row r="235" spans="1:31">
      <c r="A235" s="6">
        <v>7</v>
      </c>
      <c r="B235" s="6">
        <f t="shared" si="49"/>
        <v>13</v>
      </c>
      <c r="C235" s="6" t="str">
        <f t="shared" si="40"/>
        <v>651409900ASCREW, STD METRIC M6 HEXALOBULAR INTERNAL, T453335284501730000</v>
      </c>
      <c r="D235" s="6" t="s">
        <v>216</v>
      </c>
      <c r="E235" s="6" t="s">
        <v>168</v>
      </c>
      <c r="F235" s="6"/>
      <c r="G235" s="7" t="s">
        <v>146</v>
      </c>
      <c r="H235" s="7"/>
      <c r="I235" s="7"/>
      <c r="J235" s="7"/>
      <c r="K235" s="7"/>
      <c r="L235" s="7">
        <v>5333528</v>
      </c>
      <c r="M235" s="22">
        <v>45017</v>
      </c>
      <c r="N235" s="8" t="s">
        <v>189</v>
      </c>
      <c r="O235" s="8"/>
      <c r="P235" s="7">
        <v>30000</v>
      </c>
      <c r="Q235" s="7">
        <v>100400.94</v>
      </c>
      <c r="R235" s="7">
        <v>87089500</v>
      </c>
      <c r="S235" s="7">
        <v>15</v>
      </c>
      <c r="T235" s="7" t="s">
        <v>183</v>
      </c>
      <c r="U235" s="7" t="s">
        <v>178</v>
      </c>
      <c r="V235" s="6">
        <f t="shared" si="41"/>
        <v>15060.141</v>
      </c>
      <c r="W235" s="6">
        <f t="shared" si="42"/>
        <v>1506.0141000000001</v>
      </c>
      <c r="X235" s="6">
        <f t="shared" si="43"/>
        <v>16566.1551</v>
      </c>
      <c r="Y235" s="6">
        <f t="shared" si="44"/>
        <v>0.55220517000000002</v>
      </c>
      <c r="Z235" s="6">
        <f t="shared" si="45"/>
        <v>3.346698</v>
      </c>
      <c r="AA235" s="9">
        <f t="shared" si="46"/>
        <v>30000</v>
      </c>
      <c r="AB235" s="10">
        <v>9314</v>
      </c>
      <c r="AC235" s="11">
        <f t="shared" si="48"/>
        <v>5143.2389533800006</v>
      </c>
      <c r="AD235" s="12">
        <f t="shared" si="47"/>
        <v>30000</v>
      </c>
      <c r="AE235" s="13">
        <f t="shared" si="50"/>
        <v>0</v>
      </c>
    </row>
    <row r="236" spans="1:31">
      <c r="A236" s="6">
        <v>7</v>
      </c>
      <c r="B236" s="6">
        <f t="shared" si="49"/>
        <v>14</v>
      </c>
      <c r="C236" s="6" t="str">
        <f t="shared" si="40"/>
        <v>639590100BSCREW SELF TAPPING INTERNAL T15, 15.0951301244754120000</v>
      </c>
      <c r="D236" s="6" t="s">
        <v>216</v>
      </c>
      <c r="E236" s="6" t="s">
        <v>165</v>
      </c>
      <c r="F236" s="6"/>
      <c r="G236" s="7" t="s">
        <v>143</v>
      </c>
      <c r="H236" s="7"/>
      <c r="I236" s="7"/>
      <c r="J236" s="7"/>
      <c r="K236" s="7"/>
      <c r="L236" s="7">
        <v>9513012</v>
      </c>
      <c r="M236" s="22">
        <v>44754</v>
      </c>
      <c r="N236" s="8" t="s">
        <v>180</v>
      </c>
      <c r="O236" s="8"/>
      <c r="P236" s="7">
        <v>120000</v>
      </c>
      <c r="Q236" s="7">
        <v>131179.14000000001</v>
      </c>
      <c r="R236" s="7">
        <v>87089900</v>
      </c>
      <c r="S236" s="7">
        <v>15</v>
      </c>
      <c r="T236" s="7" t="s">
        <v>262</v>
      </c>
      <c r="U236" s="7" t="s">
        <v>178</v>
      </c>
      <c r="V236" s="6">
        <f t="shared" si="41"/>
        <v>19676.871000000003</v>
      </c>
      <c r="W236" s="6">
        <f t="shared" si="42"/>
        <v>1967.6871000000003</v>
      </c>
      <c r="X236" s="6">
        <f t="shared" si="43"/>
        <v>21644.558100000002</v>
      </c>
      <c r="Y236" s="6">
        <f t="shared" si="44"/>
        <v>0.18037131750000002</v>
      </c>
      <c r="Z236" s="6">
        <f t="shared" si="45"/>
        <v>1.0931595000000001</v>
      </c>
      <c r="AA236" s="9">
        <f t="shared" si="46"/>
        <v>120000</v>
      </c>
      <c r="AB236" s="10">
        <v>47650</v>
      </c>
      <c r="AC236" s="11">
        <f t="shared" si="48"/>
        <v>8594.693278875</v>
      </c>
      <c r="AD236" s="12">
        <f t="shared" si="47"/>
        <v>120000</v>
      </c>
      <c r="AE236" s="13">
        <f t="shared" si="50"/>
        <v>0</v>
      </c>
    </row>
    <row r="237" spans="1:31">
      <c r="A237" s="6">
        <v>7</v>
      </c>
      <c r="B237" s="6">
        <f t="shared" si="49"/>
        <v>15</v>
      </c>
      <c r="C237" s="6" t="str">
        <f t="shared" si="40"/>
        <v>608225700ASCREW,STD METRIIC HEXALOBULAR  M5 T25 12MM65215504509930000</v>
      </c>
      <c r="D237" s="6" t="s">
        <v>216</v>
      </c>
      <c r="E237" s="6" t="s">
        <v>169</v>
      </c>
      <c r="F237" s="6"/>
      <c r="G237" s="7" t="s">
        <v>147</v>
      </c>
      <c r="H237" s="7"/>
      <c r="I237" s="7"/>
      <c r="J237" s="7"/>
      <c r="K237" s="7"/>
      <c r="L237" s="7">
        <v>6521550</v>
      </c>
      <c r="M237" s="22">
        <v>45099</v>
      </c>
      <c r="N237" s="8" t="s">
        <v>189</v>
      </c>
      <c r="O237" s="8"/>
      <c r="P237" s="7">
        <v>30000</v>
      </c>
      <c r="Q237" s="7">
        <v>91043.24</v>
      </c>
      <c r="R237" s="7">
        <v>87089400</v>
      </c>
      <c r="S237" s="7">
        <v>15</v>
      </c>
      <c r="T237" s="7" t="s">
        <v>266</v>
      </c>
      <c r="U237" s="7" t="s">
        <v>178</v>
      </c>
      <c r="V237" s="6">
        <f t="shared" si="41"/>
        <v>13656.486000000001</v>
      </c>
      <c r="W237" s="6">
        <f t="shared" si="42"/>
        <v>1365.6486000000002</v>
      </c>
      <c r="X237" s="6">
        <f t="shared" si="43"/>
        <v>15022.134600000001</v>
      </c>
      <c r="Y237" s="6">
        <f t="shared" si="44"/>
        <v>0.50073782</v>
      </c>
      <c r="Z237" s="6">
        <f t="shared" si="45"/>
        <v>3.0347746666666668</v>
      </c>
      <c r="AA237" s="9">
        <f t="shared" si="46"/>
        <v>30000</v>
      </c>
      <c r="AB237" s="10">
        <v>1168</v>
      </c>
      <c r="AC237" s="11">
        <f t="shared" si="48"/>
        <v>584.86177376000001</v>
      </c>
      <c r="AD237" s="12">
        <f t="shared" si="47"/>
        <v>30000</v>
      </c>
      <c r="AE237" s="13">
        <f t="shared" si="50"/>
        <v>0</v>
      </c>
    </row>
    <row r="238" spans="1:31">
      <c r="A238" s="6">
        <v>7</v>
      </c>
      <c r="B238" s="6">
        <f t="shared" si="49"/>
        <v>16</v>
      </c>
      <c r="C238" s="6" t="str">
        <f t="shared" si="40"/>
        <v>628408700ASCREW, STANDARD, METRIC, M5, HEXALOBULAR INTERNAL95368514475560000</v>
      </c>
      <c r="D238" s="6" t="s">
        <v>216</v>
      </c>
      <c r="E238" s="6" t="s">
        <v>167</v>
      </c>
      <c r="F238" s="6"/>
      <c r="G238" s="7" t="s">
        <v>145</v>
      </c>
      <c r="H238" s="7"/>
      <c r="I238" s="7"/>
      <c r="J238" s="7"/>
      <c r="K238" s="7"/>
      <c r="L238" s="7">
        <v>9536851</v>
      </c>
      <c r="M238" s="22">
        <v>44755</v>
      </c>
      <c r="N238" s="8" t="s">
        <v>180</v>
      </c>
      <c r="O238" s="8"/>
      <c r="P238" s="7">
        <v>60000</v>
      </c>
      <c r="Q238" s="7">
        <v>299180.5</v>
      </c>
      <c r="R238" s="7">
        <v>87089900</v>
      </c>
      <c r="S238" s="7">
        <v>15</v>
      </c>
      <c r="T238" s="7" t="s">
        <v>181</v>
      </c>
      <c r="U238" s="7" t="s">
        <v>178</v>
      </c>
      <c r="V238" s="6">
        <f t="shared" si="41"/>
        <v>44877.074999999997</v>
      </c>
      <c r="W238" s="6">
        <f t="shared" si="42"/>
        <v>4487.7074999999995</v>
      </c>
      <c r="X238" s="6">
        <f t="shared" si="43"/>
        <v>49364.782499999994</v>
      </c>
      <c r="Y238" s="6">
        <f t="shared" si="44"/>
        <v>0.82274637499999992</v>
      </c>
      <c r="Z238" s="6">
        <f t="shared" si="45"/>
        <v>4.9863416666666662</v>
      </c>
      <c r="AA238" s="9">
        <f t="shared" si="46"/>
        <v>60000</v>
      </c>
      <c r="AB238" s="10">
        <v>12945</v>
      </c>
      <c r="AC238" s="11">
        <f t="shared" si="48"/>
        <v>10650.451824374999</v>
      </c>
      <c r="AD238" s="12">
        <f t="shared" si="47"/>
        <v>60000</v>
      </c>
      <c r="AE238" s="13">
        <f t="shared" si="50"/>
        <v>0</v>
      </c>
    </row>
    <row r="239" spans="1:31">
      <c r="A239" s="6">
        <v>7</v>
      </c>
      <c r="B239" s="6">
        <f t="shared" si="49"/>
        <v>17</v>
      </c>
      <c r="C239" s="6" t="str">
        <f t="shared" si="40"/>
        <v>655818900BACTUATOR VIBRATION MOTOR ASSY WITH BRACKET BC3 CU6803465451179600</v>
      </c>
      <c r="D239" s="6" t="s">
        <v>216</v>
      </c>
      <c r="E239" s="6" t="s">
        <v>156</v>
      </c>
      <c r="F239" s="6"/>
      <c r="G239" s="7" t="s">
        <v>133</v>
      </c>
      <c r="H239" s="7"/>
      <c r="I239" s="7"/>
      <c r="J239" s="7"/>
      <c r="K239" s="7"/>
      <c r="L239" s="7">
        <v>6803465</v>
      </c>
      <c r="M239" s="22">
        <v>45117</v>
      </c>
      <c r="N239" s="8" t="s">
        <v>189</v>
      </c>
      <c r="O239" s="8"/>
      <c r="P239" s="7">
        <v>9600</v>
      </c>
      <c r="Q239" s="7">
        <v>3184191.34</v>
      </c>
      <c r="R239" s="7">
        <v>85011019</v>
      </c>
      <c r="S239" s="7">
        <v>15</v>
      </c>
      <c r="T239" s="7" t="s">
        <v>254</v>
      </c>
      <c r="U239" s="7" t="s">
        <v>178</v>
      </c>
      <c r="V239" s="6">
        <f t="shared" si="41"/>
        <v>477628.70099999994</v>
      </c>
      <c r="W239" s="6">
        <f t="shared" si="42"/>
        <v>47762.8701</v>
      </c>
      <c r="X239" s="6">
        <f t="shared" si="43"/>
        <v>525391.57109999994</v>
      </c>
      <c r="Y239" s="6">
        <f t="shared" si="44"/>
        <v>54.728288656249994</v>
      </c>
      <c r="Z239" s="6">
        <f t="shared" si="45"/>
        <v>331.68659791666664</v>
      </c>
      <c r="AA239" s="9">
        <f t="shared" si="46"/>
        <v>9600</v>
      </c>
      <c r="AB239" s="10">
        <v>8806</v>
      </c>
      <c r="AC239" s="11">
        <f t="shared" si="48"/>
        <v>481937.30990693747</v>
      </c>
      <c r="AD239" s="12">
        <f t="shared" si="47"/>
        <v>9600</v>
      </c>
      <c r="AE239" s="13">
        <f t="shared" si="50"/>
        <v>0</v>
      </c>
    </row>
    <row r="240" spans="1:31">
      <c r="A240" s="6">
        <v>7</v>
      </c>
      <c r="B240" s="6">
        <f t="shared" si="49"/>
        <v>18</v>
      </c>
      <c r="C240" s="6" t="str">
        <f t="shared" si="40"/>
        <v>655931500AARMATURE, MONOBLOCK ASW4, HYUNDAI BC3-CUV5956461450612915</v>
      </c>
      <c r="D240" s="6" t="s">
        <v>216</v>
      </c>
      <c r="E240" s="6" t="s">
        <v>157</v>
      </c>
      <c r="F240" s="6"/>
      <c r="G240" s="7" t="s">
        <v>134</v>
      </c>
      <c r="H240" s="7"/>
      <c r="I240" s="7"/>
      <c r="J240" s="7"/>
      <c r="K240" s="7"/>
      <c r="L240" s="7">
        <v>5956461</v>
      </c>
      <c r="M240" s="22">
        <v>45061</v>
      </c>
      <c r="N240" s="8" t="s">
        <v>184</v>
      </c>
      <c r="O240" s="8"/>
      <c r="P240" s="7">
        <v>2915</v>
      </c>
      <c r="Q240" s="7">
        <v>1290630.6299999999</v>
      </c>
      <c r="R240" s="7">
        <v>87089400</v>
      </c>
      <c r="S240" s="7">
        <v>15</v>
      </c>
      <c r="T240" s="7" t="s">
        <v>186</v>
      </c>
      <c r="U240" s="7" t="s">
        <v>178</v>
      </c>
      <c r="V240" s="6">
        <f t="shared" si="41"/>
        <v>193594.59449999998</v>
      </c>
      <c r="W240" s="6">
        <f t="shared" si="42"/>
        <v>19359.459449999998</v>
      </c>
      <c r="X240" s="6">
        <f t="shared" si="43"/>
        <v>212954.05394999997</v>
      </c>
      <c r="Y240" s="6">
        <f t="shared" si="44"/>
        <v>73.05456396226414</v>
      </c>
      <c r="Z240" s="6">
        <f t="shared" si="45"/>
        <v>442.75493310463116</v>
      </c>
      <c r="AA240" s="9">
        <f t="shared" si="46"/>
        <v>2915</v>
      </c>
      <c r="AB240" s="10">
        <v>689</v>
      </c>
      <c r="AC240" s="11">
        <f t="shared" si="48"/>
        <v>50334.594569999994</v>
      </c>
      <c r="AD240" s="12">
        <f t="shared" si="47"/>
        <v>2915</v>
      </c>
      <c r="AE240" s="13">
        <f t="shared" si="50"/>
        <v>0</v>
      </c>
    </row>
    <row r="241" spans="1:31">
      <c r="A241" s="6">
        <v>7</v>
      </c>
      <c r="B241" s="6">
        <f t="shared" si="49"/>
        <v>19</v>
      </c>
      <c r="C241" s="6" t="str">
        <f t="shared" si="40"/>
        <v>655931500AARMATURE, MONOBLOCK ASW4, HYUNDAI BC3-CUV5557301450341620</v>
      </c>
      <c r="D241" s="6" t="s">
        <v>216</v>
      </c>
      <c r="E241" s="6" t="s">
        <v>157</v>
      </c>
      <c r="F241" s="6"/>
      <c r="G241" s="7" t="s">
        <v>134</v>
      </c>
      <c r="H241" s="7"/>
      <c r="I241" s="7"/>
      <c r="J241" s="7"/>
      <c r="K241" s="7"/>
      <c r="L241" s="7">
        <v>5557301</v>
      </c>
      <c r="M241" s="22">
        <v>45034</v>
      </c>
      <c r="N241" s="8" t="s">
        <v>184</v>
      </c>
      <c r="O241" s="8"/>
      <c r="P241" s="7">
        <v>1620</v>
      </c>
      <c r="Q241" s="7">
        <v>736488.33</v>
      </c>
      <c r="R241" s="7">
        <v>87089900</v>
      </c>
      <c r="S241" s="7">
        <v>15</v>
      </c>
      <c r="T241" s="7" t="s">
        <v>274</v>
      </c>
      <c r="U241" s="7" t="s">
        <v>178</v>
      </c>
      <c r="V241" s="6">
        <f t="shared" si="41"/>
        <v>110473.24949999999</v>
      </c>
      <c r="W241" s="6">
        <f t="shared" si="42"/>
        <v>11047.32495</v>
      </c>
      <c r="X241" s="6">
        <f t="shared" si="43"/>
        <v>121520.57444999999</v>
      </c>
      <c r="Y241" s="6">
        <f t="shared" si="44"/>
        <v>75.012700277777768</v>
      </c>
      <c r="Z241" s="6">
        <f t="shared" si="45"/>
        <v>454.62242592592588</v>
      </c>
      <c r="AA241" s="9">
        <f t="shared" si="46"/>
        <v>1620</v>
      </c>
      <c r="AB241" s="10">
        <v>1620</v>
      </c>
      <c r="AC241" s="11">
        <f t="shared" si="48"/>
        <v>121520.57444999999</v>
      </c>
      <c r="AD241" s="12">
        <f t="shared" si="47"/>
        <v>1620</v>
      </c>
      <c r="AE241" s="13">
        <f t="shared" si="50"/>
        <v>0</v>
      </c>
    </row>
    <row r="242" spans="1:31">
      <c r="A242" s="6">
        <v>7</v>
      </c>
      <c r="B242" s="6">
        <f t="shared" si="49"/>
        <v>20</v>
      </c>
      <c r="C242" s="6" t="str">
        <f t="shared" si="40"/>
        <v>655931500AARMATURE, MONOBLOCK ASW4, HYUNDAI BC3-CUV5556436450343240</v>
      </c>
      <c r="D242" s="6" t="s">
        <v>216</v>
      </c>
      <c r="E242" s="6" t="s">
        <v>157</v>
      </c>
      <c r="F242" s="6"/>
      <c r="G242" s="7" t="s">
        <v>134</v>
      </c>
      <c r="H242" s="7"/>
      <c r="I242" s="7"/>
      <c r="J242" s="7"/>
      <c r="K242" s="7"/>
      <c r="L242" s="7">
        <v>5556436</v>
      </c>
      <c r="M242" s="22">
        <v>45034</v>
      </c>
      <c r="N242" s="8" t="s">
        <v>184</v>
      </c>
      <c r="O242" s="8"/>
      <c r="P242" s="7">
        <v>3240</v>
      </c>
      <c r="Q242" s="7">
        <v>1489568.3</v>
      </c>
      <c r="R242" s="7">
        <v>87089400</v>
      </c>
      <c r="S242" s="7">
        <v>15</v>
      </c>
      <c r="T242" s="7" t="s">
        <v>186</v>
      </c>
      <c r="U242" s="7" t="s">
        <v>178</v>
      </c>
      <c r="V242" s="6">
        <f t="shared" si="41"/>
        <v>223435.245</v>
      </c>
      <c r="W242" s="6">
        <f t="shared" si="42"/>
        <v>22343.5245</v>
      </c>
      <c r="X242" s="6">
        <f t="shared" si="43"/>
        <v>245778.76949999999</v>
      </c>
      <c r="Y242" s="6">
        <f t="shared" si="44"/>
        <v>75.857644907407405</v>
      </c>
      <c r="Z242" s="6">
        <f t="shared" si="45"/>
        <v>459.74330246913581</v>
      </c>
      <c r="AA242" s="9">
        <f t="shared" si="46"/>
        <v>3240</v>
      </c>
      <c r="AB242" s="10">
        <v>3240</v>
      </c>
      <c r="AC242" s="11">
        <f t="shared" si="48"/>
        <v>245778.76949999999</v>
      </c>
      <c r="AD242" s="12">
        <f t="shared" si="47"/>
        <v>3240</v>
      </c>
      <c r="AE242" s="13">
        <f t="shared" si="50"/>
        <v>0</v>
      </c>
    </row>
    <row r="243" spans="1:31">
      <c r="A243" s="6">
        <v>7</v>
      </c>
      <c r="B243" s="6">
        <f t="shared" si="49"/>
        <v>21</v>
      </c>
      <c r="C243" s="6" t="str">
        <f t="shared" si="40"/>
        <v>655931500AARMATURE, MONOBLOCK ASW4, HYUNDAI BC3-CUV5573166450351134</v>
      </c>
      <c r="D243" s="6" t="s">
        <v>216</v>
      </c>
      <c r="E243" s="6" t="s">
        <v>157</v>
      </c>
      <c r="F243" s="6"/>
      <c r="G243" s="7" t="s">
        <v>134</v>
      </c>
      <c r="H243" s="7"/>
      <c r="I243" s="7"/>
      <c r="J243" s="7"/>
      <c r="K243" s="7"/>
      <c r="L243" s="7">
        <v>5573166</v>
      </c>
      <c r="M243" s="22">
        <v>45035</v>
      </c>
      <c r="N243" s="8" t="s">
        <v>184</v>
      </c>
      <c r="O243" s="8"/>
      <c r="P243" s="7">
        <v>1134</v>
      </c>
      <c r="Q243" s="7">
        <v>516088.27</v>
      </c>
      <c r="R243" s="7">
        <v>87089400</v>
      </c>
      <c r="S243" s="7">
        <v>15</v>
      </c>
      <c r="T243" s="7" t="s">
        <v>186</v>
      </c>
      <c r="U243" s="7" t="s">
        <v>178</v>
      </c>
      <c r="V243" s="6">
        <f t="shared" si="41"/>
        <v>77413.2405</v>
      </c>
      <c r="W243" s="6">
        <f t="shared" si="42"/>
        <v>7741.3240500000002</v>
      </c>
      <c r="X243" s="6">
        <f t="shared" si="43"/>
        <v>85154.564549999996</v>
      </c>
      <c r="Y243" s="6">
        <f t="shared" si="44"/>
        <v>75.092208597883598</v>
      </c>
      <c r="Z243" s="6">
        <f t="shared" si="45"/>
        <v>455.10429453262788</v>
      </c>
      <c r="AA243" s="9">
        <f t="shared" si="46"/>
        <v>1134</v>
      </c>
      <c r="AB243" s="10">
        <v>1134</v>
      </c>
      <c r="AC243" s="11">
        <f t="shared" si="48"/>
        <v>85154.564549999996</v>
      </c>
      <c r="AD243" s="12">
        <f t="shared" si="47"/>
        <v>1134</v>
      </c>
      <c r="AE243" s="13">
        <f t="shared" si="50"/>
        <v>0</v>
      </c>
    </row>
    <row r="244" spans="1:31">
      <c r="A244" s="6">
        <v>7</v>
      </c>
      <c r="B244" s="6">
        <f t="shared" si="49"/>
        <v>22</v>
      </c>
      <c r="C244" s="6" t="str">
        <f t="shared" si="40"/>
        <v>651015100AARMATURE, MONOBLOCK, ASW4, HYUNDAI BC3504684544999486</v>
      </c>
      <c r="D244" s="6" t="s">
        <v>216</v>
      </c>
      <c r="E244" s="6" t="s">
        <v>158</v>
      </c>
      <c r="F244" s="6"/>
      <c r="G244" s="7" t="s">
        <v>135</v>
      </c>
      <c r="H244" s="7"/>
      <c r="I244" s="7"/>
      <c r="J244" s="7"/>
      <c r="K244" s="7"/>
      <c r="L244" s="7">
        <v>5046845</v>
      </c>
      <c r="M244" s="22">
        <v>44999</v>
      </c>
      <c r="N244" s="8" t="s">
        <v>184</v>
      </c>
      <c r="O244" s="8"/>
      <c r="P244" s="7">
        <v>486</v>
      </c>
      <c r="Q244" s="7">
        <v>235596.73</v>
      </c>
      <c r="R244" s="7">
        <v>87089900</v>
      </c>
      <c r="S244" s="7">
        <v>15</v>
      </c>
      <c r="T244" s="7" t="s">
        <v>274</v>
      </c>
      <c r="U244" s="7" t="s">
        <v>178</v>
      </c>
      <c r="V244" s="6">
        <f t="shared" si="41"/>
        <v>35339.5095</v>
      </c>
      <c r="W244" s="6">
        <f t="shared" si="42"/>
        <v>3533.9509500000004</v>
      </c>
      <c r="X244" s="6">
        <f t="shared" si="43"/>
        <v>38873.460449999999</v>
      </c>
      <c r="Y244" s="6">
        <f t="shared" si="44"/>
        <v>79.986544135802461</v>
      </c>
      <c r="Z244" s="6">
        <f t="shared" si="45"/>
        <v>484.76693415637862</v>
      </c>
      <c r="AA244" s="9">
        <f t="shared" si="46"/>
        <v>486</v>
      </c>
      <c r="AB244" s="10">
        <v>128</v>
      </c>
      <c r="AC244" s="11">
        <f t="shared" si="48"/>
        <v>10238.277649382715</v>
      </c>
      <c r="AD244" s="12">
        <f t="shared" si="47"/>
        <v>446</v>
      </c>
      <c r="AE244" s="13">
        <f t="shared" si="50"/>
        <v>40</v>
      </c>
    </row>
    <row r="245" spans="1:31">
      <c r="A245" s="6">
        <v>7</v>
      </c>
      <c r="B245" s="6">
        <f t="shared" si="49"/>
        <v>23</v>
      </c>
      <c r="C245" s="6" t="str">
        <f t="shared" si="40"/>
        <v>650557200GCUSHION, FOLDED, C AND S HONDA 2JX4101790449351080</v>
      </c>
      <c r="D245" s="6" t="s">
        <v>216</v>
      </c>
      <c r="E245" s="6" t="s">
        <v>159</v>
      </c>
      <c r="F245" s="6"/>
      <c r="G245" s="7" t="s">
        <v>136</v>
      </c>
      <c r="H245" s="7"/>
      <c r="I245" s="7"/>
      <c r="J245" s="7"/>
      <c r="K245" s="7"/>
      <c r="L245" s="7">
        <v>4101790</v>
      </c>
      <c r="M245" s="22">
        <v>44935</v>
      </c>
      <c r="N245" s="8" t="s">
        <v>189</v>
      </c>
      <c r="O245" s="8"/>
      <c r="P245" s="7">
        <v>1080</v>
      </c>
      <c r="Q245" s="7">
        <v>1332212.3400000001</v>
      </c>
      <c r="R245" s="7">
        <v>87089500</v>
      </c>
      <c r="S245" s="7">
        <v>5</v>
      </c>
      <c r="T245" s="7" t="s">
        <v>267</v>
      </c>
      <c r="U245" s="7" t="s">
        <v>178</v>
      </c>
      <c r="V245" s="6">
        <f t="shared" si="41"/>
        <v>66610.617000000013</v>
      </c>
      <c r="W245" s="6">
        <f t="shared" si="42"/>
        <v>6661.061700000002</v>
      </c>
      <c r="X245" s="6">
        <f t="shared" si="43"/>
        <v>73271.678700000019</v>
      </c>
      <c r="Y245" s="6">
        <f t="shared" si="44"/>
        <v>67.844146944444461</v>
      </c>
      <c r="Z245" s="6">
        <f t="shared" si="45"/>
        <v>1233.5299444444445</v>
      </c>
      <c r="AA245" s="9">
        <f t="shared" si="46"/>
        <v>1080</v>
      </c>
      <c r="AB245" s="10">
        <v>0</v>
      </c>
      <c r="AC245" s="11">
        <f t="shared" si="48"/>
        <v>0</v>
      </c>
      <c r="AD245" s="12">
        <f t="shared" si="47"/>
        <v>960</v>
      </c>
      <c r="AE245" s="13">
        <f t="shared" si="50"/>
        <v>120</v>
      </c>
    </row>
    <row r="246" spans="1:31">
      <c r="A246" s="6">
        <v>7</v>
      </c>
      <c r="B246" s="6">
        <f t="shared" si="49"/>
        <v>24</v>
      </c>
      <c r="C246" s="6" t="str">
        <f t="shared" si="40"/>
        <v>651015300BELEMENT, HEATER, HYBRID 5734540450454900</v>
      </c>
      <c r="D246" s="6" t="s">
        <v>216</v>
      </c>
      <c r="E246" s="6" t="s">
        <v>155</v>
      </c>
      <c r="F246" s="6"/>
      <c r="G246" s="7" t="s">
        <v>137</v>
      </c>
      <c r="H246" s="7"/>
      <c r="I246" s="7"/>
      <c r="J246" s="7"/>
      <c r="K246" s="7"/>
      <c r="L246" s="7">
        <v>5734540</v>
      </c>
      <c r="M246" s="22">
        <v>45045</v>
      </c>
      <c r="N246" s="8" t="s">
        <v>189</v>
      </c>
      <c r="O246" s="8"/>
      <c r="P246" s="7">
        <v>4900</v>
      </c>
      <c r="Q246" s="7">
        <v>2731162.99</v>
      </c>
      <c r="R246" s="7">
        <v>87089400</v>
      </c>
      <c r="S246" s="7">
        <v>15</v>
      </c>
      <c r="T246" s="7" t="s">
        <v>257</v>
      </c>
      <c r="U246" s="7" t="s">
        <v>178</v>
      </c>
      <c r="V246" s="6">
        <f t="shared" si="41"/>
        <v>409674.4485</v>
      </c>
      <c r="W246" s="6">
        <f t="shared" si="42"/>
        <v>40967.44485</v>
      </c>
      <c r="X246" s="6">
        <f t="shared" si="43"/>
        <v>450641.89335000003</v>
      </c>
      <c r="Y246" s="6">
        <f t="shared" si="44"/>
        <v>91.967733336734696</v>
      </c>
      <c r="Z246" s="6">
        <f t="shared" si="45"/>
        <v>557.38020204081636</v>
      </c>
      <c r="AA246" s="9">
        <f t="shared" si="46"/>
        <v>4900</v>
      </c>
      <c r="AB246" s="10">
        <v>2474</v>
      </c>
      <c r="AC246" s="11">
        <f t="shared" si="48"/>
        <v>227528.17227508163</v>
      </c>
      <c r="AD246" s="12">
        <f t="shared" si="47"/>
        <v>4900</v>
      </c>
      <c r="AE246" s="13">
        <f t="shared" si="50"/>
        <v>0</v>
      </c>
    </row>
    <row r="247" spans="1:31">
      <c r="A247" s="6">
        <v>7</v>
      </c>
      <c r="B247" s="6">
        <f t="shared" si="49"/>
        <v>25</v>
      </c>
      <c r="C247" s="6" t="str">
        <f t="shared" si="40"/>
        <v>653052600AINFLATOR, APP-4.6, 2.2MO STANDARD_MIB, SQUARE_61X403704044930864</v>
      </c>
      <c r="D247" s="6" t="s">
        <v>216</v>
      </c>
      <c r="E247" s="6" t="s">
        <v>161</v>
      </c>
      <c r="F247" s="6"/>
      <c r="G247" s="7" t="s">
        <v>139</v>
      </c>
      <c r="H247" s="7"/>
      <c r="I247" s="7"/>
      <c r="J247" s="7"/>
      <c r="K247" s="7"/>
      <c r="L247" s="7">
        <v>4037040</v>
      </c>
      <c r="M247" s="22">
        <v>44930</v>
      </c>
      <c r="N247" s="8" t="s">
        <v>184</v>
      </c>
      <c r="O247" s="8"/>
      <c r="P247" s="7">
        <v>864</v>
      </c>
      <c r="Q247" s="7">
        <v>478672.4</v>
      </c>
      <c r="R247" s="7">
        <v>87089400</v>
      </c>
      <c r="S247" s="7">
        <v>15</v>
      </c>
      <c r="T247" s="7" t="s">
        <v>259</v>
      </c>
      <c r="U247" s="7" t="s">
        <v>200</v>
      </c>
      <c r="V247" s="6">
        <f t="shared" si="41"/>
        <v>71800.86</v>
      </c>
      <c r="W247" s="6">
        <f t="shared" si="42"/>
        <v>7180.0860000000002</v>
      </c>
      <c r="X247" s="6">
        <f t="shared" si="43"/>
        <v>78980.945999999996</v>
      </c>
      <c r="Y247" s="6">
        <f t="shared" si="44"/>
        <v>91.413131944444444</v>
      </c>
      <c r="Z247" s="6">
        <f t="shared" si="45"/>
        <v>554.01898148148155</v>
      </c>
      <c r="AA247" s="9">
        <f t="shared" si="46"/>
        <v>864</v>
      </c>
      <c r="AB247" s="10">
        <v>480</v>
      </c>
      <c r="AC247" s="11">
        <f t="shared" si="48"/>
        <v>43878.30333333333</v>
      </c>
      <c r="AD247" s="12">
        <f t="shared" si="47"/>
        <v>844</v>
      </c>
      <c r="AE247" s="13">
        <f t="shared" si="50"/>
        <v>20</v>
      </c>
    </row>
    <row r="248" spans="1:31">
      <c r="A248" s="6">
        <v>7</v>
      </c>
      <c r="B248" s="6">
        <f t="shared" si="49"/>
        <v>26</v>
      </c>
      <c r="C248" s="6" t="str">
        <f t="shared" si="40"/>
        <v>652466500ALEATHER, HIDE TOP GRAIN, OBSIDIAN BLACK, NNB, BLA4680928449742119.5</v>
      </c>
      <c r="D248" s="6" t="s">
        <v>216</v>
      </c>
      <c r="E248" s="6" t="s">
        <v>163</v>
      </c>
      <c r="F248" s="6"/>
      <c r="G248" s="7" t="s">
        <v>141</v>
      </c>
      <c r="H248" s="7"/>
      <c r="I248" s="7"/>
      <c r="J248" s="7"/>
      <c r="K248" s="7"/>
      <c r="L248" s="7">
        <v>4680928</v>
      </c>
      <c r="M248" s="22">
        <v>44974</v>
      </c>
      <c r="N248" s="8" t="s">
        <v>184</v>
      </c>
      <c r="O248" s="8"/>
      <c r="P248" s="7">
        <v>2119.5</v>
      </c>
      <c r="Q248" s="7">
        <v>5532517.6200000001</v>
      </c>
      <c r="R248" s="7">
        <v>41071200</v>
      </c>
      <c r="S248" s="7">
        <v>0</v>
      </c>
      <c r="T248" s="7" t="s">
        <v>261</v>
      </c>
      <c r="U248" s="7" t="s">
        <v>178</v>
      </c>
      <c r="V248" s="6">
        <f t="shared" si="41"/>
        <v>0</v>
      </c>
      <c r="W248" s="6">
        <f t="shared" si="42"/>
        <v>0</v>
      </c>
      <c r="X248" s="6">
        <f t="shared" si="43"/>
        <v>0</v>
      </c>
      <c r="Y248" s="6">
        <f t="shared" si="44"/>
        <v>0</v>
      </c>
      <c r="Z248" s="6">
        <f t="shared" si="45"/>
        <v>2610.2937579617833</v>
      </c>
      <c r="AA248" s="9">
        <f t="shared" si="46"/>
        <v>2119.5</v>
      </c>
      <c r="AB248" s="10">
        <v>329</v>
      </c>
      <c r="AC248" s="11">
        <f t="shared" si="48"/>
        <v>0</v>
      </c>
      <c r="AD248" s="12">
        <f t="shared" si="47"/>
        <v>2119.1999999999998</v>
      </c>
      <c r="AE248" s="13">
        <f t="shared" si="50"/>
        <v>0.3000000000001819</v>
      </c>
    </row>
    <row r="249" spans="1:31">
      <c r="A249" s="6">
        <v>7</v>
      </c>
      <c r="B249" s="6">
        <f t="shared" si="49"/>
        <v>27</v>
      </c>
      <c r="C249" s="6" t="str">
        <f t="shared" si="40"/>
        <v>651166400CSPRING, COIL, UPPER 63071094508445000</v>
      </c>
      <c r="D249" s="6" t="s">
        <v>216</v>
      </c>
      <c r="E249" s="6" t="s">
        <v>170</v>
      </c>
      <c r="F249" s="6"/>
      <c r="G249" s="7" t="s">
        <v>148</v>
      </c>
      <c r="H249" s="7"/>
      <c r="I249" s="7"/>
      <c r="J249" s="7"/>
      <c r="K249" s="7"/>
      <c r="L249" s="7">
        <v>6307109</v>
      </c>
      <c r="M249" s="22">
        <v>45084</v>
      </c>
      <c r="N249" s="8" t="s">
        <v>180</v>
      </c>
      <c r="O249" s="8"/>
      <c r="P249" s="7">
        <v>45000</v>
      </c>
      <c r="Q249" s="7">
        <v>90981.82</v>
      </c>
      <c r="R249" s="7">
        <v>87089400</v>
      </c>
      <c r="S249" s="7">
        <v>15</v>
      </c>
      <c r="T249" s="7" t="s">
        <v>281</v>
      </c>
      <c r="U249" s="7" t="s">
        <v>178</v>
      </c>
      <c r="V249" s="6">
        <f t="shared" si="41"/>
        <v>13647.273000000001</v>
      </c>
      <c r="W249" s="6">
        <f t="shared" si="42"/>
        <v>1364.7273000000002</v>
      </c>
      <c r="X249" s="6">
        <f t="shared" si="43"/>
        <v>15012.000300000002</v>
      </c>
      <c r="Y249" s="6">
        <f t="shared" si="44"/>
        <v>0.33360000666666673</v>
      </c>
      <c r="Z249" s="6">
        <f t="shared" si="45"/>
        <v>2.0218182222222225</v>
      </c>
      <c r="AA249" s="9">
        <f t="shared" si="46"/>
        <v>45000</v>
      </c>
      <c r="AB249" s="10">
        <v>32945</v>
      </c>
      <c r="AC249" s="11">
        <f t="shared" si="48"/>
        <v>10990.452219633335</v>
      </c>
      <c r="AD249" s="12">
        <f t="shared" si="47"/>
        <v>45000</v>
      </c>
      <c r="AE249" s="13">
        <f t="shared" si="50"/>
        <v>0</v>
      </c>
    </row>
    <row r="250" spans="1:31">
      <c r="A250" s="6">
        <v>7</v>
      </c>
      <c r="B250" s="6">
        <f t="shared" si="49"/>
        <v>28</v>
      </c>
      <c r="C250" s="6" t="str">
        <f t="shared" si="40"/>
        <v>651166400CSPRING, COIL, UPPER 55801274503510000</v>
      </c>
      <c r="D250" s="6" t="s">
        <v>216</v>
      </c>
      <c r="E250" s="6" t="s">
        <v>170</v>
      </c>
      <c r="F250" s="6"/>
      <c r="G250" s="7" t="s">
        <v>148</v>
      </c>
      <c r="H250" s="7"/>
      <c r="I250" s="7"/>
      <c r="J250" s="7"/>
      <c r="K250" s="7"/>
      <c r="L250" s="7">
        <v>5580127</v>
      </c>
      <c r="M250" s="22">
        <v>45035</v>
      </c>
      <c r="N250" s="8" t="s">
        <v>180</v>
      </c>
      <c r="O250" s="8"/>
      <c r="P250" s="7">
        <v>10000</v>
      </c>
      <c r="Q250" s="7">
        <v>20085.18</v>
      </c>
      <c r="R250" s="7">
        <v>87089900</v>
      </c>
      <c r="S250" s="7">
        <v>15</v>
      </c>
      <c r="T250" s="7" t="s">
        <v>280</v>
      </c>
      <c r="U250" s="7" t="s">
        <v>178</v>
      </c>
      <c r="V250" s="6">
        <f t="shared" si="41"/>
        <v>3012.777</v>
      </c>
      <c r="W250" s="6">
        <f t="shared" si="42"/>
        <v>301.27770000000004</v>
      </c>
      <c r="X250" s="6">
        <f t="shared" si="43"/>
        <v>3314.0547000000001</v>
      </c>
      <c r="Y250" s="6">
        <f t="shared" si="44"/>
        <v>0.33140547000000004</v>
      </c>
      <c r="Z250" s="6">
        <f t="shared" si="45"/>
        <v>2.008518</v>
      </c>
      <c r="AA250" s="9">
        <f t="shared" si="46"/>
        <v>10000</v>
      </c>
      <c r="AB250" s="10">
        <v>2317</v>
      </c>
      <c r="AC250" s="11">
        <f t="shared" si="48"/>
        <v>767.86647399000003</v>
      </c>
      <c r="AD250" s="12">
        <f t="shared" si="47"/>
        <v>10000</v>
      </c>
      <c r="AE250" s="13">
        <f t="shared" si="50"/>
        <v>0</v>
      </c>
    </row>
    <row r="251" spans="1:31" ht="30">
      <c r="A251" s="6">
        <v>7</v>
      </c>
      <c r="B251" s="6">
        <f t="shared" si="49"/>
        <v>29</v>
      </c>
      <c r="C251" s="6" t="str">
        <f t="shared" si="40"/>
        <v>655818900BACTUATOR VIBRATION MOTOR ASSY WITH BRACKET BC3 CU54784784502814400</v>
      </c>
      <c r="D251" s="6" t="s">
        <v>216</v>
      </c>
      <c r="E251" s="6" t="s">
        <v>156</v>
      </c>
      <c r="F251" s="6"/>
      <c r="G251" s="7" t="s">
        <v>133</v>
      </c>
      <c r="H251" s="7"/>
      <c r="I251" s="7"/>
      <c r="J251" s="7"/>
      <c r="K251" s="7"/>
      <c r="L251" s="7">
        <v>5478478</v>
      </c>
      <c r="M251" s="22">
        <v>45028</v>
      </c>
      <c r="N251" s="8" t="s">
        <v>185</v>
      </c>
      <c r="O251" s="8"/>
      <c r="P251" s="7">
        <v>14400</v>
      </c>
      <c r="Q251" s="7">
        <v>4743864.82</v>
      </c>
      <c r="R251" s="7">
        <v>85011019</v>
      </c>
      <c r="S251" s="7">
        <v>10</v>
      </c>
      <c r="T251" s="7" t="s">
        <v>282</v>
      </c>
      <c r="U251" s="7" t="s">
        <v>178</v>
      </c>
      <c r="V251" s="6">
        <f t="shared" si="41"/>
        <v>474386.48200000008</v>
      </c>
      <c r="W251" s="6">
        <f t="shared" si="42"/>
        <v>47438.648200000011</v>
      </c>
      <c r="X251" s="6">
        <f t="shared" si="43"/>
        <v>521825.13020000007</v>
      </c>
      <c r="Y251" s="6">
        <f t="shared" si="44"/>
        <v>36.237856263888894</v>
      </c>
      <c r="Z251" s="6">
        <f t="shared" si="45"/>
        <v>329.43505694444445</v>
      </c>
      <c r="AA251" s="9">
        <f t="shared" si="46"/>
        <v>14400</v>
      </c>
      <c r="AB251" s="10">
        <v>1828</v>
      </c>
      <c r="AC251" s="11">
        <f t="shared" si="48"/>
        <v>66242.801250388904</v>
      </c>
      <c r="AD251" s="12">
        <f t="shared" si="47"/>
        <v>14400</v>
      </c>
      <c r="AE251" s="13">
        <f t="shared" si="50"/>
        <v>0</v>
      </c>
    </row>
    <row r="252" spans="1:31">
      <c r="A252" s="6">
        <v>7</v>
      </c>
      <c r="B252" s="6">
        <f t="shared" si="49"/>
        <v>30</v>
      </c>
      <c r="C252" s="6" t="str">
        <f t="shared" si="40"/>
        <v>655931500AARMATURE, MONOBLOCK ASW4, HYUNDAI BC3-CUV6506252450981782</v>
      </c>
      <c r="D252" s="6" t="s">
        <v>216</v>
      </c>
      <c r="E252" s="6" t="s">
        <v>157</v>
      </c>
      <c r="F252" s="6"/>
      <c r="G252" s="7" t="s">
        <v>134</v>
      </c>
      <c r="H252" s="7"/>
      <c r="I252" s="7"/>
      <c r="J252" s="7"/>
      <c r="K252" s="7"/>
      <c r="L252" s="7">
        <v>6506252</v>
      </c>
      <c r="M252" s="22">
        <v>45098</v>
      </c>
      <c r="N252" s="8" t="s">
        <v>184</v>
      </c>
      <c r="O252" s="8"/>
      <c r="P252" s="7">
        <v>1782</v>
      </c>
      <c r="Q252" s="7">
        <v>764486.2</v>
      </c>
      <c r="R252" s="7">
        <v>87089400</v>
      </c>
      <c r="S252" s="7">
        <v>15</v>
      </c>
      <c r="T252" s="7" t="s">
        <v>186</v>
      </c>
      <c r="U252" s="7" t="s">
        <v>178</v>
      </c>
      <c r="V252" s="6">
        <f t="shared" si="41"/>
        <v>114672.93</v>
      </c>
      <c r="W252" s="6">
        <f t="shared" si="42"/>
        <v>11467.293</v>
      </c>
      <c r="X252" s="6">
        <f t="shared" si="43"/>
        <v>126140.223</v>
      </c>
      <c r="Y252" s="6">
        <f t="shared" si="44"/>
        <v>70.785759259259265</v>
      </c>
      <c r="Z252" s="6">
        <f t="shared" si="45"/>
        <v>429.00460157126821</v>
      </c>
      <c r="AA252" s="9">
        <f t="shared" si="46"/>
        <v>1782</v>
      </c>
      <c r="AB252" s="10">
        <v>1782</v>
      </c>
      <c r="AC252" s="11">
        <f t="shared" si="48"/>
        <v>126140.22300000001</v>
      </c>
      <c r="AD252" s="12">
        <f t="shared" si="47"/>
        <v>1782</v>
      </c>
      <c r="AE252" s="13">
        <f t="shared" si="50"/>
        <v>0</v>
      </c>
    </row>
    <row r="253" spans="1:31">
      <c r="A253" s="6">
        <v>7</v>
      </c>
      <c r="B253" s="6">
        <f t="shared" si="49"/>
        <v>31</v>
      </c>
      <c r="C253" s="6" t="str">
        <f t="shared" si="40"/>
        <v>651015300BELEMENT, HEATER, HYBRID 5327495450175460</v>
      </c>
      <c r="D253" s="6" t="s">
        <v>216</v>
      </c>
      <c r="E253" s="6" t="s">
        <v>155</v>
      </c>
      <c r="F253" s="6"/>
      <c r="G253" s="7" t="s">
        <v>137</v>
      </c>
      <c r="H253" s="7"/>
      <c r="I253" s="7"/>
      <c r="J253" s="7"/>
      <c r="K253" s="7"/>
      <c r="L253" s="7">
        <v>5327495</v>
      </c>
      <c r="M253" s="22">
        <v>45017</v>
      </c>
      <c r="N253" s="8" t="s">
        <v>189</v>
      </c>
      <c r="O253" s="8"/>
      <c r="P253" s="7">
        <v>5460</v>
      </c>
      <c r="Q253" s="7">
        <v>3058262.67</v>
      </c>
      <c r="R253" s="7">
        <v>87089400</v>
      </c>
      <c r="S253" s="7">
        <v>15</v>
      </c>
      <c r="T253" s="7" t="s">
        <v>257</v>
      </c>
      <c r="U253" s="7" t="s">
        <v>178</v>
      </c>
      <c r="V253" s="6">
        <f t="shared" si="41"/>
        <v>458739.40049999999</v>
      </c>
      <c r="W253" s="6">
        <f t="shared" si="42"/>
        <v>45873.940050000005</v>
      </c>
      <c r="X253" s="6">
        <f t="shared" si="43"/>
        <v>504613.34054999996</v>
      </c>
      <c r="Y253" s="6">
        <f t="shared" si="44"/>
        <v>92.420025741758238</v>
      </c>
      <c r="Z253" s="6">
        <f t="shared" si="45"/>
        <v>560.12136813186817</v>
      </c>
      <c r="AA253" s="9">
        <f t="shared" si="46"/>
        <v>5460</v>
      </c>
      <c r="AB253" s="10">
        <v>114</v>
      </c>
      <c r="AC253" s="11">
        <f t="shared" si="48"/>
        <v>10535.882934560439</v>
      </c>
      <c r="AD253" s="12">
        <f t="shared" si="47"/>
        <v>5460</v>
      </c>
      <c r="AE253" s="13">
        <f t="shared" si="50"/>
        <v>0</v>
      </c>
    </row>
    <row r="254" spans="1:31">
      <c r="A254" s="6">
        <v>7</v>
      </c>
      <c r="B254" s="6">
        <f t="shared" si="49"/>
        <v>32</v>
      </c>
      <c r="C254" s="6" t="str">
        <f t="shared" si="40"/>
        <v>656011400ALEATHER, HIDE TOP GRAIN, GREY, FOSSIL GREY, T9Y,941830645287540.69</v>
      </c>
      <c r="D254" s="6" t="s">
        <v>216</v>
      </c>
      <c r="E254" s="6" t="s">
        <v>162</v>
      </c>
      <c r="F254" s="6"/>
      <c r="G254" s="7" t="s">
        <v>140</v>
      </c>
      <c r="H254" s="7"/>
      <c r="I254" s="7"/>
      <c r="J254" s="7"/>
      <c r="K254" s="7"/>
      <c r="L254" s="7">
        <v>9418306</v>
      </c>
      <c r="M254" s="22">
        <v>45287</v>
      </c>
      <c r="N254" s="8" t="s">
        <v>190</v>
      </c>
      <c r="O254" s="8"/>
      <c r="P254" s="7">
        <v>540.69000000000005</v>
      </c>
      <c r="Q254" s="7">
        <v>1147356.54</v>
      </c>
      <c r="R254" s="7">
        <v>41071200</v>
      </c>
      <c r="S254" s="7">
        <v>0</v>
      </c>
      <c r="T254" s="7" t="s">
        <v>260</v>
      </c>
      <c r="U254" s="7" t="s">
        <v>178</v>
      </c>
      <c r="V254" s="6">
        <f t="shared" si="41"/>
        <v>0</v>
      </c>
      <c r="W254" s="6">
        <f t="shared" si="42"/>
        <v>0</v>
      </c>
      <c r="X254" s="6">
        <f t="shared" si="43"/>
        <v>0</v>
      </c>
      <c r="Y254" s="6">
        <f t="shared" si="44"/>
        <v>0</v>
      </c>
      <c r="Z254" s="6">
        <f t="shared" si="45"/>
        <v>2122.0228596792986</v>
      </c>
      <c r="AA254" s="9">
        <f t="shared" si="46"/>
        <v>540.69000000000005</v>
      </c>
      <c r="AB254" s="10">
        <v>191</v>
      </c>
      <c r="AC254" s="11">
        <f t="shared" si="48"/>
        <v>0</v>
      </c>
      <c r="AD254" s="12">
        <f t="shared" si="47"/>
        <v>528.58033899999998</v>
      </c>
      <c r="AE254" s="13">
        <f t="shared" si="50"/>
        <v>12.109661000000074</v>
      </c>
    </row>
    <row r="255" spans="1:31">
      <c r="A255" s="6">
        <v>7</v>
      </c>
      <c r="B255" s="6">
        <f t="shared" si="49"/>
        <v>33</v>
      </c>
      <c r="C255" s="6" t="str">
        <f t="shared" si="40"/>
        <v>652466500ALEATHER, HIDE TOP GRAIN, OBSIDIAN BLACK, NNB, BLA9811663447743845.63</v>
      </c>
      <c r="D255" s="6" t="s">
        <v>216</v>
      </c>
      <c r="E255" s="6" t="s">
        <v>163</v>
      </c>
      <c r="F255" s="6"/>
      <c r="G255" s="7" t="s">
        <v>141</v>
      </c>
      <c r="H255" s="7"/>
      <c r="I255" s="7"/>
      <c r="J255" s="7"/>
      <c r="K255" s="7"/>
      <c r="L255" s="7">
        <v>9811663</v>
      </c>
      <c r="M255" s="22">
        <v>44774</v>
      </c>
      <c r="N255" s="8" t="s">
        <v>283</v>
      </c>
      <c r="O255" s="8"/>
      <c r="P255" s="7">
        <v>3845.63</v>
      </c>
      <c r="Q255" s="7">
        <v>9928750.5700000003</v>
      </c>
      <c r="R255" s="7">
        <v>41071200</v>
      </c>
      <c r="S255" s="7">
        <v>10</v>
      </c>
      <c r="T255" s="7" t="s">
        <v>261</v>
      </c>
      <c r="U255" s="7" t="s">
        <v>178</v>
      </c>
      <c r="V255" s="6">
        <f t="shared" si="41"/>
        <v>992875.05700000003</v>
      </c>
      <c r="W255" s="6">
        <f t="shared" si="42"/>
        <v>99287.505700000009</v>
      </c>
      <c r="X255" s="6">
        <f t="shared" si="43"/>
        <v>1092162.5627000001</v>
      </c>
      <c r="Y255" s="6">
        <f t="shared" si="44"/>
        <v>284.0009472310129</v>
      </c>
      <c r="Z255" s="6">
        <f t="shared" si="45"/>
        <v>2581.8267930092079</v>
      </c>
      <c r="AA255" s="9">
        <f t="shared" si="46"/>
        <v>3845.63</v>
      </c>
      <c r="AB255" s="10">
        <v>2326</v>
      </c>
      <c r="AC255" s="11">
        <f t="shared" si="48"/>
        <v>660586.20325933606</v>
      </c>
      <c r="AD255" s="12">
        <f t="shared" si="47"/>
        <v>3845.63</v>
      </c>
      <c r="AE255" s="13">
        <f t="shared" si="50"/>
        <v>0</v>
      </c>
    </row>
    <row r="256" spans="1:31">
      <c r="A256" s="6">
        <v>7</v>
      </c>
      <c r="B256" s="6">
        <f t="shared" si="49"/>
        <v>34</v>
      </c>
      <c r="C256" s="6" t="str">
        <f t="shared" si="40"/>
        <v>639590100BSCREW SELF TAPPING INTERNAL T15, 15.0866860044694100000</v>
      </c>
      <c r="D256" s="6" t="s">
        <v>216</v>
      </c>
      <c r="E256" s="6" t="s">
        <v>165</v>
      </c>
      <c r="F256" s="6"/>
      <c r="G256" s="7" t="s">
        <v>143</v>
      </c>
      <c r="H256" s="7"/>
      <c r="I256" s="7"/>
      <c r="J256" s="7"/>
      <c r="K256" s="7"/>
      <c r="L256" s="7">
        <v>8668600</v>
      </c>
      <c r="M256" s="22">
        <v>44694</v>
      </c>
      <c r="N256" s="8" t="s">
        <v>180</v>
      </c>
      <c r="O256" s="8"/>
      <c r="P256" s="7">
        <v>100000</v>
      </c>
      <c r="Q256" s="7">
        <v>106341.41</v>
      </c>
      <c r="R256" s="7">
        <v>87089400</v>
      </c>
      <c r="S256" s="7">
        <v>15</v>
      </c>
      <c r="T256" s="7" t="s">
        <v>262</v>
      </c>
      <c r="U256" s="7" t="s">
        <v>178</v>
      </c>
      <c r="V256" s="6">
        <f t="shared" si="41"/>
        <v>15951.211499999999</v>
      </c>
      <c r="W256" s="6">
        <f t="shared" si="42"/>
        <v>1595.1211499999999</v>
      </c>
      <c r="X256" s="6">
        <f t="shared" si="43"/>
        <v>17546.33265</v>
      </c>
      <c r="Y256" s="6">
        <f t="shared" si="44"/>
        <v>0.17546332650000002</v>
      </c>
      <c r="Z256" s="6">
        <f t="shared" si="45"/>
        <v>1.0634141000000001</v>
      </c>
      <c r="AA256" s="9">
        <f t="shared" si="46"/>
        <v>100000</v>
      </c>
      <c r="AB256" s="10">
        <v>24814</v>
      </c>
      <c r="AC256" s="11">
        <f t="shared" si="48"/>
        <v>4353.9469837710003</v>
      </c>
      <c r="AD256" s="12">
        <f t="shared" si="47"/>
        <v>100000</v>
      </c>
      <c r="AE256" s="13">
        <f t="shared" si="50"/>
        <v>0</v>
      </c>
    </row>
    <row r="257" spans="1:31">
      <c r="A257" s="6">
        <v>7</v>
      </c>
      <c r="B257" s="6">
        <f t="shared" si="49"/>
        <v>35</v>
      </c>
      <c r="C257" s="6" t="str">
        <f t="shared" si="40"/>
        <v>628408700ASCREW, STANDARD, METRIC, M5, HEXALOBULAR INTERNAL59394534505925000</v>
      </c>
      <c r="D257" s="6" t="s">
        <v>216</v>
      </c>
      <c r="E257" s="6" t="s">
        <v>167</v>
      </c>
      <c r="F257" s="6"/>
      <c r="G257" s="7" t="s">
        <v>145</v>
      </c>
      <c r="H257" s="7"/>
      <c r="I257" s="7"/>
      <c r="J257" s="7"/>
      <c r="K257" s="7"/>
      <c r="L257" s="7">
        <v>5939453</v>
      </c>
      <c r="M257" s="22">
        <v>45059</v>
      </c>
      <c r="N257" s="8" t="s">
        <v>180</v>
      </c>
      <c r="O257" s="8"/>
      <c r="P257" s="7">
        <v>25000</v>
      </c>
      <c r="Q257" s="7">
        <v>128868.89</v>
      </c>
      <c r="R257" s="7">
        <v>87089400</v>
      </c>
      <c r="S257" s="7">
        <v>15</v>
      </c>
      <c r="T257" s="7" t="s">
        <v>181</v>
      </c>
      <c r="U257" s="7" t="s">
        <v>178</v>
      </c>
      <c r="V257" s="6">
        <f t="shared" si="41"/>
        <v>19330.333500000001</v>
      </c>
      <c r="W257" s="6">
        <f t="shared" si="42"/>
        <v>1933.0333500000002</v>
      </c>
      <c r="X257" s="6">
        <f t="shared" si="43"/>
        <v>21263.366850000002</v>
      </c>
      <c r="Y257" s="6">
        <f t="shared" si="44"/>
        <v>0.85053467400000005</v>
      </c>
      <c r="Z257" s="6">
        <f t="shared" si="45"/>
        <v>5.1547555999999997</v>
      </c>
      <c r="AA257" s="9">
        <f t="shared" si="46"/>
        <v>25000</v>
      </c>
      <c r="AB257" s="10">
        <v>22317</v>
      </c>
      <c r="AC257" s="11">
        <f t="shared" si="48"/>
        <v>18981.382319658002</v>
      </c>
      <c r="AD257" s="12">
        <f t="shared" si="47"/>
        <v>25000</v>
      </c>
      <c r="AE257" s="13">
        <f t="shared" si="50"/>
        <v>0</v>
      </c>
    </row>
    <row r="258" spans="1:31">
      <c r="A258" s="6">
        <v>7</v>
      </c>
      <c r="B258" s="6">
        <f t="shared" si="49"/>
        <v>36</v>
      </c>
      <c r="C258" s="6" t="str">
        <f t="shared" ref="C258:C321" si="51">E258&amp;G258&amp;L258&amp;M258&amp;P258</f>
        <v>651409900ASCREW, STD METRIC M6 HEXALOBULAR INTERNAL, T470876924513530000</v>
      </c>
      <c r="D258" s="6" t="s">
        <v>216</v>
      </c>
      <c r="E258" s="6" t="s">
        <v>168</v>
      </c>
      <c r="F258" s="6"/>
      <c r="G258" s="7" t="s">
        <v>146</v>
      </c>
      <c r="H258" s="7"/>
      <c r="I258" s="7"/>
      <c r="J258" s="7"/>
      <c r="K258" s="7"/>
      <c r="L258" s="7">
        <v>7087692</v>
      </c>
      <c r="M258" s="22">
        <v>45135</v>
      </c>
      <c r="N258" s="8" t="s">
        <v>189</v>
      </c>
      <c r="O258" s="8"/>
      <c r="P258" s="7">
        <v>30000</v>
      </c>
      <c r="Q258" s="7">
        <v>98086.47</v>
      </c>
      <c r="R258" s="7">
        <v>87089500</v>
      </c>
      <c r="S258" s="7">
        <v>15</v>
      </c>
      <c r="T258" s="7" t="s">
        <v>183</v>
      </c>
      <c r="U258" s="7" t="s">
        <v>178</v>
      </c>
      <c r="V258" s="6">
        <f t="shared" ref="V258:V321" si="52">Q258*S258%</f>
        <v>14712.970499999999</v>
      </c>
      <c r="W258" s="6">
        <f t="shared" ref="W258:W321" si="53">V258*0.1</f>
        <v>1471.2970500000001</v>
      </c>
      <c r="X258" s="6">
        <f t="shared" ref="X258:X321" si="54">V258+W258</f>
        <v>16184.26755</v>
      </c>
      <c r="Y258" s="6">
        <f t="shared" ref="Y258:Y321" si="55">X258/P258</f>
        <v>0.53947558500000004</v>
      </c>
      <c r="Z258" s="6">
        <f t="shared" ref="Z258:Z321" si="56">Q258/P258</f>
        <v>3.269549</v>
      </c>
      <c r="AA258" s="9">
        <f t="shared" ref="AA258:AA321" si="57">P258</f>
        <v>30000</v>
      </c>
      <c r="AB258" s="10">
        <v>13938</v>
      </c>
      <c r="AC258" s="11">
        <f t="shared" si="48"/>
        <v>7519.2107037300002</v>
      </c>
      <c r="AD258" s="12">
        <f t="shared" ref="AD258:AD321" si="58">SUMIF($C$2:$C$2284,C258,$AB$2:$AB$2284)</f>
        <v>30000</v>
      </c>
      <c r="AE258" s="13">
        <f t="shared" ref="AE258:AE289" si="59">AA258-AD258</f>
        <v>0</v>
      </c>
    </row>
    <row r="259" spans="1:31">
      <c r="A259" s="6">
        <v>7</v>
      </c>
      <c r="B259" s="6">
        <f t="shared" si="49"/>
        <v>37</v>
      </c>
      <c r="C259" s="6" t="str">
        <f t="shared" si="51"/>
        <v>608225700ASCREW,STD METRIIC HEXALOBULAR  M5 T25 12MM82282814502760000</v>
      </c>
      <c r="D259" s="6" t="s">
        <v>216</v>
      </c>
      <c r="E259" s="6" t="s">
        <v>169</v>
      </c>
      <c r="F259" s="6"/>
      <c r="G259" s="7" t="s">
        <v>147</v>
      </c>
      <c r="H259" s="7"/>
      <c r="I259" s="7"/>
      <c r="J259" s="7"/>
      <c r="K259" s="7"/>
      <c r="L259" s="7">
        <v>8228281</v>
      </c>
      <c r="M259" s="22">
        <v>45027</v>
      </c>
      <c r="N259" s="8" t="s">
        <v>180</v>
      </c>
      <c r="O259" s="8"/>
      <c r="P259" s="7">
        <v>60000</v>
      </c>
      <c r="Q259" s="7">
        <v>232591.54</v>
      </c>
      <c r="R259" s="7">
        <v>87082900</v>
      </c>
      <c r="S259" s="7">
        <v>15</v>
      </c>
      <c r="T259" s="7" t="s">
        <v>275</v>
      </c>
      <c r="U259" s="7" t="s">
        <v>178</v>
      </c>
      <c r="V259" s="6">
        <f t="shared" si="52"/>
        <v>34888.731</v>
      </c>
      <c r="W259" s="6">
        <f t="shared" si="53"/>
        <v>3488.8731000000002</v>
      </c>
      <c r="X259" s="6">
        <f t="shared" si="54"/>
        <v>38377.604099999997</v>
      </c>
      <c r="Y259" s="6">
        <f t="shared" si="55"/>
        <v>0.639626735</v>
      </c>
      <c r="Z259" s="6">
        <f t="shared" si="56"/>
        <v>3.8765256666666668</v>
      </c>
      <c r="AA259" s="9">
        <f t="shared" si="57"/>
        <v>60000</v>
      </c>
      <c r="AB259" s="10">
        <v>20100</v>
      </c>
      <c r="AC259" s="11">
        <f t="shared" ref="AC259:AC322" si="60">AB259*Y259</f>
        <v>12856.4973735</v>
      </c>
      <c r="AD259" s="12">
        <f t="shared" si="58"/>
        <v>59622</v>
      </c>
      <c r="AE259" s="13">
        <f t="shared" si="59"/>
        <v>378</v>
      </c>
    </row>
    <row r="260" spans="1:31">
      <c r="A260" s="6">
        <v>7</v>
      </c>
      <c r="B260" s="6">
        <f t="shared" si="49"/>
        <v>38</v>
      </c>
      <c r="C260" s="6" t="str">
        <f t="shared" si="51"/>
        <v>655931500AARMATURE, MONOBLOCK ASW4, HYUNDAI BC3-CUV7734291451776480</v>
      </c>
      <c r="D260" s="6" t="s">
        <v>216</v>
      </c>
      <c r="E260" s="6" t="s">
        <v>157</v>
      </c>
      <c r="F260" s="6"/>
      <c r="G260" s="7" t="s">
        <v>134</v>
      </c>
      <c r="H260" s="7"/>
      <c r="I260" s="7"/>
      <c r="J260" s="7"/>
      <c r="K260" s="7"/>
      <c r="L260" s="7">
        <v>7734291</v>
      </c>
      <c r="M260" s="22">
        <v>45177</v>
      </c>
      <c r="N260" s="8" t="e">
        <v>#N/A</v>
      </c>
      <c r="O260" s="8"/>
      <c r="P260" s="7">
        <v>6480</v>
      </c>
      <c r="Q260" s="7">
        <v>2679994.59</v>
      </c>
      <c r="R260" s="7" t="e">
        <v>#N/A</v>
      </c>
      <c r="S260" s="7">
        <v>15</v>
      </c>
      <c r="T260" s="7" t="e">
        <v>#N/A</v>
      </c>
      <c r="U260" s="7" t="e">
        <v>#N/A</v>
      </c>
      <c r="V260" s="6">
        <f t="shared" si="52"/>
        <v>401999.18849999999</v>
      </c>
      <c r="W260" s="6">
        <f t="shared" si="53"/>
        <v>40199.918850000002</v>
      </c>
      <c r="X260" s="6">
        <f t="shared" si="54"/>
        <v>442199.10735000001</v>
      </c>
      <c r="Y260" s="6">
        <f t="shared" si="55"/>
        <v>68.240602986111114</v>
      </c>
      <c r="Z260" s="6">
        <f t="shared" si="56"/>
        <v>413.579412037037</v>
      </c>
      <c r="AA260" s="9">
        <f t="shared" si="57"/>
        <v>6480</v>
      </c>
      <c r="AB260" s="10">
        <v>3161</v>
      </c>
      <c r="AC260" s="11">
        <f t="shared" si="60"/>
        <v>215708.54603909724</v>
      </c>
      <c r="AD260" s="12">
        <f t="shared" si="58"/>
        <v>6480</v>
      </c>
      <c r="AE260" s="13">
        <f t="shared" si="59"/>
        <v>0</v>
      </c>
    </row>
    <row r="261" spans="1:31">
      <c r="A261" s="6">
        <v>8</v>
      </c>
      <c r="B261" s="6">
        <v>1</v>
      </c>
      <c r="C261" s="6" t="str">
        <f t="shared" si="51"/>
        <v>630580800ALABEL, RAW MATERIAL, BLA K12 TPC BUCKLE5160585449362400000</v>
      </c>
      <c r="D261" s="6" t="s">
        <v>217</v>
      </c>
      <c r="E261" s="6" t="s">
        <v>71</v>
      </c>
      <c r="F261" s="6"/>
      <c r="G261" s="7" t="s">
        <v>31</v>
      </c>
      <c r="H261" s="7"/>
      <c r="I261" s="7"/>
      <c r="J261" s="7"/>
      <c r="K261" s="7"/>
      <c r="L261" s="7">
        <v>5160585</v>
      </c>
      <c r="M261" s="22">
        <v>44936</v>
      </c>
      <c r="N261" s="8" t="s">
        <v>196</v>
      </c>
      <c r="O261" s="8" t="s">
        <v>333</v>
      </c>
      <c r="P261" s="7">
        <v>2400000</v>
      </c>
      <c r="Q261" s="7">
        <v>86522.34</v>
      </c>
      <c r="R261" s="7">
        <v>87082900</v>
      </c>
      <c r="S261" s="7">
        <v>15</v>
      </c>
      <c r="T261" s="7" t="s">
        <v>265</v>
      </c>
      <c r="U261" s="7" t="s">
        <v>178</v>
      </c>
      <c r="V261" s="6">
        <f t="shared" si="52"/>
        <v>12978.350999999999</v>
      </c>
      <c r="W261" s="6">
        <f t="shared" si="53"/>
        <v>1297.8351</v>
      </c>
      <c r="X261" s="6">
        <f t="shared" si="54"/>
        <v>14276.186099999999</v>
      </c>
      <c r="Y261" s="6">
        <f t="shared" si="55"/>
        <v>5.9484108749999999E-3</v>
      </c>
      <c r="Z261" s="6">
        <f t="shared" si="56"/>
        <v>3.6050974999999999E-2</v>
      </c>
      <c r="AA261" s="9">
        <f t="shared" si="57"/>
        <v>2400000</v>
      </c>
      <c r="AB261" s="10">
        <v>23410</v>
      </c>
      <c r="AC261" s="11">
        <f t="shared" si="60"/>
        <v>139.25229858374999</v>
      </c>
      <c r="AD261" s="12">
        <f t="shared" si="58"/>
        <v>548546</v>
      </c>
      <c r="AE261" s="13">
        <f t="shared" si="59"/>
        <v>1851454</v>
      </c>
    </row>
    <row r="262" spans="1:31">
      <c r="A262" s="6">
        <v>8</v>
      </c>
      <c r="B262" s="6">
        <f t="shared" ref="B262:B295" si="61">B261+1</f>
        <v>2</v>
      </c>
      <c r="C262" s="6" t="str">
        <f t="shared" si="51"/>
        <v>634240200AHORN CONTACT, CU 521662145010720000</v>
      </c>
      <c r="D262" s="6" t="s">
        <v>217</v>
      </c>
      <c r="E262" s="6" t="s">
        <v>160</v>
      </c>
      <c r="F262" s="6"/>
      <c r="G262" s="7" t="s">
        <v>138</v>
      </c>
      <c r="H262" s="7"/>
      <c r="I262" s="7"/>
      <c r="J262" s="7"/>
      <c r="K262" s="7"/>
      <c r="L262" s="7">
        <v>5216621</v>
      </c>
      <c r="M262" s="22">
        <v>45010</v>
      </c>
      <c r="N262" s="8" t="s">
        <v>189</v>
      </c>
      <c r="O262" s="8"/>
      <c r="P262" s="7">
        <v>720000</v>
      </c>
      <c r="Q262" s="7">
        <v>803516.76</v>
      </c>
      <c r="R262" s="7">
        <v>87089900</v>
      </c>
      <c r="S262" s="7">
        <v>15</v>
      </c>
      <c r="T262" s="7" t="s">
        <v>258</v>
      </c>
      <c r="U262" s="7" t="s">
        <v>178</v>
      </c>
      <c r="V262" s="6">
        <f t="shared" si="52"/>
        <v>120527.514</v>
      </c>
      <c r="W262" s="6">
        <f t="shared" si="53"/>
        <v>12052.751400000001</v>
      </c>
      <c r="X262" s="6">
        <f t="shared" si="54"/>
        <v>132580.2654</v>
      </c>
      <c r="Y262" s="6">
        <f t="shared" si="55"/>
        <v>0.18413925750000001</v>
      </c>
      <c r="Z262" s="6">
        <f t="shared" si="56"/>
        <v>1.1159954999999999</v>
      </c>
      <c r="AA262" s="9">
        <f t="shared" si="57"/>
        <v>720000</v>
      </c>
      <c r="AB262" s="10">
        <v>93640</v>
      </c>
      <c r="AC262" s="11">
        <f t="shared" si="60"/>
        <v>17242.8000723</v>
      </c>
      <c r="AD262" s="12">
        <f t="shared" si="58"/>
        <v>707364</v>
      </c>
      <c r="AE262" s="13">
        <f t="shared" si="59"/>
        <v>12636</v>
      </c>
    </row>
    <row r="263" spans="1:31">
      <c r="A263" s="6">
        <v>8</v>
      </c>
      <c r="B263" s="6">
        <f t="shared" si="61"/>
        <v>3</v>
      </c>
      <c r="C263" s="6" t="str">
        <f t="shared" si="51"/>
        <v>644345600ASCREW, SELF-TAPPING, PLA PLASTIC, 3.0, CROSS35109404489490000</v>
      </c>
      <c r="D263" s="6" t="s">
        <v>217</v>
      </c>
      <c r="E263" s="6" t="s">
        <v>166</v>
      </c>
      <c r="F263" s="6"/>
      <c r="G263" s="7" t="s">
        <v>144</v>
      </c>
      <c r="H263" s="7"/>
      <c r="I263" s="7"/>
      <c r="J263" s="7"/>
      <c r="K263" s="7"/>
      <c r="L263" s="7">
        <v>3510940</v>
      </c>
      <c r="M263" s="22">
        <v>44894</v>
      </c>
      <c r="N263" s="8" t="s">
        <v>189</v>
      </c>
      <c r="O263" s="8"/>
      <c r="P263" s="7">
        <v>90000</v>
      </c>
      <c r="Q263" s="7">
        <v>68808.17</v>
      </c>
      <c r="R263" s="7">
        <v>87089500</v>
      </c>
      <c r="S263" s="7">
        <v>15</v>
      </c>
      <c r="T263" s="7" t="s">
        <v>183</v>
      </c>
      <c r="U263" s="7" t="s">
        <v>178</v>
      </c>
      <c r="V263" s="6">
        <f t="shared" si="52"/>
        <v>10321.225499999999</v>
      </c>
      <c r="W263" s="6">
        <f t="shared" si="53"/>
        <v>1032.1225499999998</v>
      </c>
      <c r="X263" s="6">
        <f t="shared" si="54"/>
        <v>11353.348049999999</v>
      </c>
      <c r="Y263" s="6">
        <f t="shared" si="55"/>
        <v>0.12614831166666665</v>
      </c>
      <c r="Z263" s="6">
        <f t="shared" si="56"/>
        <v>0.76453522222222225</v>
      </c>
      <c r="AA263" s="9">
        <f t="shared" si="57"/>
        <v>90000</v>
      </c>
      <c r="AB263" s="10">
        <v>46820</v>
      </c>
      <c r="AC263" s="11">
        <f t="shared" si="60"/>
        <v>5906.2639522333329</v>
      </c>
      <c r="AD263" s="12">
        <f t="shared" si="58"/>
        <v>90000</v>
      </c>
      <c r="AE263" s="13">
        <f t="shared" si="59"/>
        <v>0</v>
      </c>
    </row>
    <row r="264" spans="1:31" ht="30">
      <c r="A264" s="6">
        <v>8</v>
      </c>
      <c r="B264" s="6">
        <f t="shared" si="61"/>
        <v>4</v>
      </c>
      <c r="C264" s="6" t="str">
        <f t="shared" si="51"/>
        <v>655818900BACTUATOR VIBRATION MOTOR ASSY WITH BRACKET BC3 CU54784784502814400</v>
      </c>
      <c r="D264" s="6" t="s">
        <v>217</v>
      </c>
      <c r="E264" s="6" t="s">
        <v>156</v>
      </c>
      <c r="F264" s="6"/>
      <c r="G264" s="7" t="s">
        <v>133</v>
      </c>
      <c r="H264" s="7"/>
      <c r="I264" s="7"/>
      <c r="J264" s="7"/>
      <c r="K264" s="7"/>
      <c r="L264" s="7">
        <v>5478478</v>
      </c>
      <c r="M264" s="22">
        <v>45028</v>
      </c>
      <c r="N264" s="8" t="s">
        <v>185</v>
      </c>
      <c r="O264" s="8"/>
      <c r="P264" s="7">
        <v>14400</v>
      </c>
      <c r="Q264" s="7">
        <v>4743864.82</v>
      </c>
      <c r="R264" s="7">
        <v>85011019</v>
      </c>
      <c r="S264" s="7">
        <v>10</v>
      </c>
      <c r="T264" s="7" t="s">
        <v>282</v>
      </c>
      <c r="U264" s="7" t="s">
        <v>178</v>
      </c>
      <c r="V264" s="6">
        <f t="shared" si="52"/>
        <v>474386.48200000008</v>
      </c>
      <c r="W264" s="6">
        <f t="shared" si="53"/>
        <v>47438.648200000011</v>
      </c>
      <c r="X264" s="6">
        <f t="shared" si="54"/>
        <v>521825.13020000007</v>
      </c>
      <c r="Y264" s="6">
        <f t="shared" si="55"/>
        <v>36.237856263888894</v>
      </c>
      <c r="Z264" s="6">
        <f t="shared" si="56"/>
        <v>329.43505694444445</v>
      </c>
      <c r="AA264" s="9">
        <f t="shared" si="57"/>
        <v>14400</v>
      </c>
      <c r="AB264" s="10">
        <v>12572</v>
      </c>
      <c r="AC264" s="11">
        <f t="shared" si="60"/>
        <v>455582.32894961117</v>
      </c>
      <c r="AD264" s="12">
        <f t="shared" si="58"/>
        <v>14400</v>
      </c>
      <c r="AE264" s="13">
        <f t="shared" si="59"/>
        <v>0</v>
      </c>
    </row>
    <row r="265" spans="1:31">
      <c r="A265" s="6">
        <v>8</v>
      </c>
      <c r="B265" s="6">
        <f t="shared" si="61"/>
        <v>5</v>
      </c>
      <c r="C265" s="6" t="str">
        <f t="shared" si="51"/>
        <v>651015300BELEMENT, HEATER, HYBRID 5327495450175460</v>
      </c>
      <c r="D265" s="6" t="s">
        <v>217</v>
      </c>
      <c r="E265" s="6" t="s">
        <v>155</v>
      </c>
      <c r="F265" s="6"/>
      <c r="G265" s="7" t="s">
        <v>137</v>
      </c>
      <c r="H265" s="7"/>
      <c r="I265" s="7"/>
      <c r="J265" s="7"/>
      <c r="K265" s="7"/>
      <c r="L265" s="7">
        <v>5327495</v>
      </c>
      <c r="M265" s="22">
        <v>45017</v>
      </c>
      <c r="N265" s="8" t="s">
        <v>189</v>
      </c>
      <c r="O265" s="8"/>
      <c r="P265" s="7">
        <v>5460</v>
      </c>
      <c r="Q265" s="7">
        <v>3058262.67</v>
      </c>
      <c r="R265" s="7">
        <v>87089400</v>
      </c>
      <c r="S265" s="7">
        <v>15</v>
      </c>
      <c r="T265" s="7" t="s">
        <v>257</v>
      </c>
      <c r="U265" s="7" t="s">
        <v>178</v>
      </c>
      <c r="V265" s="6">
        <f t="shared" si="52"/>
        <v>458739.40049999999</v>
      </c>
      <c r="W265" s="6">
        <f t="shared" si="53"/>
        <v>45873.940050000005</v>
      </c>
      <c r="X265" s="6">
        <f t="shared" si="54"/>
        <v>504613.34054999996</v>
      </c>
      <c r="Y265" s="6">
        <f t="shared" si="55"/>
        <v>92.420025741758238</v>
      </c>
      <c r="Z265" s="6">
        <f t="shared" si="56"/>
        <v>560.12136813186817</v>
      </c>
      <c r="AA265" s="9">
        <f t="shared" si="57"/>
        <v>5460</v>
      </c>
      <c r="AB265" s="10">
        <v>5346</v>
      </c>
      <c r="AC265" s="11">
        <f t="shared" si="60"/>
        <v>494077.45761543955</v>
      </c>
      <c r="AD265" s="12">
        <f t="shared" si="58"/>
        <v>5460</v>
      </c>
      <c r="AE265" s="13">
        <f t="shared" si="59"/>
        <v>0</v>
      </c>
    </row>
    <row r="266" spans="1:31">
      <c r="A266" s="6">
        <v>8</v>
      </c>
      <c r="B266" s="6">
        <f t="shared" si="61"/>
        <v>6</v>
      </c>
      <c r="C266" s="6" t="str">
        <f t="shared" si="51"/>
        <v>652466500ALEATHER, HIDE TOP GRAIN, OBSIDIAN BLACK, NNB, BLA9811663447743845.63</v>
      </c>
      <c r="D266" s="6" t="s">
        <v>217</v>
      </c>
      <c r="E266" s="6" t="s">
        <v>163</v>
      </c>
      <c r="F266" s="6"/>
      <c r="G266" s="7" t="s">
        <v>141</v>
      </c>
      <c r="H266" s="7"/>
      <c r="I266" s="7"/>
      <c r="J266" s="7"/>
      <c r="K266" s="7"/>
      <c r="L266" s="7">
        <v>9811663</v>
      </c>
      <c r="M266" s="22">
        <v>44774</v>
      </c>
      <c r="N266" s="8" t="s">
        <v>283</v>
      </c>
      <c r="O266" s="8"/>
      <c r="P266" s="7">
        <v>3845.63</v>
      </c>
      <c r="Q266" s="7">
        <v>9928750.5700000003</v>
      </c>
      <c r="R266" s="7">
        <v>41071200</v>
      </c>
      <c r="S266" s="7">
        <v>10</v>
      </c>
      <c r="T266" s="7" t="s">
        <v>261</v>
      </c>
      <c r="U266" s="7" t="s">
        <v>178</v>
      </c>
      <c r="V266" s="6">
        <f t="shared" si="52"/>
        <v>992875.05700000003</v>
      </c>
      <c r="W266" s="6">
        <f t="shared" si="53"/>
        <v>99287.505700000009</v>
      </c>
      <c r="X266" s="6">
        <f t="shared" si="54"/>
        <v>1092162.5627000001</v>
      </c>
      <c r="Y266" s="6">
        <f t="shared" si="55"/>
        <v>284.0009472310129</v>
      </c>
      <c r="Z266" s="6">
        <f t="shared" si="56"/>
        <v>2581.8267930092079</v>
      </c>
      <c r="AA266" s="9">
        <f t="shared" si="57"/>
        <v>3845.63</v>
      </c>
      <c r="AB266" s="10">
        <v>1519.63</v>
      </c>
      <c r="AC266" s="11">
        <f t="shared" si="60"/>
        <v>431576.35944066418</v>
      </c>
      <c r="AD266" s="12">
        <f t="shared" si="58"/>
        <v>3845.63</v>
      </c>
      <c r="AE266" s="13">
        <f t="shared" si="59"/>
        <v>0</v>
      </c>
    </row>
    <row r="267" spans="1:31">
      <c r="A267" s="6">
        <v>8</v>
      </c>
      <c r="B267" s="6">
        <f t="shared" si="61"/>
        <v>7</v>
      </c>
      <c r="C267" s="6" t="str">
        <f t="shared" si="51"/>
        <v>639590100BSCREW SELF TAPPING INTERNAL T15, 15.0866860044694100000</v>
      </c>
      <c r="D267" s="6" t="s">
        <v>217</v>
      </c>
      <c r="E267" s="6" t="s">
        <v>165</v>
      </c>
      <c r="F267" s="6"/>
      <c r="G267" s="7" t="s">
        <v>143</v>
      </c>
      <c r="H267" s="7"/>
      <c r="I267" s="7"/>
      <c r="J267" s="7"/>
      <c r="K267" s="7"/>
      <c r="L267" s="7">
        <v>8668600</v>
      </c>
      <c r="M267" s="22">
        <v>44694</v>
      </c>
      <c r="N267" s="8" t="s">
        <v>180</v>
      </c>
      <c r="O267" s="8"/>
      <c r="P267" s="7">
        <v>100000</v>
      </c>
      <c r="Q267" s="7">
        <v>106341.41</v>
      </c>
      <c r="R267" s="7">
        <v>87089400</v>
      </c>
      <c r="S267" s="7">
        <v>15</v>
      </c>
      <c r="T267" s="7" t="s">
        <v>262</v>
      </c>
      <c r="U267" s="7" t="s">
        <v>178</v>
      </c>
      <c r="V267" s="6">
        <f t="shared" si="52"/>
        <v>15951.211499999999</v>
      </c>
      <c r="W267" s="6">
        <f t="shared" si="53"/>
        <v>1595.1211499999999</v>
      </c>
      <c r="X267" s="6">
        <f t="shared" si="54"/>
        <v>17546.33265</v>
      </c>
      <c r="Y267" s="6">
        <f t="shared" si="55"/>
        <v>0.17546332650000002</v>
      </c>
      <c r="Z267" s="6">
        <f t="shared" si="56"/>
        <v>1.0634141000000001</v>
      </c>
      <c r="AA267" s="9">
        <f t="shared" si="57"/>
        <v>100000</v>
      </c>
      <c r="AB267" s="10">
        <v>75186</v>
      </c>
      <c r="AC267" s="11">
        <f t="shared" si="60"/>
        <v>13192.385666229002</v>
      </c>
      <c r="AD267" s="12">
        <f t="shared" si="58"/>
        <v>100000</v>
      </c>
      <c r="AE267" s="13">
        <f t="shared" si="59"/>
        <v>0</v>
      </c>
    </row>
    <row r="268" spans="1:31">
      <c r="A268" s="6">
        <v>8</v>
      </c>
      <c r="B268" s="6">
        <f t="shared" si="61"/>
        <v>8</v>
      </c>
      <c r="C268" s="6" t="str">
        <f t="shared" si="51"/>
        <v>628408700ASCREW, STANDARD, METRIC, M5, HEXALOBULAR INTERNAL59394534505925000</v>
      </c>
      <c r="D268" s="6" t="s">
        <v>217</v>
      </c>
      <c r="E268" s="6" t="s">
        <v>167</v>
      </c>
      <c r="F268" s="6"/>
      <c r="G268" s="7" t="s">
        <v>145</v>
      </c>
      <c r="H268" s="7"/>
      <c r="I268" s="7"/>
      <c r="J268" s="7"/>
      <c r="K268" s="7"/>
      <c r="L268" s="7">
        <v>5939453</v>
      </c>
      <c r="M268" s="22">
        <v>45059</v>
      </c>
      <c r="N268" s="8" t="s">
        <v>180</v>
      </c>
      <c r="O268" s="8"/>
      <c r="P268" s="7">
        <v>25000</v>
      </c>
      <c r="Q268" s="7">
        <v>128868.89</v>
      </c>
      <c r="R268" s="7">
        <v>87089400</v>
      </c>
      <c r="S268" s="7">
        <v>15</v>
      </c>
      <c r="T268" s="7" t="s">
        <v>181</v>
      </c>
      <c r="U268" s="7" t="s">
        <v>178</v>
      </c>
      <c r="V268" s="6">
        <f t="shared" si="52"/>
        <v>19330.333500000001</v>
      </c>
      <c r="W268" s="6">
        <f t="shared" si="53"/>
        <v>1933.0333500000002</v>
      </c>
      <c r="X268" s="6">
        <f t="shared" si="54"/>
        <v>21263.366850000002</v>
      </c>
      <c r="Y268" s="6">
        <f t="shared" si="55"/>
        <v>0.85053467400000005</v>
      </c>
      <c r="Z268" s="6">
        <f t="shared" si="56"/>
        <v>5.1547555999999997</v>
      </c>
      <c r="AA268" s="9">
        <f t="shared" si="57"/>
        <v>25000</v>
      </c>
      <c r="AB268" s="10">
        <v>2683</v>
      </c>
      <c r="AC268" s="11">
        <f t="shared" si="60"/>
        <v>2281.9845303420002</v>
      </c>
      <c r="AD268" s="12">
        <f t="shared" si="58"/>
        <v>25000</v>
      </c>
      <c r="AE268" s="13">
        <f t="shared" si="59"/>
        <v>0</v>
      </c>
    </row>
    <row r="269" spans="1:31">
      <c r="A269" s="6">
        <v>8</v>
      </c>
      <c r="B269" s="6">
        <f t="shared" si="61"/>
        <v>9</v>
      </c>
      <c r="C269" s="6" t="str">
        <f t="shared" si="51"/>
        <v>651409900ASCREW, STD METRIC M6 HEXALOBULAR INTERNAL, T499777444478530000</v>
      </c>
      <c r="D269" s="6" t="s">
        <v>217</v>
      </c>
      <c r="E269" s="6" t="s">
        <v>168</v>
      </c>
      <c r="F269" s="6"/>
      <c r="G269" s="7" t="s">
        <v>146</v>
      </c>
      <c r="H269" s="7"/>
      <c r="I269" s="7"/>
      <c r="J269" s="7"/>
      <c r="K269" s="7"/>
      <c r="L269" s="7">
        <v>9977744</v>
      </c>
      <c r="M269" s="22">
        <v>44785</v>
      </c>
      <c r="N269" s="8" t="s">
        <v>182</v>
      </c>
      <c r="O269" s="8"/>
      <c r="P269" s="7">
        <v>30000</v>
      </c>
      <c r="Q269" s="7">
        <v>99837.24</v>
      </c>
      <c r="R269" s="7">
        <v>87089500</v>
      </c>
      <c r="S269" s="7">
        <v>15</v>
      </c>
      <c r="T269" s="7" t="s">
        <v>183</v>
      </c>
      <c r="U269" s="7" t="s">
        <v>178</v>
      </c>
      <c r="V269" s="6">
        <f t="shared" si="52"/>
        <v>14975.585999999999</v>
      </c>
      <c r="W269" s="6">
        <f t="shared" si="53"/>
        <v>1497.5586000000001</v>
      </c>
      <c r="X269" s="6">
        <f t="shared" si="54"/>
        <v>16473.1446</v>
      </c>
      <c r="Y269" s="6">
        <f t="shared" si="55"/>
        <v>0.54910481999999994</v>
      </c>
      <c r="Z269" s="6">
        <f t="shared" si="56"/>
        <v>3.3279080000000003</v>
      </c>
      <c r="AA269" s="9">
        <f t="shared" si="57"/>
        <v>30000</v>
      </c>
      <c r="AB269" s="10">
        <v>16062</v>
      </c>
      <c r="AC269" s="11">
        <f t="shared" si="60"/>
        <v>8819.7216188399998</v>
      </c>
      <c r="AD269" s="12">
        <f t="shared" si="58"/>
        <v>28166</v>
      </c>
      <c r="AE269" s="13">
        <f t="shared" si="59"/>
        <v>1834</v>
      </c>
    </row>
    <row r="270" spans="1:31">
      <c r="A270" s="6">
        <v>8</v>
      </c>
      <c r="B270" s="6">
        <f t="shared" si="61"/>
        <v>10</v>
      </c>
      <c r="C270" s="6" t="str">
        <f t="shared" si="51"/>
        <v>608225700ASCREW,STD METRIIC HEXALOBULAR  M5 T25 12MM82282814502760000</v>
      </c>
      <c r="D270" s="6" t="s">
        <v>217</v>
      </c>
      <c r="E270" s="6" t="s">
        <v>169</v>
      </c>
      <c r="F270" s="6"/>
      <c r="G270" s="7" t="s">
        <v>147</v>
      </c>
      <c r="H270" s="7"/>
      <c r="I270" s="7"/>
      <c r="J270" s="7"/>
      <c r="K270" s="7"/>
      <c r="L270" s="7">
        <v>8228281</v>
      </c>
      <c r="M270" s="22">
        <v>45027</v>
      </c>
      <c r="N270" s="8" t="s">
        <v>180</v>
      </c>
      <c r="O270" s="8"/>
      <c r="P270" s="7">
        <v>60000</v>
      </c>
      <c r="Q270" s="7">
        <v>232591.54</v>
      </c>
      <c r="R270" s="7">
        <v>87082900</v>
      </c>
      <c r="S270" s="7">
        <v>15</v>
      </c>
      <c r="T270" s="7" t="s">
        <v>275</v>
      </c>
      <c r="U270" s="7" t="s">
        <v>178</v>
      </c>
      <c r="V270" s="6">
        <f t="shared" si="52"/>
        <v>34888.731</v>
      </c>
      <c r="W270" s="6">
        <f t="shared" si="53"/>
        <v>3488.8731000000002</v>
      </c>
      <c r="X270" s="6">
        <f t="shared" si="54"/>
        <v>38377.604099999997</v>
      </c>
      <c r="Y270" s="6">
        <f t="shared" si="55"/>
        <v>0.639626735</v>
      </c>
      <c r="Z270" s="6">
        <f t="shared" si="56"/>
        <v>3.8765256666666668</v>
      </c>
      <c r="AA270" s="9">
        <f t="shared" si="57"/>
        <v>60000</v>
      </c>
      <c r="AB270" s="10">
        <v>9900</v>
      </c>
      <c r="AC270" s="11">
        <f t="shared" si="60"/>
        <v>6332.3046764999999</v>
      </c>
      <c r="AD270" s="12">
        <f t="shared" si="58"/>
        <v>59622</v>
      </c>
      <c r="AE270" s="13">
        <f t="shared" si="59"/>
        <v>378</v>
      </c>
    </row>
    <row r="271" spans="1:31">
      <c r="A271" s="6">
        <v>8</v>
      </c>
      <c r="B271" s="6">
        <f t="shared" si="61"/>
        <v>11</v>
      </c>
      <c r="C271" s="6" t="str">
        <f t="shared" si="51"/>
        <v>655931500AARMATURE, MONOBLOCK ASW4, HYUNDAI BC3-CUV7734291451776480</v>
      </c>
      <c r="D271" s="6" t="s">
        <v>217</v>
      </c>
      <c r="E271" s="6" t="s">
        <v>157</v>
      </c>
      <c r="F271" s="6"/>
      <c r="G271" s="7" t="s">
        <v>134</v>
      </c>
      <c r="H271" s="7"/>
      <c r="I271" s="7"/>
      <c r="J271" s="7"/>
      <c r="K271" s="7"/>
      <c r="L271" s="7">
        <v>7734291</v>
      </c>
      <c r="M271" s="22">
        <v>45177</v>
      </c>
      <c r="N271" s="8" t="e">
        <v>#N/A</v>
      </c>
      <c r="O271" s="8"/>
      <c r="P271" s="7">
        <v>6480</v>
      </c>
      <c r="Q271" s="7">
        <v>2679994.59</v>
      </c>
      <c r="R271" s="7" t="e">
        <v>#N/A</v>
      </c>
      <c r="S271" s="7">
        <v>15</v>
      </c>
      <c r="T271" s="7" t="e">
        <v>#N/A</v>
      </c>
      <c r="U271" s="7" t="e">
        <v>#N/A</v>
      </c>
      <c r="V271" s="6">
        <f t="shared" si="52"/>
        <v>401999.18849999999</v>
      </c>
      <c r="W271" s="6">
        <f t="shared" si="53"/>
        <v>40199.918850000002</v>
      </c>
      <c r="X271" s="6">
        <f t="shared" si="54"/>
        <v>442199.10735000001</v>
      </c>
      <c r="Y271" s="6">
        <f t="shared" si="55"/>
        <v>68.240602986111114</v>
      </c>
      <c r="Z271" s="6">
        <f t="shared" si="56"/>
        <v>413.579412037037</v>
      </c>
      <c r="AA271" s="9">
        <f t="shared" si="57"/>
        <v>6480</v>
      </c>
      <c r="AB271" s="10">
        <v>3319</v>
      </c>
      <c r="AC271" s="11">
        <f t="shared" si="60"/>
        <v>226490.56131090279</v>
      </c>
      <c r="AD271" s="12">
        <f t="shared" si="58"/>
        <v>6480</v>
      </c>
      <c r="AE271" s="13">
        <f t="shared" si="59"/>
        <v>0</v>
      </c>
    </row>
    <row r="272" spans="1:31" ht="30">
      <c r="A272" s="6">
        <v>8</v>
      </c>
      <c r="B272" s="6">
        <f t="shared" si="61"/>
        <v>12</v>
      </c>
      <c r="C272" s="6" t="str">
        <f t="shared" si="51"/>
        <v>651015100AARMATURE, MONOBLOCK, ASW4, HYUNDAI BC35094366450021620</v>
      </c>
      <c r="D272" s="6" t="s">
        <v>217</v>
      </c>
      <c r="E272" s="6" t="s">
        <v>158</v>
      </c>
      <c r="F272" s="6"/>
      <c r="G272" s="7" t="s">
        <v>135</v>
      </c>
      <c r="H272" s="7"/>
      <c r="I272" s="7"/>
      <c r="J272" s="7"/>
      <c r="K272" s="7"/>
      <c r="L272" s="7">
        <v>5094366</v>
      </c>
      <c r="M272" s="22">
        <v>45002</v>
      </c>
      <c r="N272" s="8" t="s">
        <v>185</v>
      </c>
      <c r="O272" s="8"/>
      <c r="P272" s="7">
        <v>1620</v>
      </c>
      <c r="Q272" s="7">
        <v>779579.77</v>
      </c>
      <c r="R272" s="7">
        <v>87089400</v>
      </c>
      <c r="S272" s="7">
        <v>15</v>
      </c>
      <c r="T272" s="7" t="s">
        <v>273</v>
      </c>
      <c r="U272" s="7" t="s">
        <v>178</v>
      </c>
      <c r="V272" s="6">
        <f t="shared" si="52"/>
        <v>116936.96550000001</v>
      </c>
      <c r="W272" s="6">
        <f t="shared" si="53"/>
        <v>11693.696550000001</v>
      </c>
      <c r="X272" s="6">
        <f t="shared" si="54"/>
        <v>128630.66205000001</v>
      </c>
      <c r="Y272" s="6">
        <f t="shared" si="55"/>
        <v>79.401643240740754</v>
      </c>
      <c r="Z272" s="6">
        <f t="shared" si="56"/>
        <v>481.22208024691361</v>
      </c>
      <c r="AA272" s="9">
        <f t="shared" si="57"/>
        <v>1620</v>
      </c>
      <c r="AB272" s="10">
        <v>1615</v>
      </c>
      <c r="AC272" s="11">
        <f t="shared" si="60"/>
        <v>128233.65383379631</v>
      </c>
      <c r="AD272" s="12">
        <f t="shared" si="58"/>
        <v>1615</v>
      </c>
      <c r="AE272" s="13">
        <f t="shared" si="59"/>
        <v>5</v>
      </c>
    </row>
    <row r="273" spans="1:31">
      <c r="A273" s="6">
        <v>8</v>
      </c>
      <c r="B273" s="6">
        <f t="shared" si="61"/>
        <v>13</v>
      </c>
      <c r="C273" s="6" t="str">
        <f t="shared" si="51"/>
        <v>656011400ALEATHER, HIDE TOP GRAIN, GREY, FOSSIL GREY, T9Y,941830645287540.69</v>
      </c>
      <c r="D273" s="6" t="s">
        <v>217</v>
      </c>
      <c r="E273" s="6" t="s">
        <v>162</v>
      </c>
      <c r="F273" s="6"/>
      <c r="G273" s="7" t="s">
        <v>140</v>
      </c>
      <c r="H273" s="7"/>
      <c r="I273" s="7"/>
      <c r="J273" s="7"/>
      <c r="K273" s="7"/>
      <c r="L273" s="7">
        <v>9418306</v>
      </c>
      <c r="M273" s="22">
        <v>45287</v>
      </c>
      <c r="N273" s="8" t="s">
        <v>190</v>
      </c>
      <c r="O273" s="8"/>
      <c r="P273" s="7">
        <v>540.69000000000005</v>
      </c>
      <c r="Q273" s="7">
        <v>1239991.82</v>
      </c>
      <c r="R273" s="7">
        <v>41071200</v>
      </c>
      <c r="S273" s="7">
        <v>0</v>
      </c>
      <c r="T273" s="7" t="s">
        <v>260</v>
      </c>
      <c r="U273" s="7" t="s">
        <v>178</v>
      </c>
      <c r="V273" s="6">
        <f t="shared" si="52"/>
        <v>0</v>
      </c>
      <c r="W273" s="6">
        <f t="shared" si="53"/>
        <v>0</v>
      </c>
      <c r="X273" s="6">
        <f t="shared" si="54"/>
        <v>0</v>
      </c>
      <c r="Y273" s="6">
        <f t="shared" si="55"/>
        <v>0</v>
      </c>
      <c r="Z273" s="6">
        <f t="shared" si="56"/>
        <v>2293.3507555160995</v>
      </c>
      <c r="AA273" s="9">
        <f t="shared" si="57"/>
        <v>540.69000000000005</v>
      </c>
      <c r="AB273" s="10">
        <v>192.713684</v>
      </c>
      <c r="AC273" s="11">
        <f t="shared" si="60"/>
        <v>0</v>
      </c>
      <c r="AD273" s="12">
        <f t="shared" si="58"/>
        <v>528.58033899999998</v>
      </c>
      <c r="AE273" s="13">
        <f t="shared" si="59"/>
        <v>12.109661000000074</v>
      </c>
    </row>
    <row r="274" spans="1:31">
      <c r="A274" s="6">
        <v>8</v>
      </c>
      <c r="B274" s="6">
        <f t="shared" si="61"/>
        <v>14</v>
      </c>
      <c r="C274" s="6" t="str">
        <f t="shared" si="51"/>
        <v>651166400CSPRING, COIL, UPPER 55801274503510000</v>
      </c>
      <c r="D274" s="6" t="s">
        <v>217</v>
      </c>
      <c r="E274" s="6" t="s">
        <v>170</v>
      </c>
      <c r="F274" s="6"/>
      <c r="G274" s="7" t="s">
        <v>148</v>
      </c>
      <c r="H274" s="7"/>
      <c r="I274" s="7"/>
      <c r="J274" s="7"/>
      <c r="K274" s="7"/>
      <c r="L274" s="7">
        <v>5580127</v>
      </c>
      <c r="M274" s="22">
        <v>45035</v>
      </c>
      <c r="N274" s="8" t="s">
        <v>180</v>
      </c>
      <c r="O274" s="8"/>
      <c r="P274" s="7">
        <v>10000</v>
      </c>
      <c r="Q274" s="7">
        <v>20085.18</v>
      </c>
      <c r="R274" s="7">
        <v>87089900</v>
      </c>
      <c r="S274" s="7">
        <v>15</v>
      </c>
      <c r="T274" s="7" t="s">
        <v>280</v>
      </c>
      <c r="U274" s="7" t="s">
        <v>178</v>
      </c>
      <c r="V274" s="6">
        <f t="shared" si="52"/>
        <v>3012.777</v>
      </c>
      <c r="W274" s="6">
        <f t="shared" si="53"/>
        <v>301.27770000000004</v>
      </c>
      <c r="X274" s="6">
        <f t="shared" si="54"/>
        <v>3314.0547000000001</v>
      </c>
      <c r="Y274" s="6">
        <f t="shared" si="55"/>
        <v>0.33140547000000004</v>
      </c>
      <c r="Z274" s="6">
        <f t="shared" si="56"/>
        <v>2.008518</v>
      </c>
      <c r="AA274" s="9">
        <f t="shared" si="57"/>
        <v>10000</v>
      </c>
      <c r="AB274" s="10">
        <v>7683</v>
      </c>
      <c r="AC274" s="11">
        <f t="shared" si="60"/>
        <v>2546.1882260100001</v>
      </c>
      <c r="AD274" s="12">
        <f t="shared" si="58"/>
        <v>10000</v>
      </c>
      <c r="AE274" s="13">
        <f t="shared" si="59"/>
        <v>0</v>
      </c>
    </row>
    <row r="275" spans="1:31">
      <c r="A275" s="6">
        <v>8</v>
      </c>
      <c r="B275" s="6">
        <f t="shared" si="61"/>
        <v>15</v>
      </c>
      <c r="C275" s="6" t="str">
        <f t="shared" si="51"/>
        <v>651409900ASCREW, STD METRIC M6 HEXALOBULAR INTERNAL, T470876924513530000</v>
      </c>
      <c r="D275" s="6" t="s">
        <v>217</v>
      </c>
      <c r="E275" s="6" t="s">
        <v>168</v>
      </c>
      <c r="F275" s="6"/>
      <c r="G275" s="7" t="s">
        <v>146</v>
      </c>
      <c r="H275" s="7"/>
      <c r="I275" s="7"/>
      <c r="J275" s="7"/>
      <c r="K275" s="7"/>
      <c r="L275" s="7">
        <v>7087692</v>
      </c>
      <c r="M275" s="22">
        <v>45135</v>
      </c>
      <c r="N275" s="8" t="s">
        <v>189</v>
      </c>
      <c r="O275" s="8"/>
      <c r="P275" s="7">
        <v>30000</v>
      </c>
      <c r="Q275" s="7">
        <v>98086.47</v>
      </c>
      <c r="R275" s="7">
        <v>87089500</v>
      </c>
      <c r="S275" s="7">
        <v>15</v>
      </c>
      <c r="T275" s="7" t="s">
        <v>183</v>
      </c>
      <c r="U275" s="7" t="s">
        <v>178</v>
      </c>
      <c r="V275" s="6">
        <f t="shared" si="52"/>
        <v>14712.970499999999</v>
      </c>
      <c r="W275" s="6">
        <f t="shared" si="53"/>
        <v>1471.2970500000001</v>
      </c>
      <c r="X275" s="6">
        <f t="shared" si="54"/>
        <v>16184.26755</v>
      </c>
      <c r="Y275" s="6">
        <f t="shared" si="55"/>
        <v>0.53947558500000004</v>
      </c>
      <c r="Z275" s="6">
        <f t="shared" si="56"/>
        <v>3.269549</v>
      </c>
      <c r="AA275" s="9">
        <f t="shared" si="57"/>
        <v>30000</v>
      </c>
      <c r="AB275" s="10">
        <v>0</v>
      </c>
      <c r="AC275" s="11">
        <f t="shared" si="60"/>
        <v>0</v>
      </c>
      <c r="AD275" s="12">
        <f t="shared" si="58"/>
        <v>30000</v>
      </c>
      <c r="AE275" s="13">
        <f t="shared" si="59"/>
        <v>0</v>
      </c>
    </row>
    <row r="276" spans="1:31">
      <c r="A276" s="6">
        <v>8</v>
      </c>
      <c r="B276" s="6">
        <f t="shared" si="61"/>
        <v>16</v>
      </c>
      <c r="C276" s="6" t="str">
        <f t="shared" si="51"/>
        <v>655818900BACTUATOR VIBRATION MOTOR ASSY WITH BRACKET BC3 CU6090664450709600</v>
      </c>
      <c r="D276" s="6" t="s">
        <v>217</v>
      </c>
      <c r="E276" s="6" t="s">
        <v>156</v>
      </c>
      <c r="F276" s="6"/>
      <c r="G276" s="7" t="s">
        <v>133</v>
      </c>
      <c r="H276" s="7"/>
      <c r="I276" s="7"/>
      <c r="J276" s="7"/>
      <c r="K276" s="7"/>
      <c r="L276" s="7">
        <v>6090664</v>
      </c>
      <c r="M276" s="22">
        <v>45070</v>
      </c>
      <c r="N276" s="8" t="s">
        <v>189</v>
      </c>
      <c r="O276" s="8"/>
      <c r="P276" s="7">
        <v>9600</v>
      </c>
      <c r="Q276" s="7">
        <v>3185708</v>
      </c>
      <c r="R276" s="7">
        <v>85011019</v>
      </c>
      <c r="S276" s="7">
        <v>10</v>
      </c>
      <c r="T276" s="7" t="s">
        <v>254</v>
      </c>
      <c r="U276" s="7" t="s">
        <v>178</v>
      </c>
      <c r="V276" s="6">
        <f t="shared" si="52"/>
        <v>318570.80000000005</v>
      </c>
      <c r="W276" s="6">
        <f t="shared" si="53"/>
        <v>31857.080000000005</v>
      </c>
      <c r="X276" s="6">
        <f t="shared" si="54"/>
        <v>350427.88000000006</v>
      </c>
      <c r="Y276" s="6">
        <f t="shared" si="55"/>
        <v>36.502904166666674</v>
      </c>
      <c r="Z276" s="6">
        <f t="shared" si="56"/>
        <v>331.84458333333333</v>
      </c>
      <c r="AA276" s="9">
        <f t="shared" si="57"/>
        <v>9600</v>
      </c>
      <c r="AB276" s="10">
        <v>7404</v>
      </c>
      <c r="AC276" s="11">
        <f t="shared" si="60"/>
        <v>270267.50245000003</v>
      </c>
      <c r="AD276" s="12">
        <f t="shared" si="58"/>
        <v>9600</v>
      </c>
      <c r="AE276" s="13">
        <f t="shared" si="59"/>
        <v>0</v>
      </c>
    </row>
    <row r="277" spans="1:31">
      <c r="A277" s="6">
        <v>8</v>
      </c>
      <c r="B277" s="6">
        <f t="shared" si="61"/>
        <v>17</v>
      </c>
      <c r="C277" s="6" t="str">
        <f t="shared" si="51"/>
        <v>655931500AARMATURE, MONOBLOCK ASW4, HYUNDAI BC3-CUV6613675451051296</v>
      </c>
      <c r="D277" s="6" t="s">
        <v>217</v>
      </c>
      <c r="E277" s="6" t="s">
        <v>157</v>
      </c>
      <c r="F277" s="6"/>
      <c r="G277" s="7" t="s">
        <v>134</v>
      </c>
      <c r="H277" s="7"/>
      <c r="I277" s="7"/>
      <c r="J277" s="7"/>
      <c r="K277" s="7"/>
      <c r="L277" s="7">
        <v>6613675</v>
      </c>
      <c r="M277" s="22">
        <v>45105</v>
      </c>
      <c r="N277" s="8" t="s">
        <v>184</v>
      </c>
      <c r="O277" s="8"/>
      <c r="P277" s="7">
        <v>1296</v>
      </c>
      <c r="Q277" s="7">
        <v>546487.85</v>
      </c>
      <c r="R277" s="7">
        <v>87089400</v>
      </c>
      <c r="S277" s="7">
        <v>15</v>
      </c>
      <c r="T277" s="7" t="s">
        <v>186</v>
      </c>
      <c r="U277" s="7" t="s">
        <v>178</v>
      </c>
      <c r="V277" s="6">
        <f t="shared" si="52"/>
        <v>81973.177499999991</v>
      </c>
      <c r="W277" s="6">
        <f t="shared" si="53"/>
        <v>8197.3177500000002</v>
      </c>
      <c r="X277" s="6">
        <f t="shared" si="54"/>
        <v>90170.495249999993</v>
      </c>
      <c r="Y277" s="6">
        <f t="shared" si="55"/>
        <v>69.575999421296288</v>
      </c>
      <c r="Z277" s="6">
        <f t="shared" si="56"/>
        <v>421.67272376543207</v>
      </c>
      <c r="AA277" s="9">
        <f t="shared" si="57"/>
        <v>1296</v>
      </c>
      <c r="AB277" s="10">
        <v>1296</v>
      </c>
      <c r="AC277" s="11">
        <f t="shared" si="60"/>
        <v>90170.495249999993</v>
      </c>
      <c r="AD277" s="12">
        <f t="shared" si="58"/>
        <v>1296</v>
      </c>
      <c r="AE277" s="13">
        <f t="shared" si="59"/>
        <v>0</v>
      </c>
    </row>
    <row r="278" spans="1:31">
      <c r="A278" s="6">
        <v>8</v>
      </c>
      <c r="B278" s="6">
        <f t="shared" si="61"/>
        <v>18</v>
      </c>
      <c r="C278" s="6" t="str">
        <f t="shared" si="51"/>
        <v>655931500AARMATURE, MONOBLOCK ASW4, HYUNDAI BC3-CUV3951506449243267</v>
      </c>
      <c r="D278" s="6" t="s">
        <v>217</v>
      </c>
      <c r="E278" s="6" t="s">
        <v>157</v>
      </c>
      <c r="F278" s="6"/>
      <c r="G278" s="7" t="s">
        <v>134</v>
      </c>
      <c r="H278" s="7"/>
      <c r="I278" s="7"/>
      <c r="J278" s="7"/>
      <c r="K278" s="7"/>
      <c r="L278" s="7">
        <v>3951506</v>
      </c>
      <c r="M278" s="22">
        <v>44924</v>
      </c>
      <c r="N278" s="8" t="s">
        <v>184</v>
      </c>
      <c r="O278" s="8"/>
      <c r="P278" s="7">
        <v>3267</v>
      </c>
      <c r="Q278" s="7">
        <v>1684507.73</v>
      </c>
      <c r="R278" s="7">
        <v>87089400</v>
      </c>
      <c r="S278" s="7">
        <v>15</v>
      </c>
      <c r="T278" s="7" t="s">
        <v>186</v>
      </c>
      <c r="U278" s="7" t="s">
        <v>178</v>
      </c>
      <c r="V278" s="6">
        <f t="shared" si="52"/>
        <v>252676.15949999998</v>
      </c>
      <c r="W278" s="6">
        <f t="shared" si="53"/>
        <v>25267.615949999999</v>
      </c>
      <c r="X278" s="6">
        <f t="shared" si="54"/>
        <v>277943.77544999996</v>
      </c>
      <c r="Y278" s="6">
        <f t="shared" si="55"/>
        <v>85.076147979797966</v>
      </c>
      <c r="Z278" s="6">
        <f t="shared" si="56"/>
        <v>515.61301805938172</v>
      </c>
      <c r="AA278" s="9">
        <f t="shared" si="57"/>
        <v>3267</v>
      </c>
      <c r="AB278" s="10">
        <v>3267</v>
      </c>
      <c r="AC278" s="11">
        <f t="shared" si="60"/>
        <v>277943.77544999996</v>
      </c>
      <c r="AD278" s="12">
        <f t="shared" si="58"/>
        <v>3267</v>
      </c>
      <c r="AE278" s="13">
        <f t="shared" si="59"/>
        <v>0</v>
      </c>
    </row>
    <row r="279" spans="1:31">
      <c r="A279" s="6">
        <v>8</v>
      </c>
      <c r="B279" s="6">
        <f t="shared" si="61"/>
        <v>19</v>
      </c>
      <c r="C279" s="6" t="str">
        <f t="shared" si="51"/>
        <v>655931500AARMATURE, MONOBLOCK ASW4, HYUNDAI BC3-CUV8065638451989720</v>
      </c>
      <c r="D279" s="6" t="s">
        <v>217</v>
      </c>
      <c r="E279" s="6" t="s">
        <v>157</v>
      </c>
      <c r="F279" s="6"/>
      <c r="G279" s="7" t="s">
        <v>134</v>
      </c>
      <c r="H279" s="7"/>
      <c r="I279" s="7"/>
      <c r="J279" s="7"/>
      <c r="K279" s="7"/>
      <c r="L279" s="7">
        <v>8065638</v>
      </c>
      <c r="M279" s="22">
        <v>45198</v>
      </c>
      <c r="N279" s="8" t="e">
        <v>#N/A</v>
      </c>
      <c r="O279" s="8"/>
      <c r="P279" s="7">
        <v>9720</v>
      </c>
      <c r="Q279" s="7">
        <v>4075704.98</v>
      </c>
      <c r="R279" s="7" t="e">
        <v>#N/A</v>
      </c>
      <c r="S279" s="7">
        <v>15</v>
      </c>
      <c r="T279" s="7" t="e">
        <v>#N/A</v>
      </c>
      <c r="U279" s="7" t="e">
        <v>#N/A</v>
      </c>
      <c r="V279" s="6">
        <f t="shared" si="52"/>
        <v>611355.74699999997</v>
      </c>
      <c r="W279" s="6">
        <f t="shared" si="53"/>
        <v>61135.574699999997</v>
      </c>
      <c r="X279" s="6">
        <f t="shared" si="54"/>
        <v>672491.32169999997</v>
      </c>
      <c r="Y279" s="6">
        <f t="shared" si="55"/>
        <v>69.186349969135804</v>
      </c>
      <c r="Z279" s="6">
        <f t="shared" si="56"/>
        <v>419.3112119341564</v>
      </c>
      <c r="AA279" s="9">
        <f t="shared" si="57"/>
        <v>9720</v>
      </c>
      <c r="AB279" s="10">
        <v>1269</v>
      </c>
      <c r="AC279" s="11">
        <f t="shared" si="60"/>
        <v>87797.478110833341</v>
      </c>
      <c r="AD279" s="12">
        <f t="shared" si="58"/>
        <v>9720</v>
      </c>
      <c r="AE279" s="13">
        <f t="shared" si="59"/>
        <v>0</v>
      </c>
    </row>
    <row r="280" spans="1:31">
      <c r="A280" s="6">
        <v>8</v>
      </c>
      <c r="B280" s="6">
        <f t="shared" si="61"/>
        <v>20</v>
      </c>
      <c r="C280" s="6" t="str">
        <f t="shared" si="51"/>
        <v>655931500AARMATURE, MONOBLOCK ASW4, HYUNDAI BC3-CUV3353058448834860</v>
      </c>
      <c r="D280" s="6" t="s">
        <v>217</v>
      </c>
      <c r="E280" s="6" t="s">
        <v>157</v>
      </c>
      <c r="F280" s="6"/>
      <c r="G280" s="7" t="s">
        <v>134</v>
      </c>
      <c r="H280" s="7"/>
      <c r="I280" s="7"/>
      <c r="J280" s="7"/>
      <c r="K280" s="7"/>
      <c r="L280" s="7">
        <v>3353058</v>
      </c>
      <c r="M280" s="22">
        <v>44883</v>
      </c>
      <c r="N280" s="8" t="s">
        <v>184</v>
      </c>
      <c r="O280" s="8"/>
      <c r="P280" s="7">
        <v>4860</v>
      </c>
      <c r="Q280" s="7">
        <v>2360668.77</v>
      </c>
      <c r="R280" s="7">
        <v>87089400</v>
      </c>
      <c r="S280" s="7">
        <v>15</v>
      </c>
      <c r="T280" s="7" t="s">
        <v>186</v>
      </c>
      <c r="U280" s="7" t="s">
        <v>178</v>
      </c>
      <c r="V280" s="6">
        <f t="shared" si="52"/>
        <v>354100.31549999997</v>
      </c>
      <c r="W280" s="6">
        <f t="shared" si="53"/>
        <v>35410.03155</v>
      </c>
      <c r="X280" s="6">
        <f t="shared" si="54"/>
        <v>389510.34704999998</v>
      </c>
      <c r="Y280" s="6">
        <f t="shared" si="55"/>
        <v>80.146161944444444</v>
      </c>
      <c r="Z280" s="6">
        <f t="shared" si="56"/>
        <v>485.73431481481481</v>
      </c>
      <c r="AA280" s="9">
        <f t="shared" si="57"/>
        <v>4860</v>
      </c>
      <c r="AB280" s="10">
        <v>3240</v>
      </c>
      <c r="AC280" s="11">
        <f t="shared" si="60"/>
        <v>259673.56469999999</v>
      </c>
      <c r="AD280" s="12">
        <f t="shared" si="58"/>
        <v>4860</v>
      </c>
      <c r="AE280" s="13">
        <f t="shared" si="59"/>
        <v>0</v>
      </c>
    </row>
    <row r="281" spans="1:31" ht="30">
      <c r="A281" s="6">
        <v>8</v>
      </c>
      <c r="B281" s="6">
        <f t="shared" si="61"/>
        <v>21</v>
      </c>
      <c r="C281" s="6" t="str">
        <f t="shared" si="51"/>
        <v>655931500AARMATURE, MONOBLOCK ASW4, HYUNDAI BC3-CUV6692387451102592</v>
      </c>
      <c r="D281" s="6" t="s">
        <v>217</v>
      </c>
      <c r="E281" s="6" t="s">
        <v>157</v>
      </c>
      <c r="F281" s="6"/>
      <c r="G281" s="7" t="s">
        <v>134</v>
      </c>
      <c r="H281" s="7"/>
      <c r="I281" s="7"/>
      <c r="J281" s="7"/>
      <c r="K281" s="7"/>
      <c r="L281" s="7">
        <v>6692387</v>
      </c>
      <c r="M281" s="22">
        <v>45110</v>
      </c>
      <c r="N281" s="8" t="s">
        <v>185</v>
      </c>
      <c r="O281" s="8"/>
      <c r="P281" s="7">
        <v>2592</v>
      </c>
      <c r="Q281" s="7">
        <v>1065907.97</v>
      </c>
      <c r="R281" s="7">
        <v>87089400</v>
      </c>
      <c r="S281" s="7">
        <v>15</v>
      </c>
      <c r="T281" s="7" t="s">
        <v>284</v>
      </c>
      <c r="U281" s="7" t="s">
        <v>178</v>
      </c>
      <c r="V281" s="6">
        <f t="shared" si="52"/>
        <v>159886.1955</v>
      </c>
      <c r="W281" s="6">
        <f t="shared" si="53"/>
        <v>15988.619550000001</v>
      </c>
      <c r="X281" s="6">
        <f t="shared" si="54"/>
        <v>175874.81505</v>
      </c>
      <c r="Y281" s="6">
        <f t="shared" si="55"/>
        <v>67.852937905092588</v>
      </c>
      <c r="Z281" s="6">
        <f t="shared" si="56"/>
        <v>411.22992669753086</v>
      </c>
      <c r="AA281" s="9">
        <f t="shared" si="57"/>
        <v>2592</v>
      </c>
      <c r="AB281" s="10">
        <v>2592</v>
      </c>
      <c r="AC281" s="11">
        <f t="shared" si="60"/>
        <v>175874.81504999998</v>
      </c>
      <c r="AD281" s="12">
        <f t="shared" si="58"/>
        <v>2592</v>
      </c>
      <c r="AE281" s="13">
        <f t="shared" si="59"/>
        <v>0</v>
      </c>
    </row>
    <row r="282" spans="1:31" ht="30">
      <c r="A282" s="6">
        <v>8</v>
      </c>
      <c r="B282" s="6">
        <f t="shared" si="61"/>
        <v>22</v>
      </c>
      <c r="C282" s="6" t="str">
        <f t="shared" si="51"/>
        <v>655931500AARMATURE, MONOBLOCK ASW4, HYUNDAI BC3-CUV6692123451103240</v>
      </c>
      <c r="D282" s="6" t="s">
        <v>217</v>
      </c>
      <c r="E282" s="6" t="s">
        <v>157</v>
      </c>
      <c r="F282" s="6"/>
      <c r="G282" s="7" t="s">
        <v>134</v>
      </c>
      <c r="H282" s="7"/>
      <c r="I282" s="7"/>
      <c r="J282" s="7"/>
      <c r="K282" s="7"/>
      <c r="L282" s="7">
        <v>6692123</v>
      </c>
      <c r="M282" s="22">
        <v>45110</v>
      </c>
      <c r="N282" s="8" t="s">
        <v>185</v>
      </c>
      <c r="O282" s="8"/>
      <c r="P282" s="7">
        <v>3240</v>
      </c>
      <c r="Q282" s="7">
        <v>1371592.76</v>
      </c>
      <c r="R282" s="7">
        <v>87089400</v>
      </c>
      <c r="S282" s="7">
        <v>15</v>
      </c>
      <c r="T282" s="7" t="s">
        <v>284</v>
      </c>
      <c r="U282" s="7" t="s">
        <v>178</v>
      </c>
      <c r="V282" s="6">
        <f t="shared" si="52"/>
        <v>205738.91399999999</v>
      </c>
      <c r="W282" s="6">
        <f t="shared" si="53"/>
        <v>20573.8914</v>
      </c>
      <c r="X282" s="6">
        <f t="shared" si="54"/>
        <v>226312.80539999998</v>
      </c>
      <c r="Y282" s="6">
        <f t="shared" si="55"/>
        <v>69.849631296296295</v>
      </c>
      <c r="Z282" s="6">
        <f t="shared" si="56"/>
        <v>423.3310987654321</v>
      </c>
      <c r="AA282" s="9">
        <f t="shared" si="57"/>
        <v>3240</v>
      </c>
      <c r="AB282" s="10">
        <v>2897</v>
      </c>
      <c r="AC282" s="11">
        <f t="shared" si="60"/>
        <v>202354.38186537038</v>
      </c>
      <c r="AD282" s="12">
        <f t="shared" si="58"/>
        <v>3240</v>
      </c>
      <c r="AE282" s="13">
        <f t="shared" si="59"/>
        <v>0</v>
      </c>
    </row>
    <row r="283" spans="1:31">
      <c r="A283" s="6">
        <v>8</v>
      </c>
      <c r="B283" s="6">
        <f t="shared" si="61"/>
        <v>23</v>
      </c>
      <c r="C283" s="6" t="str">
        <f t="shared" si="51"/>
        <v>655931500AARMATURE, MONOBLOCK ASW4, HYUNDAI BC3-CUV6540356451002268</v>
      </c>
      <c r="D283" s="6" t="s">
        <v>217</v>
      </c>
      <c r="E283" s="6" t="s">
        <v>157</v>
      </c>
      <c r="F283" s="6"/>
      <c r="G283" s="7" t="s">
        <v>134</v>
      </c>
      <c r="H283" s="7"/>
      <c r="I283" s="7"/>
      <c r="J283" s="7"/>
      <c r="K283" s="7"/>
      <c r="L283" s="7">
        <v>6540356</v>
      </c>
      <c r="M283" s="22">
        <v>45100</v>
      </c>
      <c r="N283" s="8" t="s">
        <v>184</v>
      </c>
      <c r="O283" s="8"/>
      <c r="P283" s="7">
        <v>2268</v>
      </c>
      <c r="Q283" s="7">
        <v>972426.62</v>
      </c>
      <c r="R283" s="7">
        <v>87089400</v>
      </c>
      <c r="S283" s="7">
        <v>15</v>
      </c>
      <c r="T283" s="7" t="s">
        <v>186</v>
      </c>
      <c r="U283" s="7" t="s">
        <v>178</v>
      </c>
      <c r="V283" s="6">
        <f t="shared" si="52"/>
        <v>145863.99299999999</v>
      </c>
      <c r="W283" s="6">
        <f t="shared" si="53"/>
        <v>14586.399299999999</v>
      </c>
      <c r="X283" s="6">
        <f t="shared" si="54"/>
        <v>160450.39229999998</v>
      </c>
      <c r="Y283" s="6">
        <f t="shared" si="55"/>
        <v>70.745322883597879</v>
      </c>
      <c r="Z283" s="6">
        <f t="shared" si="56"/>
        <v>428.75953262786595</v>
      </c>
      <c r="AA283" s="9">
        <f t="shared" si="57"/>
        <v>2268</v>
      </c>
      <c r="AB283" s="10">
        <v>0</v>
      </c>
      <c r="AC283" s="11">
        <f t="shared" si="60"/>
        <v>0</v>
      </c>
      <c r="AD283" s="12">
        <f t="shared" si="58"/>
        <v>2268</v>
      </c>
      <c r="AE283" s="13">
        <f t="shared" si="59"/>
        <v>0</v>
      </c>
    </row>
    <row r="284" spans="1:31" ht="30">
      <c r="A284" s="6">
        <v>8</v>
      </c>
      <c r="B284" s="6">
        <f t="shared" si="61"/>
        <v>24</v>
      </c>
      <c r="C284" s="6" t="str">
        <f t="shared" si="51"/>
        <v>651015300BELEMENT, HEATER, HYBRID 2961309448545600</v>
      </c>
      <c r="D284" s="6" t="s">
        <v>217</v>
      </c>
      <c r="E284" s="6" t="s">
        <v>155</v>
      </c>
      <c r="F284" s="6"/>
      <c r="G284" s="7" t="s">
        <v>137</v>
      </c>
      <c r="H284" s="7"/>
      <c r="I284" s="7"/>
      <c r="J284" s="7"/>
      <c r="K284" s="7"/>
      <c r="L284" s="7">
        <v>2961309</v>
      </c>
      <c r="M284" s="22">
        <v>44854</v>
      </c>
      <c r="N284" s="8" t="s">
        <v>185</v>
      </c>
      <c r="O284" s="8"/>
      <c r="P284" s="7">
        <v>5600</v>
      </c>
      <c r="Q284" s="7">
        <v>3088881.26</v>
      </c>
      <c r="R284" s="7">
        <v>87089400</v>
      </c>
      <c r="S284" s="7">
        <v>15</v>
      </c>
      <c r="T284" s="7" t="s">
        <v>187</v>
      </c>
      <c r="U284" s="7" t="s">
        <v>178</v>
      </c>
      <c r="V284" s="6">
        <f t="shared" si="52"/>
        <v>463332.18899999995</v>
      </c>
      <c r="W284" s="6">
        <f t="shared" si="53"/>
        <v>46333.2189</v>
      </c>
      <c r="X284" s="6">
        <f t="shared" si="54"/>
        <v>509665.40789999993</v>
      </c>
      <c r="Y284" s="6">
        <f t="shared" si="55"/>
        <v>91.011679982142851</v>
      </c>
      <c r="Z284" s="6">
        <f t="shared" si="56"/>
        <v>551.58593928571429</v>
      </c>
      <c r="AA284" s="9">
        <f t="shared" si="57"/>
        <v>5600</v>
      </c>
      <c r="AB284" s="10">
        <v>433</v>
      </c>
      <c r="AC284" s="11">
        <f t="shared" si="60"/>
        <v>39408.057432267851</v>
      </c>
      <c r="AD284" s="12">
        <f t="shared" si="58"/>
        <v>5600</v>
      </c>
      <c r="AE284" s="13">
        <f t="shared" si="59"/>
        <v>0</v>
      </c>
    </row>
    <row r="285" spans="1:31">
      <c r="A285" s="6">
        <v>8</v>
      </c>
      <c r="B285" s="6">
        <f t="shared" si="61"/>
        <v>25</v>
      </c>
      <c r="C285" s="6" t="str">
        <f t="shared" si="51"/>
        <v>652466500ALEATHER, HIDE TOP GRAIN, OBSIDIAN BLACK, NNB, BLA9432319447483453.83</v>
      </c>
      <c r="D285" s="6" t="s">
        <v>217</v>
      </c>
      <c r="E285" s="6" t="s">
        <v>163</v>
      </c>
      <c r="F285" s="6"/>
      <c r="G285" s="7" t="s">
        <v>141</v>
      </c>
      <c r="H285" s="7"/>
      <c r="I285" s="7"/>
      <c r="J285" s="7"/>
      <c r="K285" s="7"/>
      <c r="L285" s="7">
        <v>9432319</v>
      </c>
      <c r="M285" s="22">
        <v>44748</v>
      </c>
      <c r="N285" s="8" t="s">
        <v>283</v>
      </c>
      <c r="O285" s="8"/>
      <c r="P285" s="7">
        <v>3453.83</v>
      </c>
      <c r="Q285" s="7">
        <v>8725262.8699999992</v>
      </c>
      <c r="R285" s="7">
        <v>41071200</v>
      </c>
      <c r="S285" s="7">
        <v>10</v>
      </c>
      <c r="T285" s="7" t="s">
        <v>261</v>
      </c>
      <c r="U285" s="7" t="s">
        <v>178</v>
      </c>
      <c r="V285" s="6">
        <f t="shared" si="52"/>
        <v>872526.28700000001</v>
      </c>
      <c r="W285" s="6">
        <f t="shared" si="53"/>
        <v>87252.628700000001</v>
      </c>
      <c r="X285" s="6">
        <f t="shared" si="54"/>
        <v>959778.91570000001</v>
      </c>
      <c r="Y285" s="6">
        <f t="shared" si="55"/>
        <v>277.88829088287497</v>
      </c>
      <c r="Z285" s="6">
        <f t="shared" si="56"/>
        <v>2526.2571898443175</v>
      </c>
      <c r="AA285" s="9">
        <f t="shared" si="57"/>
        <v>3453.83</v>
      </c>
      <c r="AB285" s="10">
        <v>3453.83</v>
      </c>
      <c r="AC285" s="11">
        <f t="shared" si="60"/>
        <v>959778.91570000001</v>
      </c>
      <c r="AD285" s="12">
        <f t="shared" si="58"/>
        <v>3453.83</v>
      </c>
      <c r="AE285" s="13">
        <f t="shared" si="59"/>
        <v>0</v>
      </c>
    </row>
    <row r="286" spans="1:31">
      <c r="A286" s="6">
        <v>8</v>
      </c>
      <c r="B286" s="6">
        <f t="shared" si="61"/>
        <v>26</v>
      </c>
      <c r="C286" s="6" t="str">
        <f t="shared" si="51"/>
        <v>652466500ALEATHER, HIDE TOP GRAIN, OBSIDIAN BLACK, NNB, BLA9646611447633220.2</v>
      </c>
      <c r="D286" s="6" t="s">
        <v>217</v>
      </c>
      <c r="E286" s="6" t="s">
        <v>163</v>
      </c>
      <c r="F286" s="6"/>
      <c r="G286" s="7" t="s">
        <v>141</v>
      </c>
      <c r="H286" s="7"/>
      <c r="I286" s="7"/>
      <c r="J286" s="7"/>
      <c r="K286" s="7"/>
      <c r="L286" s="7">
        <v>9646611</v>
      </c>
      <c r="M286" s="22">
        <v>44763</v>
      </c>
      <c r="N286" s="8" t="s">
        <v>283</v>
      </c>
      <c r="O286" s="8"/>
      <c r="P286" s="7">
        <v>3220.2</v>
      </c>
      <c r="Q286" s="7">
        <v>8262099.9900000002</v>
      </c>
      <c r="R286" s="7">
        <v>41071200</v>
      </c>
      <c r="S286" s="7">
        <v>10</v>
      </c>
      <c r="T286" s="7" t="s">
        <v>261</v>
      </c>
      <c r="U286" s="7" t="s">
        <v>178</v>
      </c>
      <c r="V286" s="6">
        <f t="shared" si="52"/>
        <v>826209.99900000007</v>
      </c>
      <c r="W286" s="6">
        <f t="shared" si="53"/>
        <v>82620.99990000001</v>
      </c>
      <c r="X286" s="6">
        <f t="shared" si="54"/>
        <v>908830.99890000012</v>
      </c>
      <c r="Y286" s="6">
        <f t="shared" si="55"/>
        <v>282.22812213527118</v>
      </c>
      <c r="Z286" s="6">
        <f t="shared" si="56"/>
        <v>2565.7102012297373</v>
      </c>
      <c r="AA286" s="9">
        <f t="shared" si="57"/>
        <v>3220.2</v>
      </c>
      <c r="AB286" s="10">
        <v>378.47</v>
      </c>
      <c r="AC286" s="11">
        <f t="shared" si="60"/>
        <v>106814.87738453608</v>
      </c>
      <c r="AD286" s="12">
        <f t="shared" si="58"/>
        <v>3219.7238479999996</v>
      </c>
      <c r="AE286" s="13">
        <f t="shared" si="59"/>
        <v>0.47615200000018376</v>
      </c>
    </row>
    <row r="287" spans="1:31">
      <c r="A287" s="6">
        <v>8</v>
      </c>
      <c r="B287" s="6">
        <f t="shared" si="61"/>
        <v>27</v>
      </c>
      <c r="C287" s="6" t="str">
        <f t="shared" si="51"/>
        <v>639590100BSCREW SELF TAPPING INTERNAL T15, 15.01061244940120000</v>
      </c>
      <c r="D287" s="6" t="s">
        <v>217</v>
      </c>
      <c r="E287" s="6" t="s">
        <v>165</v>
      </c>
      <c r="F287" s="6"/>
      <c r="G287" s="7" t="s">
        <v>143</v>
      </c>
      <c r="H287" s="7"/>
      <c r="I287" s="7"/>
      <c r="J287" s="7"/>
      <c r="K287" s="7"/>
      <c r="L287" s="7">
        <v>10612</v>
      </c>
      <c r="M287" s="22">
        <v>44940</v>
      </c>
      <c r="N287" s="8" t="e">
        <v>#N/A</v>
      </c>
      <c r="O287" s="8"/>
      <c r="P287" s="7">
        <v>120000</v>
      </c>
      <c r="Q287" s="7">
        <v>171172.36</v>
      </c>
      <c r="R287" s="7" t="e">
        <v>#N/A</v>
      </c>
      <c r="S287" s="7">
        <v>15</v>
      </c>
      <c r="T287" s="7" t="e">
        <v>#N/A</v>
      </c>
      <c r="U287" s="7" t="e">
        <v>#N/A</v>
      </c>
      <c r="V287" s="6">
        <f t="shared" si="52"/>
        <v>25675.853999999996</v>
      </c>
      <c r="W287" s="6">
        <f t="shared" si="53"/>
        <v>2567.5853999999999</v>
      </c>
      <c r="X287" s="6">
        <f t="shared" si="54"/>
        <v>28243.439399999996</v>
      </c>
      <c r="Y287" s="6">
        <f t="shared" si="55"/>
        <v>0.23536199499999996</v>
      </c>
      <c r="Z287" s="6">
        <f t="shared" si="56"/>
        <v>1.4264363333333332</v>
      </c>
      <c r="AA287" s="9">
        <f t="shared" si="57"/>
        <v>120000</v>
      </c>
      <c r="AB287" s="10">
        <v>80474</v>
      </c>
      <c r="AC287" s="11">
        <f t="shared" si="60"/>
        <v>18940.521185629997</v>
      </c>
      <c r="AD287" s="12">
        <f t="shared" si="58"/>
        <v>119999.73</v>
      </c>
      <c r="AE287" s="13">
        <f t="shared" si="59"/>
        <v>0.27000000000407454</v>
      </c>
    </row>
    <row r="288" spans="1:31">
      <c r="A288" s="6">
        <v>8</v>
      </c>
      <c r="B288" s="6">
        <f t="shared" si="61"/>
        <v>28</v>
      </c>
      <c r="C288" s="6" t="str">
        <f t="shared" si="51"/>
        <v>628408700ASCREW, STANDARD, METRIC, M5, HEXALOBULAR INTERNAL64945734509760000</v>
      </c>
      <c r="D288" s="6" t="s">
        <v>217</v>
      </c>
      <c r="E288" s="6" t="s">
        <v>167</v>
      </c>
      <c r="F288" s="6"/>
      <c r="G288" s="7" t="s">
        <v>145</v>
      </c>
      <c r="H288" s="7"/>
      <c r="I288" s="7"/>
      <c r="J288" s="7"/>
      <c r="K288" s="7"/>
      <c r="L288" s="7">
        <v>6494573</v>
      </c>
      <c r="M288" s="22">
        <v>45097</v>
      </c>
      <c r="N288" s="8" t="s">
        <v>189</v>
      </c>
      <c r="O288" s="8"/>
      <c r="P288" s="7">
        <v>60000</v>
      </c>
      <c r="Q288" s="7">
        <v>303997.38</v>
      </c>
      <c r="R288" s="7">
        <v>87089900</v>
      </c>
      <c r="S288" s="7">
        <v>15</v>
      </c>
      <c r="T288" s="7" t="s">
        <v>285</v>
      </c>
      <c r="U288" s="7" t="s">
        <v>178</v>
      </c>
      <c r="V288" s="6">
        <f t="shared" si="52"/>
        <v>45599.606999999996</v>
      </c>
      <c r="W288" s="6">
        <f t="shared" si="53"/>
        <v>4559.9606999999996</v>
      </c>
      <c r="X288" s="6">
        <f t="shared" si="54"/>
        <v>50159.5677</v>
      </c>
      <c r="Y288" s="6">
        <f t="shared" si="55"/>
        <v>0.83599279500000001</v>
      </c>
      <c r="Z288" s="6">
        <f t="shared" si="56"/>
        <v>5.0666229999999999</v>
      </c>
      <c r="AA288" s="9">
        <f t="shared" si="57"/>
        <v>60000</v>
      </c>
      <c r="AB288" s="10">
        <v>60000</v>
      </c>
      <c r="AC288" s="11">
        <f t="shared" si="60"/>
        <v>50159.5677</v>
      </c>
      <c r="AD288" s="12">
        <f t="shared" si="58"/>
        <v>60000</v>
      </c>
      <c r="AE288" s="13">
        <f t="shared" si="59"/>
        <v>0</v>
      </c>
    </row>
    <row r="289" spans="1:31">
      <c r="A289" s="6">
        <v>8</v>
      </c>
      <c r="B289" s="6">
        <f t="shared" si="61"/>
        <v>29</v>
      </c>
      <c r="C289" s="6" t="str">
        <f t="shared" si="51"/>
        <v>628408700ASCREW, STANDARD, METRIC, M5, HEXALOBULAR INTERNAL59607764506125000</v>
      </c>
      <c r="D289" s="6" t="s">
        <v>217</v>
      </c>
      <c r="E289" s="6" t="s">
        <v>167</v>
      </c>
      <c r="F289" s="6"/>
      <c r="G289" s="7" t="s">
        <v>145</v>
      </c>
      <c r="H289" s="7"/>
      <c r="I289" s="7"/>
      <c r="J289" s="7"/>
      <c r="K289" s="7"/>
      <c r="L289" s="7">
        <v>5960776</v>
      </c>
      <c r="M289" s="22">
        <v>45061</v>
      </c>
      <c r="N289" s="8" t="s">
        <v>180</v>
      </c>
      <c r="O289" s="8"/>
      <c r="P289" s="7">
        <v>25000</v>
      </c>
      <c r="Q289" s="7">
        <v>128868.89</v>
      </c>
      <c r="R289" s="7">
        <v>87089400</v>
      </c>
      <c r="S289" s="7">
        <v>15</v>
      </c>
      <c r="T289" s="7" t="s">
        <v>286</v>
      </c>
      <c r="U289" s="7" t="s">
        <v>178</v>
      </c>
      <c r="V289" s="6">
        <f t="shared" si="52"/>
        <v>19330.333500000001</v>
      </c>
      <c r="W289" s="6">
        <f t="shared" si="53"/>
        <v>1933.0333500000002</v>
      </c>
      <c r="X289" s="6">
        <f t="shared" si="54"/>
        <v>21263.366850000002</v>
      </c>
      <c r="Y289" s="6">
        <f t="shared" si="55"/>
        <v>0.85053467400000005</v>
      </c>
      <c r="Z289" s="6">
        <f t="shared" si="56"/>
        <v>5.1547555999999997</v>
      </c>
      <c r="AA289" s="9">
        <f t="shared" si="57"/>
        <v>25000</v>
      </c>
      <c r="AB289" s="10">
        <v>7547</v>
      </c>
      <c r="AC289" s="11">
        <f t="shared" si="60"/>
        <v>6418.9851846780002</v>
      </c>
      <c r="AD289" s="12">
        <f t="shared" si="58"/>
        <v>25000</v>
      </c>
      <c r="AE289" s="13">
        <f t="shared" si="59"/>
        <v>0</v>
      </c>
    </row>
    <row r="290" spans="1:31">
      <c r="A290" s="6">
        <v>8</v>
      </c>
      <c r="B290" s="6">
        <f t="shared" si="61"/>
        <v>30</v>
      </c>
      <c r="C290" s="6" t="str">
        <f t="shared" si="51"/>
        <v>651409900ASCREW, STD METRIC M6 HEXALOBULAR INTERNAL, T489522644525730000</v>
      </c>
      <c r="D290" s="6" t="s">
        <v>217</v>
      </c>
      <c r="E290" s="6" t="s">
        <v>168</v>
      </c>
      <c r="F290" s="6"/>
      <c r="G290" s="7" t="s">
        <v>146</v>
      </c>
      <c r="H290" s="7"/>
      <c r="I290" s="7"/>
      <c r="J290" s="7"/>
      <c r="K290" s="7"/>
      <c r="L290" s="7">
        <v>8952264</v>
      </c>
      <c r="M290" s="22">
        <v>45257</v>
      </c>
      <c r="N290" s="8" t="e">
        <v>#N/A</v>
      </c>
      <c r="O290" s="8"/>
      <c r="P290" s="7">
        <v>30000</v>
      </c>
      <c r="Q290" s="7">
        <v>99350.31</v>
      </c>
      <c r="R290" s="7" t="e">
        <v>#N/A</v>
      </c>
      <c r="S290" s="7">
        <v>15</v>
      </c>
      <c r="T290" s="7" t="e">
        <v>#N/A</v>
      </c>
      <c r="U290" s="7" t="e">
        <v>#N/A</v>
      </c>
      <c r="V290" s="6">
        <f t="shared" si="52"/>
        <v>14902.546499999999</v>
      </c>
      <c r="W290" s="6">
        <f t="shared" si="53"/>
        <v>1490.2546499999999</v>
      </c>
      <c r="X290" s="6">
        <f t="shared" si="54"/>
        <v>16392.801149999999</v>
      </c>
      <c r="Y290" s="6">
        <f t="shared" si="55"/>
        <v>0.54642670500000001</v>
      </c>
      <c r="Z290" s="6">
        <f t="shared" si="56"/>
        <v>3.311677</v>
      </c>
      <c r="AA290" s="9">
        <f t="shared" si="57"/>
        <v>30000</v>
      </c>
      <c r="AB290" s="10">
        <v>9324</v>
      </c>
      <c r="AC290" s="11">
        <f t="shared" si="60"/>
        <v>5094.8825974199999</v>
      </c>
      <c r="AD290" s="12">
        <f t="shared" si="58"/>
        <v>30000</v>
      </c>
      <c r="AE290" s="13">
        <f t="shared" ref="AE290:AE316" si="62">AA290-AD290</f>
        <v>0</v>
      </c>
    </row>
    <row r="291" spans="1:31">
      <c r="A291" s="6">
        <v>8</v>
      </c>
      <c r="B291" s="6">
        <f t="shared" si="61"/>
        <v>31</v>
      </c>
      <c r="C291" s="6" t="str">
        <f t="shared" si="51"/>
        <v>608225700ASCREW,STD METRIIC HEXALOBULAR  M5 T25 12MM31545254486980000</v>
      </c>
      <c r="D291" s="6" t="s">
        <v>217</v>
      </c>
      <c r="E291" s="6" t="s">
        <v>169</v>
      </c>
      <c r="F291" s="6"/>
      <c r="G291" s="7" t="s">
        <v>147</v>
      </c>
      <c r="H291" s="7"/>
      <c r="I291" s="7"/>
      <c r="J291" s="7"/>
      <c r="K291" s="7"/>
      <c r="L291" s="7">
        <v>3154525</v>
      </c>
      <c r="M291" s="22">
        <v>44869</v>
      </c>
      <c r="N291" s="8" t="s">
        <v>189</v>
      </c>
      <c r="O291" s="8"/>
      <c r="P291" s="7">
        <v>80000</v>
      </c>
      <c r="Q291" s="7">
        <v>224502.69</v>
      </c>
      <c r="R291" s="7">
        <v>87089400</v>
      </c>
      <c r="S291" s="7">
        <v>15</v>
      </c>
      <c r="T291" s="7" t="s">
        <v>287</v>
      </c>
      <c r="U291" s="7" t="s">
        <v>178</v>
      </c>
      <c r="V291" s="6">
        <f t="shared" si="52"/>
        <v>33675.4035</v>
      </c>
      <c r="W291" s="6">
        <f t="shared" si="53"/>
        <v>3367.5403500000002</v>
      </c>
      <c r="X291" s="6">
        <f t="shared" si="54"/>
        <v>37042.943850000003</v>
      </c>
      <c r="Y291" s="6">
        <f t="shared" si="55"/>
        <v>0.46303679812500004</v>
      </c>
      <c r="Z291" s="6">
        <f t="shared" si="56"/>
        <v>2.8062836249999998</v>
      </c>
      <c r="AA291" s="9">
        <f t="shared" si="57"/>
        <v>80000</v>
      </c>
      <c r="AB291" s="10">
        <v>30052</v>
      </c>
      <c r="AC291" s="11">
        <f t="shared" si="60"/>
        <v>13915.181857252501</v>
      </c>
      <c r="AD291" s="12">
        <f t="shared" si="58"/>
        <v>80000</v>
      </c>
      <c r="AE291" s="13">
        <f t="shared" si="62"/>
        <v>0</v>
      </c>
    </row>
    <row r="292" spans="1:31">
      <c r="A292" s="6">
        <v>8</v>
      </c>
      <c r="B292" s="6">
        <f t="shared" si="61"/>
        <v>32</v>
      </c>
      <c r="C292" s="6" t="str">
        <f t="shared" si="51"/>
        <v>651166400CSPRING, COIL, UPPER 70381224513255000</v>
      </c>
      <c r="D292" s="6" t="s">
        <v>217</v>
      </c>
      <c r="E292" s="6" t="s">
        <v>170</v>
      </c>
      <c r="F292" s="6"/>
      <c r="G292" s="7" t="s">
        <v>148</v>
      </c>
      <c r="H292" s="7"/>
      <c r="I292" s="7"/>
      <c r="J292" s="7"/>
      <c r="K292" s="7"/>
      <c r="L292" s="7">
        <v>7038122</v>
      </c>
      <c r="M292" s="22">
        <v>45132</v>
      </c>
      <c r="N292" s="8" t="s">
        <v>189</v>
      </c>
      <c r="O292" s="8"/>
      <c r="P292" s="7">
        <v>55000</v>
      </c>
      <c r="Q292" s="7">
        <v>100044.99</v>
      </c>
      <c r="R292" s="7">
        <v>87089500</v>
      </c>
      <c r="S292" s="7">
        <v>15</v>
      </c>
      <c r="T292" s="7" t="s">
        <v>288</v>
      </c>
      <c r="U292" s="7" t="s">
        <v>178</v>
      </c>
      <c r="V292" s="6">
        <f t="shared" si="52"/>
        <v>15006.7485</v>
      </c>
      <c r="W292" s="6">
        <f t="shared" si="53"/>
        <v>1500.6748500000001</v>
      </c>
      <c r="X292" s="6">
        <f t="shared" si="54"/>
        <v>16507.423350000001</v>
      </c>
      <c r="Y292" s="6">
        <f t="shared" si="55"/>
        <v>0.30013497</v>
      </c>
      <c r="Z292" s="6">
        <f t="shared" si="56"/>
        <v>1.8189998181818183</v>
      </c>
      <c r="AA292" s="9">
        <f t="shared" si="57"/>
        <v>55000</v>
      </c>
      <c r="AB292" s="10">
        <v>55000</v>
      </c>
      <c r="AC292" s="11">
        <f t="shared" si="60"/>
        <v>16507.423350000001</v>
      </c>
      <c r="AD292" s="12">
        <f t="shared" si="58"/>
        <v>55000</v>
      </c>
      <c r="AE292" s="13">
        <f t="shared" si="62"/>
        <v>0</v>
      </c>
    </row>
    <row r="293" spans="1:31">
      <c r="A293" s="6">
        <v>8</v>
      </c>
      <c r="B293" s="6">
        <f t="shared" si="61"/>
        <v>33</v>
      </c>
      <c r="C293" s="6" t="str">
        <f t="shared" si="51"/>
        <v>651166400CSPRING, COIL, UPPER 73271424515055000</v>
      </c>
      <c r="D293" s="6" t="s">
        <v>217</v>
      </c>
      <c r="E293" s="6" t="s">
        <v>170</v>
      </c>
      <c r="F293" s="6"/>
      <c r="G293" s="7" t="s">
        <v>148</v>
      </c>
      <c r="H293" s="7"/>
      <c r="I293" s="7"/>
      <c r="J293" s="7"/>
      <c r="K293" s="7"/>
      <c r="L293" s="7">
        <v>7327142</v>
      </c>
      <c r="M293" s="22">
        <v>45150</v>
      </c>
      <c r="N293" s="8" t="s">
        <v>189</v>
      </c>
      <c r="O293" s="8"/>
      <c r="P293" s="7">
        <v>55000</v>
      </c>
      <c r="Q293" s="7">
        <v>100568.15</v>
      </c>
      <c r="R293" s="7">
        <v>87089500</v>
      </c>
      <c r="S293" s="7">
        <v>15</v>
      </c>
      <c r="T293" s="7" t="s">
        <v>288</v>
      </c>
      <c r="U293" s="7" t="s">
        <v>178</v>
      </c>
      <c r="V293" s="6">
        <f t="shared" si="52"/>
        <v>15085.222499999998</v>
      </c>
      <c r="W293" s="6">
        <f t="shared" si="53"/>
        <v>1508.52225</v>
      </c>
      <c r="X293" s="6">
        <f t="shared" si="54"/>
        <v>16593.744749999998</v>
      </c>
      <c r="Y293" s="6">
        <f t="shared" si="55"/>
        <v>0.30170444999999996</v>
      </c>
      <c r="Z293" s="6">
        <f t="shared" si="56"/>
        <v>1.8285118181818181</v>
      </c>
      <c r="AA293" s="9">
        <f t="shared" si="57"/>
        <v>55000</v>
      </c>
      <c r="AB293" s="10">
        <v>7547</v>
      </c>
      <c r="AC293" s="11">
        <f t="shared" si="60"/>
        <v>2276.9634841499997</v>
      </c>
      <c r="AD293" s="12">
        <f t="shared" si="58"/>
        <v>55000</v>
      </c>
      <c r="AE293" s="13">
        <f t="shared" si="62"/>
        <v>0</v>
      </c>
    </row>
    <row r="294" spans="1:31">
      <c r="A294" s="6">
        <v>8</v>
      </c>
      <c r="B294" s="6">
        <f t="shared" si="61"/>
        <v>34</v>
      </c>
      <c r="C294" s="6" t="str">
        <f t="shared" si="51"/>
        <v>655931500AARMATURE, MONOBLOCK ASW4, HYUNDAI BC3-CUV9929301447826480</v>
      </c>
      <c r="D294" s="6" t="s">
        <v>217</v>
      </c>
      <c r="E294" s="6" t="s">
        <v>157</v>
      </c>
      <c r="F294" s="6"/>
      <c r="G294" s="7" t="s">
        <v>134</v>
      </c>
      <c r="H294" s="7"/>
      <c r="I294" s="7"/>
      <c r="J294" s="7"/>
      <c r="K294" s="7"/>
      <c r="L294" s="7">
        <v>9929301</v>
      </c>
      <c r="M294" s="22">
        <v>44782</v>
      </c>
      <c r="N294" s="8" t="s">
        <v>184</v>
      </c>
      <c r="O294" s="8"/>
      <c r="P294" s="7">
        <v>6480</v>
      </c>
      <c r="Q294" s="7">
        <v>3966122.34</v>
      </c>
      <c r="R294" s="7">
        <v>87089400</v>
      </c>
      <c r="S294" s="7">
        <v>15</v>
      </c>
      <c r="T294" s="7" t="s">
        <v>278</v>
      </c>
      <c r="U294" s="7" t="s">
        <v>178</v>
      </c>
      <c r="V294" s="6">
        <f t="shared" si="52"/>
        <v>594918.35099999991</v>
      </c>
      <c r="W294" s="6">
        <f t="shared" si="53"/>
        <v>59491.835099999997</v>
      </c>
      <c r="X294" s="6">
        <f t="shared" si="54"/>
        <v>654410.18609999993</v>
      </c>
      <c r="Y294" s="6">
        <f t="shared" si="55"/>
        <v>100.98922624999999</v>
      </c>
      <c r="Z294" s="6">
        <f t="shared" si="56"/>
        <v>612.05591666666669</v>
      </c>
      <c r="AA294" s="9">
        <f t="shared" si="57"/>
        <v>6480</v>
      </c>
      <c r="AB294" s="10">
        <v>3915</v>
      </c>
      <c r="AC294" s="11">
        <f t="shared" si="60"/>
        <v>395372.82076874992</v>
      </c>
      <c r="AD294" s="12">
        <f t="shared" si="58"/>
        <v>5967</v>
      </c>
      <c r="AE294" s="13">
        <f>AA294-AD294</f>
        <v>513</v>
      </c>
    </row>
    <row r="295" spans="1:31">
      <c r="A295" s="6">
        <v>8</v>
      </c>
      <c r="B295" s="6">
        <f t="shared" si="61"/>
        <v>35</v>
      </c>
      <c r="C295" s="6" t="str">
        <f t="shared" si="51"/>
        <v>651409900ASCREW, STD METRIC M6 HEXALOBULAR INTERNAL, T482103034520830000</v>
      </c>
      <c r="D295" s="6" t="s">
        <v>217</v>
      </c>
      <c r="E295" s="6" t="s">
        <v>168</v>
      </c>
      <c r="F295" s="6"/>
      <c r="G295" s="7" t="s">
        <v>146</v>
      </c>
      <c r="H295" s="7"/>
      <c r="I295" s="7"/>
      <c r="J295" s="7"/>
      <c r="K295" s="7"/>
      <c r="L295" s="7">
        <v>8210303</v>
      </c>
      <c r="M295" s="22">
        <v>45208</v>
      </c>
      <c r="N295" s="8" t="s">
        <v>190</v>
      </c>
      <c r="O295" s="8"/>
      <c r="P295" s="7">
        <v>30000</v>
      </c>
      <c r="Q295" s="7">
        <v>99167.74</v>
      </c>
      <c r="R295" s="7">
        <v>87089500</v>
      </c>
      <c r="S295" s="7">
        <v>15</v>
      </c>
      <c r="T295" s="7" t="s">
        <v>191</v>
      </c>
      <c r="U295" s="7" t="s">
        <v>178</v>
      </c>
      <c r="V295" s="6">
        <f t="shared" si="52"/>
        <v>14875.161</v>
      </c>
      <c r="W295" s="6">
        <f t="shared" si="53"/>
        <v>1487.5161000000001</v>
      </c>
      <c r="X295" s="6">
        <f t="shared" si="54"/>
        <v>16362.677100000001</v>
      </c>
      <c r="Y295" s="6">
        <f t="shared" si="55"/>
        <v>0.54542257000000005</v>
      </c>
      <c r="Z295" s="6">
        <f t="shared" si="56"/>
        <v>3.3055913333333335</v>
      </c>
      <c r="AA295" s="9">
        <f t="shared" si="57"/>
        <v>30000</v>
      </c>
      <c r="AB295" s="10">
        <v>21434</v>
      </c>
      <c r="AC295" s="11">
        <f t="shared" si="60"/>
        <v>11690.587365380001</v>
      </c>
      <c r="AD295" s="12">
        <f t="shared" si="58"/>
        <v>30000</v>
      </c>
      <c r="AE295" s="13">
        <f t="shared" si="62"/>
        <v>0</v>
      </c>
    </row>
    <row r="296" spans="1:31">
      <c r="A296" s="6">
        <v>9</v>
      </c>
      <c r="B296" s="6">
        <v>1</v>
      </c>
      <c r="C296" s="6" t="str">
        <f t="shared" si="51"/>
        <v>630580800ALABEL, RAW MATERIAL, BLA K12 TPC BUCKLE5160585449362400000</v>
      </c>
      <c r="D296" s="6" t="s">
        <v>213</v>
      </c>
      <c r="E296" s="6" t="s">
        <v>71</v>
      </c>
      <c r="F296" s="6"/>
      <c r="G296" s="7" t="s">
        <v>31</v>
      </c>
      <c r="H296" s="7"/>
      <c r="I296" s="7"/>
      <c r="J296" s="7"/>
      <c r="K296" s="7"/>
      <c r="L296" s="7">
        <v>5160585</v>
      </c>
      <c r="M296" s="22">
        <v>44936</v>
      </c>
      <c r="N296" s="8" t="s">
        <v>196</v>
      </c>
      <c r="O296" s="8" t="s">
        <v>333</v>
      </c>
      <c r="P296" s="7">
        <v>2400000</v>
      </c>
      <c r="Q296" s="7">
        <v>86522.34</v>
      </c>
      <c r="R296" s="7">
        <v>87082900</v>
      </c>
      <c r="S296" s="7">
        <v>15</v>
      </c>
      <c r="T296" s="7" t="s">
        <v>265</v>
      </c>
      <c r="U296" s="7" t="s">
        <v>178</v>
      </c>
      <c r="V296" s="6">
        <f t="shared" si="52"/>
        <v>12978.350999999999</v>
      </c>
      <c r="W296" s="6">
        <f t="shared" si="53"/>
        <v>1297.8351</v>
      </c>
      <c r="X296" s="6">
        <f t="shared" si="54"/>
        <v>14276.186099999999</v>
      </c>
      <c r="Y296" s="6">
        <f t="shared" si="55"/>
        <v>5.9484108749999999E-3</v>
      </c>
      <c r="Z296" s="6">
        <f t="shared" si="56"/>
        <v>3.6050974999999999E-2</v>
      </c>
      <c r="AA296" s="9">
        <f t="shared" si="57"/>
        <v>2400000</v>
      </c>
      <c r="AB296" s="10">
        <v>10736</v>
      </c>
      <c r="AC296" s="11">
        <f t="shared" si="60"/>
        <v>63.862139153999998</v>
      </c>
      <c r="AD296" s="12">
        <f t="shared" si="58"/>
        <v>548546</v>
      </c>
      <c r="AE296" s="13">
        <f t="shared" si="62"/>
        <v>1851454</v>
      </c>
    </row>
    <row r="297" spans="1:31">
      <c r="A297" s="6">
        <v>9</v>
      </c>
      <c r="B297" s="6">
        <f t="shared" ref="B297:B334" si="63">B296+1</f>
        <v>2</v>
      </c>
      <c r="C297" s="6" t="str">
        <f t="shared" si="51"/>
        <v>634240200AHORN CONTACT, CU 521662145010720000</v>
      </c>
      <c r="D297" s="6" t="s">
        <v>213</v>
      </c>
      <c r="E297" s="6" t="s">
        <v>160</v>
      </c>
      <c r="F297" s="6"/>
      <c r="G297" s="7" t="s">
        <v>138</v>
      </c>
      <c r="H297" s="7"/>
      <c r="I297" s="7"/>
      <c r="J297" s="7"/>
      <c r="K297" s="7"/>
      <c r="L297" s="7">
        <v>5216621</v>
      </c>
      <c r="M297" s="22">
        <v>45010</v>
      </c>
      <c r="N297" s="8" t="s">
        <v>189</v>
      </c>
      <c r="O297" s="8"/>
      <c r="P297" s="7">
        <v>720000</v>
      </c>
      <c r="Q297" s="7">
        <v>803516.76</v>
      </c>
      <c r="R297" s="7">
        <v>87089900</v>
      </c>
      <c r="S297" s="7">
        <v>15</v>
      </c>
      <c r="T297" s="7" t="s">
        <v>258</v>
      </c>
      <c r="U297" s="7" t="s">
        <v>178</v>
      </c>
      <c r="V297" s="6">
        <f t="shared" si="52"/>
        <v>120527.514</v>
      </c>
      <c r="W297" s="6">
        <f t="shared" si="53"/>
        <v>12052.751400000001</v>
      </c>
      <c r="X297" s="6">
        <f t="shared" si="54"/>
        <v>132580.2654</v>
      </c>
      <c r="Y297" s="6">
        <f t="shared" si="55"/>
        <v>0.18413925750000001</v>
      </c>
      <c r="Z297" s="6">
        <f t="shared" si="56"/>
        <v>1.1159954999999999</v>
      </c>
      <c r="AA297" s="9">
        <f t="shared" si="57"/>
        <v>720000</v>
      </c>
      <c r="AB297" s="10">
        <v>42944</v>
      </c>
      <c r="AC297" s="11">
        <f t="shared" si="60"/>
        <v>7907.6762740800004</v>
      </c>
      <c r="AD297" s="12">
        <f t="shared" si="58"/>
        <v>707364</v>
      </c>
      <c r="AE297" s="13">
        <f t="shared" si="62"/>
        <v>12636</v>
      </c>
    </row>
    <row r="298" spans="1:31">
      <c r="A298" s="6">
        <v>9</v>
      </c>
      <c r="B298" s="6">
        <f t="shared" si="63"/>
        <v>3</v>
      </c>
      <c r="C298" s="6" t="str">
        <f t="shared" si="51"/>
        <v>608067201ANUT, ISO, M5 351094044894800000</v>
      </c>
      <c r="D298" s="6" t="s">
        <v>213</v>
      </c>
      <c r="E298" s="6" t="s">
        <v>164</v>
      </c>
      <c r="F298" s="6"/>
      <c r="G298" s="7" t="s">
        <v>142</v>
      </c>
      <c r="H298" s="7"/>
      <c r="I298" s="7"/>
      <c r="J298" s="7"/>
      <c r="K298" s="7"/>
      <c r="L298" s="7">
        <v>3510940</v>
      </c>
      <c r="M298" s="22">
        <v>44894</v>
      </c>
      <c r="N298" s="8" t="s">
        <v>189</v>
      </c>
      <c r="O298" s="8" t="s">
        <v>332</v>
      </c>
      <c r="P298" s="7">
        <v>800000</v>
      </c>
      <c r="Q298" s="7">
        <v>1498489.13</v>
      </c>
      <c r="R298" s="7">
        <v>87089500</v>
      </c>
      <c r="S298" s="7">
        <v>15</v>
      </c>
      <c r="T298" s="7" t="s">
        <v>183</v>
      </c>
      <c r="U298" s="7" t="s">
        <v>178</v>
      </c>
      <c r="V298" s="6">
        <f t="shared" si="52"/>
        <v>224773.36949999997</v>
      </c>
      <c r="W298" s="6">
        <f t="shared" si="53"/>
        <v>22477.336949999997</v>
      </c>
      <c r="X298" s="6">
        <f t="shared" si="54"/>
        <v>247250.70644999997</v>
      </c>
      <c r="Y298" s="6">
        <f t="shared" si="55"/>
        <v>0.30906338306249997</v>
      </c>
      <c r="Z298" s="6">
        <f t="shared" si="56"/>
        <v>1.8731114124999999</v>
      </c>
      <c r="AA298" s="9">
        <f t="shared" si="57"/>
        <v>800000</v>
      </c>
      <c r="AB298" s="10">
        <v>3840</v>
      </c>
      <c r="AC298" s="11">
        <f t="shared" si="60"/>
        <v>1186.8033909599999</v>
      </c>
      <c r="AD298" s="12">
        <f t="shared" si="58"/>
        <v>70960</v>
      </c>
      <c r="AE298" s="13">
        <f t="shared" si="62"/>
        <v>729040</v>
      </c>
    </row>
    <row r="299" spans="1:31">
      <c r="A299" s="6">
        <v>9</v>
      </c>
      <c r="B299" s="6">
        <f t="shared" si="63"/>
        <v>4</v>
      </c>
      <c r="C299" s="6" t="str">
        <f t="shared" si="51"/>
        <v>644345600ASCREW, SELF-TAPPING, PLA PLASTIC, 3.0, CROSS35109404489490000</v>
      </c>
      <c r="D299" s="6" t="s">
        <v>213</v>
      </c>
      <c r="E299" s="6" t="s">
        <v>166</v>
      </c>
      <c r="F299" s="6"/>
      <c r="G299" s="7" t="s">
        <v>144</v>
      </c>
      <c r="H299" s="7"/>
      <c r="I299" s="7"/>
      <c r="J299" s="7"/>
      <c r="K299" s="7"/>
      <c r="L299" s="7">
        <v>3510940</v>
      </c>
      <c r="M299" s="22">
        <v>44894</v>
      </c>
      <c r="N299" s="8" t="s">
        <v>189</v>
      </c>
      <c r="O299" s="8"/>
      <c r="P299" s="7">
        <v>90000</v>
      </c>
      <c r="Q299" s="7">
        <v>68808.17</v>
      </c>
      <c r="R299" s="7">
        <v>87089500</v>
      </c>
      <c r="S299" s="7">
        <v>15</v>
      </c>
      <c r="T299" s="7" t="s">
        <v>183</v>
      </c>
      <c r="U299" s="7" t="s">
        <v>178</v>
      </c>
      <c r="V299" s="6">
        <f t="shared" si="52"/>
        <v>10321.225499999999</v>
      </c>
      <c r="W299" s="6">
        <f t="shared" si="53"/>
        <v>1032.1225499999998</v>
      </c>
      <c r="X299" s="6">
        <f t="shared" si="54"/>
        <v>11353.348049999999</v>
      </c>
      <c r="Y299" s="6">
        <f t="shared" si="55"/>
        <v>0.12614831166666665</v>
      </c>
      <c r="Z299" s="6">
        <f t="shared" si="56"/>
        <v>0.76453522222222225</v>
      </c>
      <c r="AA299" s="9">
        <f t="shared" si="57"/>
        <v>90000</v>
      </c>
      <c r="AB299" s="10">
        <v>20834</v>
      </c>
      <c r="AC299" s="11">
        <f t="shared" si="60"/>
        <v>2628.1739252633329</v>
      </c>
      <c r="AD299" s="12">
        <f t="shared" si="58"/>
        <v>90000</v>
      </c>
      <c r="AE299" s="13">
        <f t="shared" si="62"/>
        <v>0</v>
      </c>
    </row>
    <row r="300" spans="1:31">
      <c r="A300" s="6">
        <v>9</v>
      </c>
      <c r="B300" s="6">
        <f t="shared" si="63"/>
        <v>5</v>
      </c>
      <c r="C300" s="6" t="str">
        <f t="shared" si="51"/>
        <v>650557200GCUSHION, FOLDED, C AND S HONDA 2JX3498791448931080</v>
      </c>
      <c r="D300" s="6" t="s">
        <v>213</v>
      </c>
      <c r="E300" s="6" t="s">
        <v>159</v>
      </c>
      <c r="F300" s="6"/>
      <c r="G300" s="7" t="s">
        <v>136</v>
      </c>
      <c r="H300" s="7"/>
      <c r="I300" s="7"/>
      <c r="J300" s="7"/>
      <c r="K300" s="7"/>
      <c r="L300" s="7">
        <v>3498791</v>
      </c>
      <c r="M300" s="22">
        <v>44893</v>
      </c>
      <c r="N300" s="8" t="s">
        <v>189</v>
      </c>
      <c r="O300" s="8"/>
      <c r="P300" s="7">
        <v>1080</v>
      </c>
      <c r="Q300" s="7">
        <v>1351206.3</v>
      </c>
      <c r="R300" s="7">
        <v>87089500</v>
      </c>
      <c r="S300" s="7">
        <v>5</v>
      </c>
      <c r="T300" s="7" t="s">
        <v>267</v>
      </c>
      <c r="U300" s="7" t="s">
        <v>178</v>
      </c>
      <c r="V300" s="6">
        <f t="shared" si="52"/>
        <v>67560.315000000002</v>
      </c>
      <c r="W300" s="6">
        <f t="shared" si="53"/>
        <v>6756.031500000001</v>
      </c>
      <c r="X300" s="6">
        <f t="shared" si="54"/>
        <v>74316.3465</v>
      </c>
      <c r="Y300" s="6">
        <f t="shared" si="55"/>
        <v>68.81143194444445</v>
      </c>
      <c r="Z300" s="6">
        <f t="shared" si="56"/>
        <v>1251.1169444444445</v>
      </c>
      <c r="AA300" s="9">
        <f t="shared" si="57"/>
        <v>1080</v>
      </c>
      <c r="AB300" s="10">
        <v>20</v>
      </c>
      <c r="AC300" s="11">
        <f t="shared" si="60"/>
        <v>1376.228638888889</v>
      </c>
      <c r="AD300" s="12">
        <f t="shared" si="58"/>
        <v>1080</v>
      </c>
      <c r="AE300" s="13">
        <f t="shared" si="62"/>
        <v>0</v>
      </c>
    </row>
    <row r="301" spans="1:31">
      <c r="A301" s="6">
        <v>9</v>
      </c>
      <c r="B301" s="6">
        <f t="shared" si="63"/>
        <v>6</v>
      </c>
      <c r="C301" s="6" t="str">
        <f t="shared" si="51"/>
        <v>650557200GCUSHION, FOLDED, C AND S HONDA 2JX3498696448931080</v>
      </c>
      <c r="D301" s="6" t="s">
        <v>213</v>
      </c>
      <c r="E301" s="6" t="s">
        <v>159</v>
      </c>
      <c r="F301" s="6"/>
      <c r="G301" s="7" t="s">
        <v>136</v>
      </c>
      <c r="H301" s="7"/>
      <c r="I301" s="7"/>
      <c r="J301" s="7"/>
      <c r="K301" s="7"/>
      <c r="L301" s="7">
        <v>3498696</v>
      </c>
      <c r="M301" s="22">
        <v>44893</v>
      </c>
      <c r="N301" s="8" t="s">
        <v>189</v>
      </c>
      <c r="O301" s="8"/>
      <c r="P301" s="7">
        <v>1080</v>
      </c>
      <c r="Q301" s="7">
        <v>1361525.46</v>
      </c>
      <c r="R301" s="7">
        <v>87089500</v>
      </c>
      <c r="S301" s="7">
        <v>5</v>
      </c>
      <c r="T301" s="7" t="s">
        <v>267</v>
      </c>
      <c r="U301" s="7" t="s">
        <v>178</v>
      </c>
      <c r="V301" s="6">
        <f t="shared" si="52"/>
        <v>68076.273000000001</v>
      </c>
      <c r="W301" s="6">
        <f t="shared" si="53"/>
        <v>6807.6273000000001</v>
      </c>
      <c r="X301" s="6">
        <f t="shared" si="54"/>
        <v>74883.900300000008</v>
      </c>
      <c r="Y301" s="6">
        <f t="shared" si="55"/>
        <v>69.336944722222228</v>
      </c>
      <c r="Z301" s="6">
        <f t="shared" si="56"/>
        <v>1260.6717222222221</v>
      </c>
      <c r="AA301" s="9">
        <f t="shared" si="57"/>
        <v>1080</v>
      </c>
      <c r="AB301" s="10">
        <v>940</v>
      </c>
      <c r="AC301" s="11">
        <f t="shared" si="60"/>
        <v>65176.728038888898</v>
      </c>
      <c r="AD301" s="12">
        <f t="shared" si="58"/>
        <v>1080</v>
      </c>
      <c r="AE301" s="13">
        <f t="shared" si="62"/>
        <v>0</v>
      </c>
    </row>
    <row r="302" spans="1:31">
      <c r="A302" s="6">
        <v>9</v>
      </c>
      <c r="B302" s="6">
        <f t="shared" si="63"/>
        <v>7</v>
      </c>
      <c r="C302" s="6" t="str">
        <f t="shared" si="51"/>
        <v>650557200GCUSHION, FOLDED, C AND S HONDA 2JX3322516448811800</v>
      </c>
      <c r="D302" s="6" t="s">
        <v>213</v>
      </c>
      <c r="E302" s="6" t="s">
        <v>159</v>
      </c>
      <c r="F302" s="6"/>
      <c r="G302" s="7" t="s">
        <v>136</v>
      </c>
      <c r="H302" s="7"/>
      <c r="I302" s="7"/>
      <c r="J302" s="7"/>
      <c r="K302" s="7"/>
      <c r="L302" s="7">
        <v>3322516</v>
      </c>
      <c r="M302" s="22">
        <v>44881</v>
      </c>
      <c r="N302" s="8" t="s">
        <v>184</v>
      </c>
      <c r="O302" s="8"/>
      <c r="P302" s="7">
        <v>1800</v>
      </c>
      <c r="Q302" s="7">
        <v>2319294.85</v>
      </c>
      <c r="R302" s="7">
        <v>87089500</v>
      </c>
      <c r="S302" s="7">
        <v>5</v>
      </c>
      <c r="T302" s="7" t="s">
        <v>267</v>
      </c>
      <c r="U302" s="7" t="s">
        <v>178</v>
      </c>
      <c r="V302" s="6">
        <f t="shared" si="52"/>
        <v>115964.74250000001</v>
      </c>
      <c r="W302" s="6">
        <f t="shared" si="53"/>
        <v>11596.474250000001</v>
      </c>
      <c r="X302" s="6">
        <f t="shared" si="54"/>
        <v>127561.21675000001</v>
      </c>
      <c r="Y302" s="6">
        <f t="shared" si="55"/>
        <v>70.867342638888886</v>
      </c>
      <c r="Z302" s="6">
        <f t="shared" si="56"/>
        <v>1288.4971388888889</v>
      </c>
      <c r="AA302" s="9">
        <f t="shared" si="57"/>
        <v>1800</v>
      </c>
      <c r="AB302" s="10">
        <v>0</v>
      </c>
      <c r="AC302" s="11">
        <f t="shared" si="60"/>
        <v>0</v>
      </c>
      <c r="AD302" s="12">
        <f t="shared" si="58"/>
        <v>1800</v>
      </c>
      <c r="AE302" s="13">
        <f t="shared" si="62"/>
        <v>0</v>
      </c>
    </row>
    <row r="303" spans="1:31">
      <c r="A303" s="6">
        <v>9</v>
      </c>
      <c r="B303" s="6">
        <f t="shared" si="63"/>
        <v>8</v>
      </c>
      <c r="C303" s="6" t="str">
        <f t="shared" si="51"/>
        <v>650557200GCUSHION, FOLDED, C AND S HONDA 2JX3460410448902160</v>
      </c>
      <c r="D303" s="6" t="s">
        <v>213</v>
      </c>
      <c r="E303" s="6" t="s">
        <v>159</v>
      </c>
      <c r="F303" s="6"/>
      <c r="G303" s="7" t="s">
        <v>136</v>
      </c>
      <c r="H303" s="7"/>
      <c r="I303" s="7"/>
      <c r="J303" s="7"/>
      <c r="K303" s="7"/>
      <c r="L303" s="7">
        <v>3460410</v>
      </c>
      <c r="M303" s="22">
        <v>44890</v>
      </c>
      <c r="N303" s="8" t="s">
        <v>184</v>
      </c>
      <c r="O303" s="8"/>
      <c r="P303" s="7">
        <v>2160</v>
      </c>
      <c r="Q303" s="7">
        <v>2624382.73</v>
      </c>
      <c r="R303" s="7">
        <v>87089500</v>
      </c>
      <c r="S303" s="7">
        <v>5</v>
      </c>
      <c r="T303" s="7" t="s">
        <v>256</v>
      </c>
      <c r="U303" s="7" t="s">
        <v>178</v>
      </c>
      <c r="V303" s="6">
        <f t="shared" si="52"/>
        <v>131219.13649999999</v>
      </c>
      <c r="W303" s="6">
        <f t="shared" si="53"/>
        <v>13121.91365</v>
      </c>
      <c r="X303" s="6">
        <f t="shared" si="54"/>
        <v>144341.05015</v>
      </c>
      <c r="Y303" s="6">
        <f t="shared" si="55"/>
        <v>66.824560254629631</v>
      </c>
      <c r="Z303" s="6">
        <f t="shared" si="56"/>
        <v>1214.9920046296297</v>
      </c>
      <c r="AA303" s="9">
        <f t="shared" si="57"/>
        <v>2160</v>
      </c>
      <c r="AB303" s="10">
        <v>0</v>
      </c>
      <c r="AC303" s="11">
        <f t="shared" si="60"/>
        <v>0</v>
      </c>
      <c r="AD303" s="12">
        <f t="shared" si="58"/>
        <v>2160</v>
      </c>
      <c r="AE303" s="13">
        <f t="shared" si="62"/>
        <v>0</v>
      </c>
    </row>
    <row r="304" spans="1:31">
      <c r="A304" s="6">
        <v>9</v>
      </c>
      <c r="B304" s="6">
        <f t="shared" si="63"/>
        <v>9</v>
      </c>
      <c r="C304" s="6" t="str">
        <f t="shared" si="51"/>
        <v>650557200GCUSHION, FOLDED, C AND S HONDA 2JX371647044908720</v>
      </c>
      <c r="D304" s="6" t="s">
        <v>213</v>
      </c>
      <c r="E304" s="6" t="s">
        <v>159</v>
      </c>
      <c r="F304" s="6"/>
      <c r="G304" s="7" t="s">
        <v>136</v>
      </c>
      <c r="H304" s="7"/>
      <c r="I304" s="7"/>
      <c r="J304" s="7"/>
      <c r="K304" s="7"/>
      <c r="L304" s="7">
        <v>3716470</v>
      </c>
      <c r="M304" s="22">
        <v>44908</v>
      </c>
      <c r="N304" s="8" t="s">
        <v>189</v>
      </c>
      <c r="O304" s="8"/>
      <c r="P304" s="7">
        <v>720</v>
      </c>
      <c r="Q304" s="7">
        <v>882387.25</v>
      </c>
      <c r="R304" s="7">
        <v>87089500</v>
      </c>
      <c r="S304" s="7">
        <v>5</v>
      </c>
      <c r="T304" s="7" t="s">
        <v>267</v>
      </c>
      <c r="U304" s="7" t="s">
        <v>178</v>
      </c>
      <c r="V304" s="6">
        <f t="shared" si="52"/>
        <v>44119.362500000003</v>
      </c>
      <c r="W304" s="6">
        <f t="shared" si="53"/>
        <v>4411.9362500000007</v>
      </c>
      <c r="X304" s="6">
        <f t="shared" si="54"/>
        <v>48531.298750000002</v>
      </c>
      <c r="Y304" s="6">
        <f t="shared" si="55"/>
        <v>67.404581597222219</v>
      </c>
      <c r="Z304" s="6">
        <f t="shared" si="56"/>
        <v>1225.5378472222221</v>
      </c>
      <c r="AA304" s="9">
        <f t="shared" si="57"/>
        <v>720</v>
      </c>
      <c r="AB304" s="10">
        <v>0</v>
      </c>
      <c r="AC304" s="11">
        <f t="shared" si="60"/>
        <v>0</v>
      </c>
      <c r="AD304" s="12">
        <f t="shared" si="58"/>
        <v>720</v>
      </c>
      <c r="AE304" s="13">
        <f t="shared" si="62"/>
        <v>0</v>
      </c>
    </row>
    <row r="305" spans="1:31">
      <c r="A305" s="6">
        <v>9</v>
      </c>
      <c r="B305" s="6">
        <f t="shared" si="63"/>
        <v>10</v>
      </c>
      <c r="C305" s="6" t="str">
        <f t="shared" si="51"/>
        <v>651015100AARMATURE, MONOBLOCK, ASW4, HYUNDAI BC33353058448834860</v>
      </c>
      <c r="D305" s="6" t="s">
        <v>213</v>
      </c>
      <c r="E305" s="6" t="s">
        <v>158</v>
      </c>
      <c r="F305" s="6"/>
      <c r="G305" s="7" t="s">
        <v>135</v>
      </c>
      <c r="H305" s="7"/>
      <c r="I305" s="7"/>
      <c r="J305" s="7"/>
      <c r="K305" s="7"/>
      <c r="L305" s="7">
        <v>3353058</v>
      </c>
      <c r="M305" s="22">
        <v>44883</v>
      </c>
      <c r="N305" s="8" t="s">
        <v>184</v>
      </c>
      <c r="O305" s="8"/>
      <c r="P305" s="7">
        <v>4860</v>
      </c>
      <c r="Q305" s="7">
        <v>2360668.77</v>
      </c>
      <c r="R305" s="7">
        <v>87089400</v>
      </c>
      <c r="S305" s="7">
        <v>15</v>
      </c>
      <c r="T305" s="7" t="s">
        <v>186</v>
      </c>
      <c r="U305" s="7" t="s">
        <v>178</v>
      </c>
      <c r="V305" s="6">
        <f t="shared" si="52"/>
        <v>354100.31549999997</v>
      </c>
      <c r="W305" s="6">
        <f t="shared" si="53"/>
        <v>35410.03155</v>
      </c>
      <c r="X305" s="6">
        <f t="shared" si="54"/>
        <v>389510.34704999998</v>
      </c>
      <c r="Y305" s="6">
        <f t="shared" si="55"/>
        <v>80.146161944444444</v>
      </c>
      <c r="Z305" s="6">
        <f t="shared" si="56"/>
        <v>485.73431481481481</v>
      </c>
      <c r="AA305" s="9">
        <f t="shared" si="57"/>
        <v>4860</v>
      </c>
      <c r="AB305" s="10">
        <v>392</v>
      </c>
      <c r="AC305" s="11">
        <f t="shared" si="60"/>
        <v>31417.295482222224</v>
      </c>
      <c r="AD305" s="12">
        <f t="shared" si="58"/>
        <v>4814</v>
      </c>
      <c r="AE305" s="13">
        <f t="shared" si="62"/>
        <v>46</v>
      </c>
    </row>
    <row r="306" spans="1:31">
      <c r="A306" s="6">
        <v>9</v>
      </c>
      <c r="B306" s="6">
        <f t="shared" si="63"/>
        <v>11</v>
      </c>
      <c r="C306" s="6" t="str">
        <f t="shared" si="51"/>
        <v>656011400ALEATHER, HIDE TOP GRAIN, GREY, FOSSIL GREY, T9Y,941830645287540.69</v>
      </c>
      <c r="D306" s="6" t="s">
        <v>213</v>
      </c>
      <c r="E306" s="6" t="s">
        <v>162</v>
      </c>
      <c r="F306" s="6"/>
      <c r="G306" s="7" t="s">
        <v>140</v>
      </c>
      <c r="H306" s="7"/>
      <c r="I306" s="7"/>
      <c r="J306" s="7"/>
      <c r="K306" s="7"/>
      <c r="L306" s="7">
        <v>9418306</v>
      </c>
      <c r="M306" s="22">
        <v>45287</v>
      </c>
      <c r="N306" s="8" t="s">
        <v>190</v>
      </c>
      <c r="O306" s="8" t="s">
        <v>383</v>
      </c>
      <c r="P306" s="7">
        <v>540.69000000000005</v>
      </c>
      <c r="Q306" s="7">
        <v>1239991.82</v>
      </c>
      <c r="R306" s="7">
        <v>41071200</v>
      </c>
      <c r="S306" s="7">
        <v>0</v>
      </c>
      <c r="T306" s="7" t="s">
        <v>260</v>
      </c>
      <c r="U306" s="7" t="s">
        <v>178</v>
      </c>
      <c r="V306" s="6">
        <f t="shared" si="52"/>
        <v>0</v>
      </c>
      <c r="W306" s="6">
        <f t="shared" si="53"/>
        <v>0</v>
      </c>
      <c r="X306" s="6">
        <f t="shared" si="54"/>
        <v>0</v>
      </c>
      <c r="Y306" s="6">
        <f t="shared" si="55"/>
        <v>0</v>
      </c>
      <c r="Z306" s="6">
        <f t="shared" si="56"/>
        <v>2293.3507555160995</v>
      </c>
      <c r="AA306" s="9">
        <f t="shared" si="57"/>
        <v>540.69000000000005</v>
      </c>
      <c r="AB306" s="10">
        <v>144.60631599999999</v>
      </c>
      <c r="AC306" s="11">
        <f t="shared" si="60"/>
        <v>0</v>
      </c>
      <c r="AD306" s="12">
        <f t="shared" si="58"/>
        <v>528.58033899999998</v>
      </c>
      <c r="AE306" s="13">
        <f t="shared" si="62"/>
        <v>12.109661000000074</v>
      </c>
    </row>
    <row r="307" spans="1:31" ht="30">
      <c r="A307" s="6">
        <v>9</v>
      </c>
      <c r="B307" s="6">
        <f t="shared" si="63"/>
        <v>12</v>
      </c>
      <c r="C307" s="6" t="str">
        <f t="shared" si="51"/>
        <v>655931500AARMATURE, MONOBLOCK ASW4, HYUNDAI BC3-CUV6692123451103240</v>
      </c>
      <c r="D307" s="6" t="s">
        <v>213</v>
      </c>
      <c r="E307" s="6" t="s">
        <v>157</v>
      </c>
      <c r="F307" s="6"/>
      <c r="G307" s="7" t="s">
        <v>134</v>
      </c>
      <c r="H307" s="7"/>
      <c r="I307" s="7"/>
      <c r="J307" s="7"/>
      <c r="K307" s="7"/>
      <c r="L307" s="7">
        <v>6692123</v>
      </c>
      <c r="M307" s="22">
        <v>45110</v>
      </c>
      <c r="N307" s="8" t="s">
        <v>185</v>
      </c>
      <c r="O307" s="8"/>
      <c r="P307" s="7">
        <v>3240</v>
      </c>
      <c r="Q307" s="7">
        <v>1371592.76</v>
      </c>
      <c r="R307" s="7">
        <v>87089400</v>
      </c>
      <c r="S307" s="7">
        <v>15</v>
      </c>
      <c r="T307" s="7" t="s">
        <v>284</v>
      </c>
      <c r="U307" s="7" t="s">
        <v>178</v>
      </c>
      <c r="V307" s="6">
        <f t="shared" si="52"/>
        <v>205738.91399999999</v>
      </c>
      <c r="W307" s="6">
        <f t="shared" si="53"/>
        <v>20573.8914</v>
      </c>
      <c r="X307" s="6">
        <f t="shared" si="54"/>
        <v>226312.80539999998</v>
      </c>
      <c r="Y307" s="6">
        <f t="shared" si="55"/>
        <v>69.849631296296295</v>
      </c>
      <c r="Z307" s="6">
        <f t="shared" si="56"/>
        <v>423.3310987654321</v>
      </c>
      <c r="AA307" s="9">
        <f t="shared" si="57"/>
        <v>3240</v>
      </c>
      <c r="AB307" s="10">
        <v>343</v>
      </c>
      <c r="AC307" s="11">
        <f t="shared" si="60"/>
        <v>23958.42353462963</v>
      </c>
      <c r="AD307" s="12">
        <f t="shared" si="58"/>
        <v>3240</v>
      </c>
      <c r="AE307" s="13">
        <f t="shared" si="62"/>
        <v>0</v>
      </c>
    </row>
    <row r="308" spans="1:31">
      <c r="A308" s="6">
        <v>9</v>
      </c>
      <c r="B308" s="6">
        <f t="shared" si="63"/>
        <v>13</v>
      </c>
      <c r="C308" s="6" t="str">
        <f t="shared" si="51"/>
        <v>655931500AARMATURE, MONOBLOCK ASW4, HYUNDAI BC3-CUV6540356451002268</v>
      </c>
      <c r="D308" s="6" t="s">
        <v>213</v>
      </c>
      <c r="E308" s="6" t="s">
        <v>157</v>
      </c>
      <c r="F308" s="6"/>
      <c r="G308" s="7" t="s">
        <v>134</v>
      </c>
      <c r="H308" s="7"/>
      <c r="I308" s="7"/>
      <c r="J308" s="7"/>
      <c r="K308" s="7"/>
      <c r="L308" s="7">
        <v>6540356</v>
      </c>
      <c r="M308" s="22">
        <v>45100</v>
      </c>
      <c r="N308" s="8" t="s">
        <v>184</v>
      </c>
      <c r="O308" s="8"/>
      <c r="P308" s="7">
        <v>2268</v>
      </c>
      <c r="Q308" s="7">
        <v>972426.62</v>
      </c>
      <c r="R308" s="7">
        <v>87089400</v>
      </c>
      <c r="S308" s="7">
        <v>15</v>
      </c>
      <c r="T308" s="7" t="s">
        <v>186</v>
      </c>
      <c r="U308" s="7" t="s">
        <v>178</v>
      </c>
      <c r="V308" s="6">
        <f t="shared" si="52"/>
        <v>145863.99299999999</v>
      </c>
      <c r="W308" s="6">
        <f t="shared" si="53"/>
        <v>14586.399299999999</v>
      </c>
      <c r="X308" s="6">
        <f t="shared" si="54"/>
        <v>160450.39229999998</v>
      </c>
      <c r="Y308" s="6">
        <f t="shared" si="55"/>
        <v>70.745322883597879</v>
      </c>
      <c r="Z308" s="6">
        <f t="shared" si="56"/>
        <v>428.75953262786595</v>
      </c>
      <c r="AA308" s="9">
        <f t="shared" si="57"/>
        <v>2268</v>
      </c>
      <c r="AB308" s="10">
        <v>2268</v>
      </c>
      <c r="AC308" s="11">
        <f t="shared" si="60"/>
        <v>160450.39229999998</v>
      </c>
      <c r="AD308" s="12">
        <f t="shared" si="58"/>
        <v>2268</v>
      </c>
      <c r="AE308" s="13">
        <f t="shared" si="62"/>
        <v>0</v>
      </c>
    </row>
    <row r="309" spans="1:31" ht="30">
      <c r="A309" s="6">
        <v>9</v>
      </c>
      <c r="B309" s="6">
        <f t="shared" si="63"/>
        <v>14</v>
      </c>
      <c r="C309" s="6" t="str">
        <f t="shared" si="51"/>
        <v>651015300BELEMENT, HEATER, HYBRID 2961309448545600</v>
      </c>
      <c r="D309" s="6" t="s">
        <v>213</v>
      </c>
      <c r="E309" s="6" t="s">
        <v>155</v>
      </c>
      <c r="F309" s="6"/>
      <c r="G309" s="7" t="s">
        <v>137</v>
      </c>
      <c r="H309" s="7"/>
      <c r="I309" s="7"/>
      <c r="J309" s="7"/>
      <c r="K309" s="7"/>
      <c r="L309" s="7">
        <v>2961309</v>
      </c>
      <c r="M309" s="22">
        <v>44854</v>
      </c>
      <c r="N309" s="8" t="s">
        <v>185</v>
      </c>
      <c r="O309" s="8"/>
      <c r="P309" s="7">
        <v>5600</v>
      </c>
      <c r="Q309" s="7">
        <v>3088881.26</v>
      </c>
      <c r="R309" s="7">
        <v>87089400</v>
      </c>
      <c r="S309" s="7">
        <v>15</v>
      </c>
      <c r="T309" s="7" t="s">
        <v>187</v>
      </c>
      <c r="U309" s="7" t="s">
        <v>178</v>
      </c>
      <c r="V309" s="6">
        <f t="shared" si="52"/>
        <v>463332.18899999995</v>
      </c>
      <c r="W309" s="6">
        <f t="shared" si="53"/>
        <v>46333.2189</v>
      </c>
      <c r="X309" s="6">
        <f t="shared" si="54"/>
        <v>509665.40789999993</v>
      </c>
      <c r="Y309" s="6">
        <f t="shared" si="55"/>
        <v>91.011679982142851</v>
      </c>
      <c r="Z309" s="6">
        <f t="shared" si="56"/>
        <v>551.58593928571429</v>
      </c>
      <c r="AA309" s="9">
        <f t="shared" si="57"/>
        <v>5600</v>
      </c>
      <c r="AB309" s="10">
        <v>4360</v>
      </c>
      <c r="AC309" s="11">
        <f t="shared" si="60"/>
        <v>396810.92472214281</v>
      </c>
      <c r="AD309" s="12">
        <f t="shared" si="58"/>
        <v>5600</v>
      </c>
      <c r="AE309" s="13">
        <f t="shared" si="62"/>
        <v>0</v>
      </c>
    </row>
    <row r="310" spans="1:31">
      <c r="A310" s="6">
        <v>9</v>
      </c>
      <c r="B310" s="6">
        <f t="shared" si="63"/>
        <v>15</v>
      </c>
      <c r="C310" s="6" t="str">
        <f t="shared" si="51"/>
        <v>652466500ALEATHER, HIDE TOP GRAIN, OBSIDIAN BLACK, NNB, BLA9646611447633220.2</v>
      </c>
      <c r="D310" s="6" t="s">
        <v>213</v>
      </c>
      <c r="E310" s="6" t="s">
        <v>163</v>
      </c>
      <c r="F310" s="6"/>
      <c r="G310" s="7" t="s">
        <v>141</v>
      </c>
      <c r="H310" s="7"/>
      <c r="I310" s="7"/>
      <c r="J310" s="7"/>
      <c r="K310" s="7"/>
      <c r="L310" s="7">
        <v>9646611</v>
      </c>
      <c r="M310" s="22">
        <v>44763</v>
      </c>
      <c r="N310" s="8" t="s">
        <v>283</v>
      </c>
      <c r="O310" s="8"/>
      <c r="P310" s="7">
        <v>3220.2</v>
      </c>
      <c r="Q310" s="7">
        <v>8262099.9900000002</v>
      </c>
      <c r="R310" s="7">
        <v>41071200</v>
      </c>
      <c r="S310" s="7">
        <v>10</v>
      </c>
      <c r="T310" s="7" t="s">
        <v>261</v>
      </c>
      <c r="U310" s="7" t="s">
        <v>178</v>
      </c>
      <c r="V310" s="6">
        <f t="shared" si="52"/>
        <v>826209.99900000007</v>
      </c>
      <c r="W310" s="6">
        <f t="shared" si="53"/>
        <v>82620.99990000001</v>
      </c>
      <c r="X310" s="6">
        <f t="shared" si="54"/>
        <v>908830.99890000012</v>
      </c>
      <c r="Y310" s="6">
        <f t="shared" si="55"/>
        <v>282.22812213527118</v>
      </c>
      <c r="Z310" s="6">
        <f t="shared" si="56"/>
        <v>2565.7102012297373</v>
      </c>
      <c r="AA310" s="9">
        <f t="shared" si="57"/>
        <v>3220.2</v>
      </c>
      <c r="AB310" s="10">
        <v>0</v>
      </c>
      <c r="AC310" s="11">
        <f t="shared" si="60"/>
        <v>0</v>
      </c>
      <c r="AD310" s="12">
        <f t="shared" si="58"/>
        <v>3219.7238479999996</v>
      </c>
      <c r="AE310" s="13">
        <f t="shared" si="62"/>
        <v>0.47615200000018376</v>
      </c>
    </row>
    <row r="311" spans="1:31">
      <c r="A311" s="6">
        <v>9</v>
      </c>
      <c r="B311" s="6">
        <f t="shared" si="63"/>
        <v>16</v>
      </c>
      <c r="C311" s="6" t="str">
        <f t="shared" si="51"/>
        <v>639590100BSCREW SELF TAPPING INTERNAL T15, 15.01061244940120000</v>
      </c>
      <c r="D311" s="6" t="s">
        <v>213</v>
      </c>
      <c r="E311" s="6" t="s">
        <v>165</v>
      </c>
      <c r="F311" s="6"/>
      <c r="G311" s="7" t="s">
        <v>143</v>
      </c>
      <c r="H311" s="7"/>
      <c r="I311" s="7"/>
      <c r="J311" s="7"/>
      <c r="K311" s="7"/>
      <c r="L311" s="7">
        <v>10612</v>
      </c>
      <c r="M311" s="22">
        <v>44940</v>
      </c>
      <c r="N311" s="8" t="e">
        <v>#N/A</v>
      </c>
      <c r="O311" s="8"/>
      <c r="P311" s="7">
        <v>120000</v>
      </c>
      <c r="Q311" s="7">
        <v>171172.36</v>
      </c>
      <c r="R311" s="7" t="e">
        <v>#N/A</v>
      </c>
      <c r="S311" s="7">
        <v>15</v>
      </c>
      <c r="T311" s="7" t="e">
        <v>#N/A</v>
      </c>
      <c r="U311" s="7" t="e">
        <v>#N/A</v>
      </c>
      <c r="V311" s="6">
        <f t="shared" si="52"/>
        <v>25675.853999999996</v>
      </c>
      <c r="W311" s="6">
        <f t="shared" si="53"/>
        <v>2567.5853999999999</v>
      </c>
      <c r="X311" s="6">
        <f t="shared" si="54"/>
        <v>28243.439399999996</v>
      </c>
      <c r="Y311" s="6">
        <f t="shared" si="55"/>
        <v>0.23536199499999996</v>
      </c>
      <c r="Z311" s="6">
        <f t="shared" si="56"/>
        <v>1.4264363333333332</v>
      </c>
      <c r="AA311" s="9">
        <f t="shared" si="57"/>
        <v>120000</v>
      </c>
      <c r="AB311" s="10">
        <v>2841.73</v>
      </c>
      <c r="AC311" s="11">
        <f t="shared" si="60"/>
        <v>668.83524205134995</v>
      </c>
      <c r="AD311" s="12">
        <f t="shared" si="58"/>
        <v>119999.73</v>
      </c>
      <c r="AE311" s="13">
        <f t="shared" si="62"/>
        <v>0.27000000000407454</v>
      </c>
    </row>
    <row r="312" spans="1:31">
      <c r="A312" s="6">
        <v>9</v>
      </c>
      <c r="B312" s="6">
        <f t="shared" si="63"/>
        <v>17</v>
      </c>
      <c r="C312" s="6" t="str">
        <f t="shared" si="51"/>
        <v>628408700ASCREW, STANDARD, METRIC, M5, HEXALOBULAR INTERNAL59607764506125000</v>
      </c>
      <c r="D312" s="6" t="s">
        <v>213</v>
      </c>
      <c r="E312" s="6" t="s">
        <v>167</v>
      </c>
      <c r="F312" s="6"/>
      <c r="G312" s="7" t="s">
        <v>145</v>
      </c>
      <c r="H312" s="7"/>
      <c r="I312" s="7"/>
      <c r="J312" s="7"/>
      <c r="K312" s="7"/>
      <c r="L312" s="7">
        <v>5960776</v>
      </c>
      <c r="M312" s="22">
        <v>45061</v>
      </c>
      <c r="N312" s="8" t="s">
        <v>180</v>
      </c>
      <c r="O312" s="8"/>
      <c r="P312" s="7">
        <v>25000</v>
      </c>
      <c r="Q312" s="7">
        <v>128868.89</v>
      </c>
      <c r="R312" s="7">
        <v>87089400</v>
      </c>
      <c r="S312" s="7">
        <v>15</v>
      </c>
      <c r="T312" s="7" t="s">
        <v>286</v>
      </c>
      <c r="U312" s="7" t="s">
        <v>178</v>
      </c>
      <c r="V312" s="6">
        <f t="shared" si="52"/>
        <v>19330.333500000001</v>
      </c>
      <c r="W312" s="6">
        <f t="shared" si="53"/>
        <v>1933.0333500000002</v>
      </c>
      <c r="X312" s="6">
        <f t="shared" si="54"/>
        <v>21263.366850000002</v>
      </c>
      <c r="Y312" s="6">
        <f t="shared" si="55"/>
        <v>0.85053467400000005</v>
      </c>
      <c r="Z312" s="6">
        <f t="shared" si="56"/>
        <v>5.1547555999999997</v>
      </c>
      <c r="AA312" s="9">
        <f t="shared" si="57"/>
        <v>25000</v>
      </c>
      <c r="AB312" s="10">
        <v>17453</v>
      </c>
      <c r="AC312" s="11">
        <f t="shared" si="60"/>
        <v>14844.381665322</v>
      </c>
      <c r="AD312" s="12">
        <f t="shared" si="58"/>
        <v>25000</v>
      </c>
      <c r="AE312" s="13">
        <f t="shared" si="62"/>
        <v>0</v>
      </c>
    </row>
    <row r="313" spans="1:31">
      <c r="A313" s="6">
        <v>9</v>
      </c>
      <c r="B313" s="6">
        <f t="shared" si="63"/>
        <v>18</v>
      </c>
      <c r="C313" s="6" t="str">
        <f t="shared" si="51"/>
        <v>651409900ASCREW, STD METRIC M6 HEXALOBULAR INTERNAL, T489522644525730000</v>
      </c>
      <c r="D313" s="6" t="s">
        <v>213</v>
      </c>
      <c r="E313" s="6" t="s">
        <v>168</v>
      </c>
      <c r="F313" s="6"/>
      <c r="G313" s="7" t="s">
        <v>146</v>
      </c>
      <c r="H313" s="7"/>
      <c r="I313" s="7"/>
      <c r="J313" s="7"/>
      <c r="K313" s="7"/>
      <c r="L313" s="7">
        <v>8952264</v>
      </c>
      <c r="M313" s="22">
        <v>45257</v>
      </c>
      <c r="N313" s="8" t="e">
        <v>#N/A</v>
      </c>
      <c r="O313" s="8"/>
      <c r="P313" s="7">
        <v>30000</v>
      </c>
      <c r="Q313" s="7">
        <v>99350.31</v>
      </c>
      <c r="R313" s="7" t="e">
        <v>#N/A</v>
      </c>
      <c r="S313" s="7">
        <v>15</v>
      </c>
      <c r="T313" s="7" t="e">
        <v>#N/A</v>
      </c>
      <c r="U313" s="7" t="e">
        <v>#N/A</v>
      </c>
      <c r="V313" s="6">
        <f t="shared" si="52"/>
        <v>14902.546499999999</v>
      </c>
      <c r="W313" s="6">
        <f t="shared" si="53"/>
        <v>1490.2546499999999</v>
      </c>
      <c r="X313" s="6">
        <f t="shared" si="54"/>
        <v>16392.801149999999</v>
      </c>
      <c r="Y313" s="6">
        <f t="shared" si="55"/>
        <v>0.54642670500000001</v>
      </c>
      <c r="Z313" s="6">
        <f t="shared" si="56"/>
        <v>3.311677</v>
      </c>
      <c r="AA313" s="9">
        <f t="shared" si="57"/>
        <v>30000</v>
      </c>
      <c r="AB313" s="10">
        <v>20676</v>
      </c>
      <c r="AC313" s="11">
        <f t="shared" si="60"/>
        <v>11297.91855258</v>
      </c>
      <c r="AD313" s="12">
        <f t="shared" si="58"/>
        <v>30000</v>
      </c>
      <c r="AE313" s="13">
        <f t="shared" si="62"/>
        <v>0</v>
      </c>
    </row>
    <row r="314" spans="1:31">
      <c r="A314" s="6">
        <v>9</v>
      </c>
      <c r="B314" s="6">
        <f t="shared" si="63"/>
        <v>19</v>
      </c>
      <c r="C314" s="6" t="str">
        <f t="shared" si="51"/>
        <v>608225700ASCREW,STD METRIIC HEXALOBULAR  M5 T25 12MM31545254486980000</v>
      </c>
      <c r="D314" s="6" t="s">
        <v>213</v>
      </c>
      <c r="E314" s="6" t="s">
        <v>169</v>
      </c>
      <c r="F314" s="6"/>
      <c r="G314" s="7" t="s">
        <v>147</v>
      </c>
      <c r="H314" s="7"/>
      <c r="I314" s="7"/>
      <c r="J314" s="7"/>
      <c r="K314" s="7"/>
      <c r="L314" s="7">
        <v>3154525</v>
      </c>
      <c r="M314" s="22">
        <v>44869</v>
      </c>
      <c r="N314" s="8" t="s">
        <v>189</v>
      </c>
      <c r="O314" s="8"/>
      <c r="P314" s="7">
        <v>80000</v>
      </c>
      <c r="Q314" s="7">
        <v>224502.69</v>
      </c>
      <c r="R314" s="7">
        <v>87089400</v>
      </c>
      <c r="S314" s="7">
        <v>15</v>
      </c>
      <c r="T314" s="7" t="s">
        <v>287</v>
      </c>
      <c r="U314" s="7" t="s">
        <v>178</v>
      </c>
      <c r="V314" s="6">
        <f t="shared" si="52"/>
        <v>33675.4035</v>
      </c>
      <c r="W314" s="6">
        <f t="shared" si="53"/>
        <v>3367.5403500000002</v>
      </c>
      <c r="X314" s="6">
        <f t="shared" si="54"/>
        <v>37042.943850000003</v>
      </c>
      <c r="Y314" s="6">
        <f t="shared" si="55"/>
        <v>0.46303679812500004</v>
      </c>
      <c r="Z314" s="6">
        <f t="shared" si="56"/>
        <v>2.8062836249999998</v>
      </c>
      <c r="AA314" s="9">
        <f t="shared" si="57"/>
        <v>80000</v>
      </c>
      <c r="AB314" s="10">
        <v>18828</v>
      </c>
      <c r="AC314" s="11">
        <f t="shared" si="60"/>
        <v>8718.0568350975009</v>
      </c>
      <c r="AD314" s="12">
        <f t="shared" si="58"/>
        <v>80000</v>
      </c>
      <c r="AE314" s="13">
        <f t="shared" si="62"/>
        <v>0</v>
      </c>
    </row>
    <row r="315" spans="1:31">
      <c r="A315" s="6">
        <v>9</v>
      </c>
      <c r="B315" s="6">
        <f t="shared" si="63"/>
        <v>20</v>
      </c>
      <c r="C315" s="6" t="str">
        <f t="shared" si="51"/>
        <v>651166400CSPRING, COIL, UPPER 73271424515055000</v>
      </c>
      <c r="D315" s="6" t="s">
        <v>213</v>
      </c>
      <c r="E315" s="6" t="s">
        <v>170</v>
      </c>
      <c r="F315" s="6"/>
      <c r="G315" s="7" t="s">
        <v>148</v>
      </c>
      <c r="H315" s="7"/>
      <c r="I315" s="7"/>
      <c r="J315" s="7"/>
      <c r="K315" s="7"/>
      <c r="L315" s="7">
        <v>7327142</v>
      </c>
      <c r="M315" s="22">
        <v>45150</v>
      </c>
      <c r="N315" s="8" t="s">
        <v>189</v>
      </c>
      <c r="O315" s="8"/>
      <c r="P315" s="7">
        <v>55000</v>
      </c>
      <c r="Q315" s="7">
        <v>100568.15</v>
      </c>
      <c r="R315" s="7">
        <v>87089500</v>
      </c>
      <c r="S315" s="7">
        <v>15</v>
      </c>
      <c r="T315" s="7" t="s">
        <v>288</v>
      </c>
      <c r="U315" s="7" t="s">
        <v>178</v>
      </c>
      <c r="V315" s="6">
        <f t="shared" si="52"/>
        <v>15085.222499999998</v>
      </c>
      <c r="W315" s="6">
        <f t="shared" si="53"/>
        <v>1508.52225</v>
      </c>
      <c r="X315" s="6">
        <f t="shared" si="54"/>
        <v>16593.744749999998</v>
      </c>
      <c r="Y315" s="6">
        <f t="shared" si="55"/>
        <v>0.30170444999999996</v>
      </c>
      <c r="Z315" s="6">
        <f t="shared" si="56"/>
        <v>1.8285118181818181</v>
      </c>
      <c r="AA315" s="9">
        <f t="shared" si="57"/>
        <v>55000</v>
      </c>
      <c r="AB315" s="10">
        <v>0</v>
      </c>
      <c r="AC315" s="11">
        <f t="shared" si="60"/>
        <v>0</v>
      </c>
      <c r="AD315" s="12">
        <f t="shared" si="58"/>
        <v>55000</v>
      </c>
      <c r="AE315" s="13">
        <f t="shared" si="62"/>
        <v>0</v>
      </c>
    </row>
    <row r="316" spans="1:31">
      <c r="A316" s="6">
        <v>9</v>
      </c>
      <c r="B316" s="6">
        <f t="shared" si="63"/>
        <v>21</v>
      </c>
      <c r="C316" s="6" t="str">
        <f t="shared" si="51"/>
        <v>652466500ALEATHER, HIDE TOP GRAIN, OBSIDIAN BLACK, NNB, BLA8566470446902078.42</v>
      </c>
      <c r="D316" s="6" t="s">
        <v>213</v>
      </c>
      <c r="E316" s="6" t="s">
        <v>163</v>
      </c>
      <c r="F316" s="6"/>
      <c r="G316" s="7" t="s">
        <v>141</v>
      </c>
      <c r="H316" s="7"/>
      <c r="I316" s="7"/>
      <c r="J316" s="7"/>
      <c r="K316" s="7"/>
      <c r="L316" s="7">
        <v>8566470</v>
      </c>
      <c r="M316" s="22">
        <v>44690</v>
      </c>
      <c r="N316" s="8" t="s">
        <v>189</v>
      </c>
      <c r="O316" s="8"/>
      <c r="P316" s="7">
        <v>2078.42</v>
      </c>
      <c r="Q316" s="7">
        <v>5047939</v>
      </c>
      <c r="R316" s="7">
        <v>41071200</v>
      </c>
      <c r="S316" s="7">
        <v>10</v>
      </c>
      <c r="T316" s="7" t="s">
        <v>261</v>
      </c>
      <c r="U316" s="7" t="s">
        <v>178</v>
      </c>
      <c r="V316" s="6">
        <f t="shared" si="52"/>
        <v>504793.9</v>
      </c>
      <c r="W316" s="6">
        <f t="shared" si="53"/>
        <v>50479.390000000007</v>
      </c>
      <c r="X316" s="6">
        <f t="shared" si="54"/>
        <v>555273.29</v>
      </c>
      <c r="Y316" s="6">
        <f t="shared" si="55"/>
        <v>267.16125229741823</v>
      </c>
      <c r="Z316" s="6">
        <f t="shared" si="56"/>
        <v>2428.7386572492564</v>
      </c>
      <c r="AA316" s="9">
        <f t="shared" si="57"/>
        <v>2078.42</v>
      </c>
      <c r="AB316" s="10">
        <v>2078.42</v>
      </c>
      <c r="AC316" s="11">
        <f t="shared" si="60"/>
        <v>555273.29</v>
      </c>
      <c r="AD316" s="12">
        <f t="shared" si="58"/>
        <v>2078.42</v>
      </c>
      <c r="AE316" s="13">
        <f t="shared" si="62"/>
        <v>0</v>
      </c>
    </row>
    <row r="317" spans="1:31">
      <c r="A317" s="6">
        <v>9</v>
      </c>
      <c r="B317" s="6">
        <f t="shared" si="63"/>
        <v>22</v>
      </c>
      <c r="C317" s="6" t="str">
        <f t="shared" si="51"/>
        <v>652466500ALEATHER, HIDE TOP GRAIN, OBSIDIAN BLACK, NNB, BLA9130345452681111.56</v>
      </c>
      <c r="D317" s="6" t="s">
        <v>213</v>
      </c>
      <c r="E317" s="6" t="s">
        <v>163</v>
      </c>
      <c r="F317" s="6"/>
      <c r="G317" s="7" t="s">
        <v>141</v>
      </c>
      <c r="H317" s="7"/>
      <c r="I317" s="7"/>
      <c r="J317" s="7"/>
      <c r="K317" s="7"/>
      <c r="L317" s="7">
        <v>9130345</v>
      </c>
      <c r="M317" s="22">
        <v>45268</v>
      </c>
      <c r="N317" s="8" t="e">
        <v>#N/A</v>
      </c>
      <c r="O317" s="8"/>
      <c r="P317" s="7">
        <v>1111.56</v>
      </c>
      <c r="Q317" s="7">
        <v>2765651</v>
      </c>
      <c r="R317" s="7" t="e">
        <v>#N/A</v>
      </c>
      <c r="S317" s="7">
        <v>10</v>
      </c>
      <c r="T317" s="7" t="e">
        <v>#N/A</v>
      </c>
      <c r="U317" s="7" t="e">
        <v>#N/A</v>
      </c>
      <c r="V317" s="6">
        <f t="shared" si="52"/>
        <v>276565.10000000003</v>
      </c>
      <c r="W317" s="6">
        <f t="shared" si="53"/>
        <v>27656.510000000006</v>
      </c>
      <c r="X317" s="6">
        <f t="shared" si="54"/>
        <v>304221.61000000004</v>
      </c>
      <c r="Y317" s="6">
        <f t="shared" si="55"/>
        <v>273.68887869300806</v>
      </c>
      <c r="Z317" s="6">
        <f t="shared" si="56"/>
        <v>2488.0807153909823</v>
      </c>
      <c r="AA317" s="9">
        <f t="shared" si="57"/>
        <v>1111.56</v>
      </c>
      <c r="AB317" s="10">
        <v>125.59</v>
      </c>
      <c r="AC317" s="11">
        <f t="shared" si="60"/>
        <v>34372.586275054884</v>
      </c>
      <c r="AD317" s="12">
        <f t="shared" si="58"/>
        <v>1111.5900000000001</v>
      </c>
      <c r="AE317" s="13">
        <v>0</v>
      </c>
    </row>
    <row r="318" spans="1:31">
      <c r="A318" s="6">
        <v>9</v>
      </c>
      <c r="B318" s="6">
        <f t="shared" si="63"/>
        <v>23</v>
      </c>
      <c r="C318" s="6" t="str">
        <f t="shared" si="51"/>
        <v>652466500ALEATHER, HIDE TOP GRAIN, OBSIDIAN BLACK, NNB, BLA49815304499541.33</v>
      </c>
      <c r="D318" s="6" t="s">
        <v>213</v>
      </c>
      <c r="E318" s="6" t="s">
        <v>163</v>
      </c>
      <c r="F318" s="6"/>
      <c r="G318" s="7" t="s">
        <v>141</v>
      </c>
      <c r="H318" s="7"/>
      <c r="I318" s="7"/>
      <c r="J318" s="7"/>
      <c r="K318" s="7"/>
      <c r="L318" s="7">
        <v>4981530</v>
      </c>
      <c r="M318" s="22">
        <v>44995</v>
      </c>
      <c r="N318" s="8" t="s">
        <v>180</v>
      </c>
      <c r="O318" s="8"/>
      <c r="P318" s="7">
        <v>41.33</v>
      </c>
      <c r="Q318" s="7">
        <v>105099.46</v>
      </c>
      <c r="R318" s="7">
        <v>41071200</v>
      </c>
      <c r="S318" s="7">
        <v>10</v>
      </c>
      <c r="T318" s="7" t="s">
        <v>261</v>
      </c>
      <c r="U318" s="7" t="s">
        <v>178</v>
      </c>
      <c r="V318" s="6">
        <f t="shared" si="52"/>
        <v>10509.946000000002</v>
      </c>
      <c r="W318" s="6">
        <f t="shared" si="53"/>
        <v>1050.9946000000002</v>
      </c>
      <c r="X318" s="6">
        <f t="shared" si="54"/>
        <v>11560.940600000002</v>
      </c>
      <c r="Y318" s="6">
        <f t="shared" si="55"/>
        <v>279.72273409145902</v>
      </c>
      <c r="Z318" s="6">
        <f t="shared" si="56"/>
        <v>2542.9339462859912</v>
      </c>
      <c r="AA318" s="9">
        <f t="shared" si="57"/>
        <v>41.33</v>
      </c>
      <c r="AB318" s="10">
        <v>0</v>
      </c>
      <c r="AC318" s="11">
        <f t="shared" si="60"/>
        <v>0</v>
      </c>
      <c r="AD318" s="12">
        <f t="shared" si="58"/>
        <v>41</v>
      </c>
      <c r="AE318" s="13">
        <f t="shared" ref="AE318:AE355" si="64">AA318-AD318</f>
        <v>0.32999999999999829</v>
      </c>
    </row>
    <row r="319" spans="1:31">
      <c r="A319" s="6">
        <v>9</v>
      </c>
      <c r="B319" s="6">
        <f t="shared" si="63"/>
        <v>24</v>
      </c>
      <c r="C319" s="6" t="str">
        <f t="shared" si="51"/>
        <v>655818900BACTUATOR VIBRATION MOTOR ASSY WITH BRACKET BC3 CU7906636451889600</v>
      </c>
      <c r="D319" s="6" t="s">
        <v>213</v>
      </c>
      <c r="E319" s="6" t="s">
        <v>156</v>
      </c>
      <c r="F319" s="6"/>
      <c r="G319" s="7" t="s">
        <v>133</v>
      </c>
      <c r="H319" s="7"/>
      <c r="I319" s="7"/>
      <c r="J319" s="7"/>
      <c r="K319" s="7"/>
      <c r="L319" s="7">
        <v>7906636</v>
      </c>
      <c r="M319" s="22">
        <v>45188</v>
      </c>
      <c r="N319" s="8" t="e">
        <v>#N/A</v>
      </c>
      <c r="O319" s="8"/>
      <c r="P319" s="7">
        <v>9600</v>
      </c>
      <c r="Q319" s="7">
        <v>3211146.3</v>
      </c>
      <c r="R319" s="7" t="e">
        <v>#N/A</v>
      </c>
      <c r="S319" s="7">
        <v>15</v>
      </c>
      <c r="T319" s="7" t="e">
        <v>#N/A</v>
      </c>
      <c r="U319" s="7" t="e">
        <v>#N/A</v>
      </c>
      <c r="V319" s="6">
        <f t="shared" si="52"/>
        <v>481671.94499999995</v>
      </c>
      <c r="W319" s="6">
        <f t="shared" si="53"/>
        <v>48167.194499999998</v>
      </c>
      <c r="X319" s="6">
        <f t="shared" si="54"/>
        <v>529839.13949999993</v>
      </c>
      <c r="Y319" s="6">
        <f t="shared" si="55"/>
        <v>55.191577031249992</v>
      </c>
      <c r="Z319" s="6">
        <f t="shared" si="56"/>
        <v>334.49440625</v>
      </c>
      <c r="AA319" s="9">
        <f t="shared" si="57"/>
        <v>9600</v>
      </c>
      <c r="AB319" s="10">
        <v>9414</v>
      </c>
      <c r="AC319" s="11">
        <f t="shared" si="60"/>
        <v>519573.50617218739</v>
      </c>
      <c r="AD319" s="12">
        <f t="shared" si="58"/>
        <v>9600</v>
      </c>
      <c r="AE319" s="13">
        <f t="shared" si="64"/>
        <v>0</v>
      </c>
    </row>
    <row r="320" spans="1:31">
      <c r="A320" s="6">
        <v>9</v>
      </c>
      <c r="B320" s="6">
        <f t="shared" si="63"/>
        <v>25</v>
      </c>
      <c r="C320" s="6" t="str">
        <f t="shared" si="51"/>
        <v>655931500AARMATURE, MONOBLOCK ASW4, HYUNDAI BC3-CUV8065638451989720</v>
      </c>
      <c r="D320" s="6" t="s">
        <v>213</v>
      </c>
      <c r="E320" s="6" t="s">
        <v>157</v>
      </c>
      <c r="F320" s="6"/>
      <c r="G320" s="7" t="s">
        <v>134</v>
      </c>
      <c r="H320" s="7"/>
      <c r="I320" s="7"/>
      <c r="J320" s="7"/>
      <c r="K320" s="7"/>
      <c r="L320" s="7">
        <v>8065638</v>
      </c>
      <c r="M320" s="22">
        <v>45198</v>
      </c>
      <c r="N320" s="8" t="e">
        <v>#N/A</v>
      </c>
      <c r="O320" s="8"/>
      <c r="P320" s="7">
        <v>9720</v>
      </c>
      <c r="Q320" s="7">
        <v>4075704.98</v>
      </c>
      <c r="R320" s="7" t="e">
        <v>#N/A</v>
      </c>
      <c r="S320" s="7">
        <v>15</v>
      </c>
      <c r="T320" s="7" t="e">
        <v>#N/A</v>
      </c>
      <c r="U320" s="7" t="e">
        <v>#N/A</v>
      </c>
      <c r="V320" s="6">
        <f t="shared" si="52"/>
        <v>611355.74699999997</v>
      </c>
      <c r="W320" s="6">
        <f t="shared" si="53"/>
        <v>61135.574699999997</v>
      </c>
      <c r="X320" s="6">
        <f t="shared" si="54"/>
        <v>672491.32169999997</v>
      </c>
      <c r="Y320" s="6">
        <f t="shared" si="55"/>
        <v>69.186349969135804</v>
      </c>
      <c r="Z320" s="6">
        <f t="shared" si="56"/>
        <v>419.3112119341564</v>
      </c>
      <c r="AA320" s="9">
        <f t="shared" si="57"/>
        <v>9720</v>
      </c>
      <c r="AB320" s="10">
        <v>5184</v>
      </c>
      <c r="AC320" s="11">
        <f t="shared" si="60"/>
        <v>358662.03824000002</v>
      </c>
      <c r="AD320" s="12">
        <f t="shared" si="58"/>
        <v>9720</v>
      </c>
      <c r="AE320" s="13">
        <f t="shared" si="64"/>
        <v>0</v>
      </c>
    </row>
    <row r="321" spans="1:31">
      <c r="A321" s="6">
        <v>9</v>
      </c>
      <c r="B321" s="6">
        <f t="shared" si="63"/>
        <v>26</v>
      </c>
      <c r="C321" s="6" t="str">
        <f t="shared" si="51"/>
        <v>655931500AARMATURE, MONOBLOCK ASW4, HYUNDAI BC3-CUV3353058448834860</v>
      </c>
      <c r="D321" s="6" t="s">
        <v>213</v>
      </c>
      <c r="E321" s="6" t="s">
        <v>157</v>
      </c>
      <c r="F321" s="6"/>
      <c r="G321" s="7" t="s">
        <v>134</v>
      </c>
      <c r="H321" s="7"/>
      <c r="I321" s="7"/>
      <c r="J321" s="7"/>
      <c r="K321" s="7"/>
      <c r="L321" s="7">
        <v>3353058</v>
      </c>
      <c r="M321" s="22">
        <v>44883</v>
      </c>
      <c r="N321" s="8" t="s">
        <v>184</v>
      </c>
      <c r="O321" s="8"/>
      <c r="P321" s="7">
        <v>4860</v>
      </c>
      <c r="Q321" s="7">
        <v>2360668.77</v>
      </c>
      <c r="R321" s="7">
        <v>87089400</v>
      </c>
      <c r="S321" s="7">
        <v>15</v>
      </c>
      <c r="T321" s="7" t="s">
        <v>186</v>
      </c>
      <c r="U321" s="7" t="s">
        <v>178</v>
      </c>
      <c r="V321" s="6">
        <f t="shared" si="52"/>
        <v>354100.31549999997</v>
      </c>
      <c r="W321" s="6">
        <f t="shared" si="53"/>
        <v>35410.03155</v>
      </c>
      <c r="X321" s="6">
        <f t="shared" si="54"/>
        <v>389510.34704999998</v>
      </c>
      <c r="Y321" s="6">
        <f t="shared" si="55"/>
        <v>80.146161944444444</v>
      </c>
      <c r="Z321" s="6">
        <f t="shared" si="56"/>
        <v>485.73431481481481</v>
      </c>
      <c r="AA321" s="9">
        <f t="shared" si="57"/>
        <v>4860</v>
      </c>
      <c r="AB321" s="10">
        <v>1620</v>
      </c>
      <c r="AC321" s="11">
        <f t="shared" si="60"/>
        <v>129836.78234999999</v>
      </c>
      <c r="AD321" s="12">
        <f t="shared" si="58"/>
        <v>4860</v>
      </c>
      <c r="AE321" s="13">
        <f t="shared" si="64"/>
        <v>0</v>
      </c>
    </row>
    <row r="322" spans="1:31">
      <c r="A322" s="6">
        <v>9</v>
      </c>
      <c r="B322" s="6">
        <f t="shared" si="63"/>
        <v>27</v>
      </c>
      <c r="C322" s="6" t="str">
        <f t="shared" ref="C322:C385" si="65">E322&amp;G322&amp;L322&amp;M322&amp;P322</f>
        <v>655931500AARMATURE, MONOBLOCK ASW4, HYUNDAI BC3-CUV8890638452531620</v>
      </c>
      <c r="D322" s="6" t="s">
        <v>213</v>
      </c>
      <c r="E322" s="6" t="s">
        <v>157</v>
      </c>
      <c r="F322" s="6"/>
      <c r="G322" s="7" t="s">
        <v>134</v>
      </c>
      <c r="H322" s="7"/>
      <c r="I322" s="7"/>
      <c r="J322" s="7"/>
      <c r="K322" s="7"/>
      <c r="L322" s="7">
        <v>8890638</v>
      </c>
      <c r="M322" s="22">
        <v>45253</v>
      </c>
      <c r="N322" s="8" t="s">
        <v>184</v>
      </c>
      <c r="O322" s="8"/>
      <c r="P322" s="7">
        <v>1620</v>
      </c>
      <c r="Q322" s="7">
        <v>668949.47</v>
      </c>
      <c r="R322" s="7">
        <v>87089400</v>
      </c>
      <c r="S322" s="7">
        <v>15</v>
      </c>
      <c r="T322" s="7" t="s">
        <v>186</v>
      </c>
      <c r="U322" s="7" t="s">
        <v>178</v>
      </c>
      <c r="V322" s="6">
        <f t="shared" ref="V322:V385" si="66">Q322*S322%</f>
        <v>100342.42049999999</v>
      </c>
      <c r="W322" s="6">
        <f t="shared" ref="W322:W385" si="67">V322*0.1</f>
        <v>10034.242050000001</v>
      </c>
      <c r="X322" s="6">
        <f t="shared" ref="X322:X385" si="68">V322+W322</f>
        <v>110376.66254999999</v>
      </c>
      <c r="Y322" s="6">
        <f t="shared" ref="Y322:Y385" si="69">X322/P322</f>
        <v>68.13374231481481</v>
      </c>
      <c r="Z322" s="6">
        <f t="shared" ref="Z322:Z385" si="70">Q322/P322</f>
        <v>412.93177160493826</v>
      </c>
      <c r="AA322" s="9">
        <f t="shared" ref="AA322:AA385" si="71">P322</f>
        <v>1620</v>
      </c>
      <c r="AB322" s="10">
        <v>486</v>
      </c>
      <c r="AC322" s="11">
        <f t="shared" si="60"/>
        <v>33112.998764999997</v>
      </c>
      <c r="AD322" s="12">
        <f t="shared" ref="AD322:AD385" si="72">SUMIF($C$2:$C$2284,C322,$AB$2:$AB$2284)</f>
        <v>1620</v>
      </c>
      <c r="AE322" s="13">
        <f t="shared" si="64"/>
        <v>0</v>
      </c>
    </row>
    <row r="323" spans="1:31">
      <c r="A323" s="6">
        <v>9</v>
      </c>
      <c r="B323" s="6">
        <f t="shared" si="63"/>
        <v>28</v>
      </c>
      <c r="C323" s="6" t="str">
        <f t="shared" si="65"/>
        <v>655931500AARMATURE, MONOBLOCK ASW4, HYUNDAI BC3-CUV7358127451524860</v>
      </c>
      <c r="D323" s="6" t="s">
        <v>213</v>
      </c>
      <c r="E323" s="6" t="s">
        <v>157</v>
      </c>
      <c r="F323" s="6"/>
      <c r="G323" s="7" t="s">
        <v>134</v>
      </c>
      <c r="H323" s="7"/>
      <c r="I323" s="7"/>
      <c r="J323" s="7"/>
      <c r="K323" s="7"/>
      <c r="L323" s="7">
        <v>7358127</v>
      </c>
      <c r="M323" s="22">
        <v>45152</v>
      </c>
      <c r="N323" s="8" t="s">
        <v>184</v>
      </c>
      <c r="O323" s="8"/>
      <c r="P323" s="7">
        <v>4860</v>
      </c>
      <c r="Q323" s="7">
        <v>2080616.19</v>
      </c>
      <c r="R323" s="7">
        <v>87089900</v>
      </c>
      <c r="S323" s="7">
        <v>15</v>
      </c>
      <c r="T323" s="7" t="s">
        <v>274</v>
      </c>
      <c r="U323" s="7" t="s">
        <v>178</v>
      </c>
      <c r="V323" s="6">
        <f t="shared" si="66"/>
        <v>312092.42849999998</v>
      </c>
      <c r="W323" s="6">
        <f t="shared" si="67"/>
        <v>31209.242849999999</v>
      </c>
      <c r="X323" s="6">
        <f t="shared" si="68"/>
        <v>343301.67134999996</v>
      </c>
      <c r="Y323" s="6">
        <f t="shared" si="69"/>
        <v>70.638203981481468</v>
      </c>
      <c r="Z323" s="6">
        <f t="shared" si="70"/>
        <v>428.1103271604938</v>
      </c>
      <c r="AA323" s="9">
        <f t="shared" si="71"/>
        <v>4860</v>
      </c>
      <c r="AB323" s="10">
        <v>507</v>
      </c>
      <c r="AC323" s="11">
        <f t="shared" ref="AC323:AC386" si="73">AB323*Y323</f>
        <v>35813.569418611107</v>
      </c>
      <c r="AD323" s="12">
        <f t="shared" si="72"/>
        <v>4860</v>
      </c>
      <c r="AE323" s="13">
        <f t="shared" si="64"/>
        <v>0</v>
      </c>
    </row>
    <row r="324" spans="1:31" ht="30">
      <c r="A324" s="6">
        <v>9</v>
      </c>
      <c r="B324" s="6">
        <f t="shared" si="63"/>
        <v>29</v>
      </c>
      <c r="C324" s="6" t="str">
        <f t="shared" si="65"/>
        <v>655931500AARMATURE, MONOBLOCK ASW4, HYUNDAI BC3-CUV7445024451595832</v>
      </c>
      <c r="D324" s="6" t="s">
        <v>213</v>
      </c>
      <c r="E324" s="6" t="s">
        <v>157</v>
      </c>
      <c r="F324" s="6"/>
      <c r="G324" s="7" t="s">
        <v>134</v>
      </c>
      <c r="H324" s="7"/>
      <c r="I324" s="7"/>
      <c r="J324" s="7"/>
      <c r="K324" s="7"/>
      <c r="L324" s="7">
        <v>7445024</v>
      </c>
      <c r="M324" s="22">
        <v>45159</v>
      </c>
      <c r="N324" s="8" t="s">
        <v>185</v>
      </c>
      <c r="O324" s="8"/>
      <c r="P324" s="7">
        <v>5832</v>
      </c>
      <c r="Q324" s="7">
        <v>2402740.63</v>
      </c>
      <c r="R324" s="7">
        <v>87089400</v>
      </c>
      <c r="S324" s="7">
        <v>15</v>
      </c>
      <c r="T324" s="7" t="s">
        <v>194</v>
      </c>
      <c r="U324" s="7" t="s">
        <v>178</v>
      </c>
      <c r="V324" s="6">
        <f t="shared" si="66"/>
        <v>360411.09449999995</v>
      </c>
      <c r="W324" s="6">
        <f t="shared" si="67"/>
        <v>36041.109449999996</v>
      </c>
      <c r="X324" s="6">
        <f t="shared" si="68"/>
        <v>396452.20394999994</v>
      </c>
      <c r="Y324" s="6">
        <f t="shared" si="69"/>
        <v>67.978772968106981</v>
      </c>
      <c r="Z324" s="6">
        <f t="shared" si="70"/>
        <v>411.9925634430727</v>
      </c>
      <c r="AA324" s="9">
        <f t="shared" si="71"/>
        <v>5832</v>
      </c>
      <c r="AB324" s="10">
        <v>0</v>
      </c>
      <c r="AC324" s="11">
        <f t="shared" si="73"/>
        <v>0</v>
      </c>
      <c r="AD324" s="12">
        <f t="shared" si="72"/>
        <v>5832</v>
      </c>
      <c r="AE324" s="13">
        <f t="shared" si="64"/>
        <v>0</v>
      </c>
    </row>
    <row r="325" spans="1:31">
      <c r="A325" s="6">
        <v>9</v>
      </c>
      <c r="B325" s="6">
        <f t="shared" si="63"/>
        <v>30</v>
      </c>
      <c r="C325" s="6" t="str">
        <f t="shared" si="65"/>
        <v>655931500AARMATURE, MONOBLOCK ASW4, HYUNDAI BC3-CUV7443472451592430</v>
      </c>
      <c r="D325" s="6" t="s">
        <v>213</v>
      </c>
      <c r="E325" s="6" t="s">
        <v>157</v>
      </c>
      <c r="F325" s="6"/>
      <c r="G325" s="7" t="s">
        <v>134</v>
      </c>
      <c r="H325" s="7"/>
      <c r="I325" s="7"/>
      <c r="J325" s="7"/>
      <c r="K325" s="7"/>
      <c r="L325" s="7">
        <v>7443472</v>
      </c>
      <c r="M325" s="22">
        <v>45159</v>
      </c>
      <c r="N325" s="8" t="s">
        <v>184</v>
      </c>
      <c r="O325" s="8"/>
      <c r="P325" s="7">
        <v>2430</v>
      </c>
      <c r="Q325" s="7">
        <v>1009952.52</v>
      </c>
      <c r="R325" s="7">
        <v>87089400</v>
      </c>
      <c r="S325" s="7">
        <v>15</v>
      </c>
      <c r="T325" s="7" t="s">
        <v>186</v>
      </c>
      <c r="U325" s="7" t="s">
        <v>178</v>
      </c>
      <c r="V325" s="6">
        <f t="shared" si="66"/>
        <v>151492.878</v>
      </c>
      <c r="W325" s="6">
        <f t="shared" si="67"/>
        <v>15149.2878</v>
      </c>
      <c r="X325" s="6">
        <f t="shared" si="68"/>
        <v>166642.16579999999</v>
      </c>
      <c r="Y325" s="6">
        <f t="shared" si="69"/>
        <v>68.577022962962957</v>
      </c>
      <c r="Z325" s="6">
        <f t="shared" si="70"/>
        <v>415.61832098765433</v>
      </c>
      <c r="AA325" s="9">
        <f t="shared" si="71"/>
        <v>2430</v>
      </c>
      <c r="AB325" s="10">
        <v>0</v>
      </c>
      <c r="AC325" s="11">
        <f t="shared" si="73"/>
        <v>0</v>
      </c>
      <c r="AD325" s="12">
        <f t="shared" si="72"/>
        <v>2430</v>
      </c>
      <c r="AE325" s="13">
        <f t="shared" si="64"/>
        <v>0</v>
      </c>
    </row>
    <row r="326" spans="1:31">
      <c r="A326" s="6">
        <v>9</v>
      </c>
      <c r="B326" s="6">
        <f t="shared" si="63"/>
        <v>31</v>
      </c>
      <c r="C326" s="6" t="str">
        <f t="shared" si="65"/>
        <v>653052600AINFLATOR, APP-4.6, 2.2MO STANDARD_MIB, SQUARE_61X4214101449431728</v>
      </c>
      <c r="D326" s="6" t="s">
        <v>213</v>
      </c>
      <c r="E326" s="6" t="s">
        <v>161</v>
      </c>
      <c r="F326" s="6"/>
      <c r="G326" s="7" t="s">
        <v>139</v>
      </c>
      <c r="H326" s="7"/>
      <c r="I326" s="7"/>
      <c r="J326" s="7"/>
      <c r="K326" s="7"/>
      <c r="L326" s="7">
        <v>4214101</v>
      </c>
      <c r="M326" s="22">
        <v>44943</v>
      </c>
      <c r="N326" s="8" t="s">
        <v>184</v>
      </c>
      <c r="O326" s="8"/>
      <c r="P326" s="7">
        <v>1728</v>
      </c>
      <c r="Q326" s="7">
        <v>806536.88</v>
      </c>
      <c r="R326" s="7">
        <v>87089500</v>
      </c>
      <c r="S326" s="7">
        <v>15</v>
      </c>
      <c r="T326" s="7" t="s">
        <v>259</v>
      </c>
      <c r="U326" s="7" t="s">
        <v>200</v>
      </c>
      <c r="V326" s="6">
        <f t="shared" si="66"/>
        <v>120980.53199999999</v>
      </c>
      <c r="W326" s="6">
        <f t="shared" si="67"/>
        <v>12098.0532</v>
      </c>
      <c r="X326" s="6">
        <f t="shared" si="68"/>
        <v>133078.5852</v>
      </c>
      <c r="Y326" s="6">
        <f t="shared" si="69"/>
        <v>77.013070138888892</v>
      </c>
      <c r="Z326" s="6">
        <f t="shared" si="70"/>
        <v>466.74587962962966</v>
      </c>
      <c r="AA326" s="9">
        <f t="shared" si="71"/>
        <v>1728</v>
      </c>
      <c r="AB326" s="10">
        <v>960</v>
      </c>
      <c r="AC326" s="11">
        <f t="shared" si="73"/>
        <v>73932.547333333336</v>
      </c>
      <c r="AD326" s="12">
        <f t="shared" si="72"/>
        <v>1728</v>
      </c>
      <c r="AE326" s="13">
        <f t="shared" si="64"/>
        <v>0</v>
      </c>
    </row>
    <row r="327" spans="1:31">
      <c r="A327" s="6">
        <v>9</v>
      </c>
      <c r="B327" s="6">
        <f t="shared" si="63"/>
        <v>32</v>
      </c>
      <c r="C327" s="6" t="str">
        <f t="shared" si="65"/>
        <v>656011400ALEATHER, HIDE TOP GRAIN, GREY, FOSSIL GREY, T9Y,616153245074454.75</v>
      </c>
      <c r="D327" s="6" t="s">
        <v>213</v>
      </c>
      <c r="E327" s="6" t="s">
        <v>162</v>
      </c>
      <c r="F327" s="6"/>
      <c r="G327" s="7" t="s">
        <v>140</v>
      </c>
      <c r="H327" s="7"/>
      <c r="I327" s="7"/>
      <c r="J327" s="7"/>
      <c r="K327" s="7"/>
      <c r="L327" s="7">
        <v>6161532</v>
      </c>
      <c r="M327" s="22">
        <v>45074</v>
      </c>
      <c r="N327" s="8" t="s">
        <v>180</v>
      </c>
      <c r="O327" s="8"/>
      <c r="P327" s="7">
        <v>454.75</v>
      </c>
      <c r="Q327" s="7">
        <v>1114461.1200000001</v>
      </c>
      <c r="R327" s="7">
        <v>41071900</v>
      </c>
      <c r="S327" s="7">
        <v>10</v>
      </c>
      <c r="T327" s="7" t="s">
        <v>289</v>
      </c>
      <c r="U327" s="7" t="s">
        <v>178</v>
      </c>
      <c r="V327" s="6">
        <f t="shared" si="66"/>
        <v>111446.11200000002</v>
      </c>
      <c r="W327" s="6">
        <f t="shared" si="67"/>
        <v>11144.611200000003</v>
      </c>
      <c r="X327" s="6">
        <f t="shared" si="68"/>
        <v>122590.72320000002</v>
      </c>
      <c r="Y327" s="6">
        <f t="shared" si="69"/>
        <v>269.57828081363391</v>
      </c>
      <c r="Z327" s="6">
        <f t="shared" si="70"/>
        <v>2450.7116437603081</v>
      </c>
      <c r="AA327" s="9">
        <f t="shared" si="71"/>
        <v>454.75</v>
      </c>
      <c r="AB327" s="10">
        <v>121.77</v>
      </c>
      <c r="AC327" s="11">
        <f t="shared" si="73"/>
        <v>32826.547254676203</v>
      </c>
      <c r="AD327" s="12">
        <f t="shared" si="72"/>
        <v>454.75</v>
      </c>
      <c r="AE327" s="13">
        <f t="shared" si="64"/>
        <v>0</v>
      </c>
    </row>
    <row r="328" spans="1:31">
      <c r="A328" s="6">
        <v>9</v>
      </c>
      <c r="B328" s="6">
        <f t="shared" si="63"/>
        <v>33</v>
      </c>
      <c r="C328" s="6" t="str">
        <f t="shared" si="65"/>
        <v>639590100BSCREW SELF TAPPING INTERNAL T15, 15.01020145256120000</v>
      </c>
      <c r="D328" s="6" t="s">
        <v>213</v>
      </c>
      <c r="E328" s="6" t="s">
        <v>165</v>
      </c>
      <c r="F328" s="6"/>
      <c r="G328" s="7" t="s">
        <v>143</v>
      </c>
      <c r="H328" s="7"/>
      <c r="I328" s="7"/>
      <c r="J328" s="7"/>
      <c r="K328" s="7"/>
      <c r="L328" s="7">
        <v>10201</v>
      </c>
      <c r="M328" s="22">
        <v>45256</v>
      </c>
      <c r="N328" s="8" t="e">
        <v>#N/A</v>
      </c>
      <c r="O328" s="8"/>
      <c r="P328" s="7">
        <v>120000</v>
      </c>
      <c r="Q328" s="7">
        <v>163630.84</v>
      </c>
      <c r="R328" s="7" t="e">
        <v>#N/A</v>
      </c>
      <c r="S328" s="7">
        <v>15</v>
      </c>
      <c r="T328" s="7" t="e">
        <v>#N/A</v>
      </c>
      <c r="U328" s="7" t="e">
        <v>#N/A</v>
      </c>
      <c r="V328" s="6">
        <f t="shared" si="66"/>
        <v>24544.626</v>
      </c>
      <c r="W328" s="6">
        <f t="shared" si="67"/>
        <v>2454.4626000000003</v>
      </c>
      <c r="X328" s="6">
        <f t="shared" si="68"/>
        <v>26999.088599999999</v>
      </c>
      <c r="Y328" s="6">
        <f t="shared" si="69"/>
        <v>0.22499240500000001</v>
      </c>
      <c r="Z328" s="6">
        <f t="shared" si="70"/>
        <v>1.3635903333333332</v>
      </c>
      <c r="AA328" s="9">
        <f t="shared" si="71"/>
        <v>120000</v>
      </c>
      <c r="AB328" s="10">
        <v>71394</v>
      </c>
      <c r="AC328" s="11">
        <f t="shared" si="73"/>
        <v>16063.10776257</v>
      </c>
      <c r="AD328" s="12">
        <f t="shared" si="72"/>
        <v>120000</v>
      </c>
      <c r="AE328" s="13">
        <f t="shared" si="64"/>
        <v>0</v>
      </c>
    </row>
    <row r="329" spans="1:31">
      <c r="A329" s="6">
        <v>9</v>
      </c>
      <c r="B329" s="6">
        <f t="shared" si="63"/>
        <v>34</v>
      </c>
      <c r="C329" s="6" t="str">
        <f t="shared" si="65"/>
        <v>644345600ASCREW, SELF-TAPPING, PLA PLASTIC, 3.0, CROSS39402614492360000</v>
      </c>
      <c r="D329" s="6" t="s">
        <v>213</v>
      </c>
      <c r="E329" s="6" t="s">
        <v>166</v>
      </c>
      <c r="F329" s="6"/>
      <c r="G329" s="7" t="s">
        <v>144</v>
      </c>
      <c r="H329" s="7"/>
      <c r="I329" s="7"/>
      <c r="J329" s="7"/>
      <c r="K329" s="7"/>
      <c r="L329" s="7">
        <v>3940261</v>
      </c>
      <c r="M329" s="22">
        <v>44923</v>
      </c>
      <c r="N329" s="8" t="s">
        <v>189</v>
      </c>
      <c r="O329" s="8"/>
      <c r="P329" s="7">
        <v>60000</v>
      </c>
      <c r="Q329" s="7">
        <v>46616.75</v>
      </c>
      <c r="R329" s="7">
        <v>87089500</v>
      </c>
      <c r="S329" s="7">
        <v>15</v>
      </c>
      <c r="T329" s="7" t="s">
        <v>183</v>
      </c>
      <c r="U329" s="7" t="s">
        <v>178</v>
      </c>
      <c r="V329" s="6">
        <f t="shared" si="66"/>
        <v>6992.5124999999998</v>
      </c>
      <c r="W329" s="6">
        <f t="shared" si="67"/>
        <v>699.25125000000003</v>
      </c>
      <c r="X329" s="6">
        <f t="shared" si="68"/>
        <v>7691.7637500000001</v>
      </c>
      <c r="Y329" s="6">
        <f t="shared" si="69"/>
        <v>0.12819606250000001</v>
      </c>
      <c r="Z329" s="6">
        <f t="shared" si="70"/>
        <v>0.77694583333333334</v>
      </c>
      <c r="AA329" s="9">
        <f t="shared" si="71"/>
        <v>60000</v>
      </c>
      <c r="AB329" s="10">
        <v>638</v>
      </c>
      <c r="AC329" s="11">
        <f t="shared" si="73"/>
        <v>81.789087875000007</v>
      </c>
      <c r="AD329" s="12">
        <f t="shared" si="72"/>
        <v>60000</v>
      </c>
      <c r="AE329" s="13">
        <f t="shared" si="64"/>
        <v>0</v>
      </c>
    </row>
    <row r="330" spans="1:31">
      <c r="A330" s="6">
        <v>9</v>
      </c>
      <c r="B330" s="6">
        <f t="shared" si="63"/>
        <v>35</v>
      </c>
      <c r="C330" s="6" t="str">
        <f t="shared" si="65"/>
        <v>628408700ASCREW, STANDARD, METRIC, M5, HEXALOBULAR INTERNAL63287004508525000</v>
      </c>
      <c r="D330" s="6" t="s">
        <v>213</v>
      </c>
      <c r="E330" s="6" t="s">
        <v>167</v>
      </c>
      <c r="F330" s="6"/>
      <c r="G330" s="7" t="s">
        <v>145</v>
      </c>
      <c r="H330" s="7"/>
      <c r="I330" s="7"/>
      <c r="J330" s="7"/>
      <c r="K330" s="7"/>
      <c r="L330" s="7">
        <v>6328700</v>
      </c>
      <c r="M330" s="22">
        <v>45085</v>
      </c>
      <c r="N330" s="8" t="s">
        <v>180</v>
      </c>
      <c r="O330" s="8"/>
      <c r="P330" s="7">
        <v>25000</v>
      </c>
      <c r="Q330" s="7">
        <v>130117.01</v>
      </c>
      <c r="R330" s="7">
        <v>87089500</v>
      </c>
      <c r="S330" s="7">
        <v>15</v>
      </c>
      <c r="T330" s="7" t="s">
        <v>181</v>
      </c>
      <c r="U330" s="7" t="s">
        <v>178</v>
      </c>
      <c r="V330" s="6">
        <f t="shared" si="66"/>
        <v>19517.551499999998</v>
      </c>
      <c r="W330" s="6">
        <f t="shared" si="67"/>
        <v>1951.75515</v>
      </c>
      <c r="X330" s="6">
        <f t="shared" si="68"/>
        <v>21469.306649999999</v>
      </c>
      <c r="Y330" s="6">
        <f t="shared" si="69"/>
        <v>0.8587722659999999</v>
      </c>
      <c r="Z330" s="6">
        <f t="shared" si="70"/>
        <v>5.2046804</v>
      </c>
      <c r="AA330" s="9">
        <f t="shared" si="71"/>
        <v>25000</v>
      </c>
      <c r="AB330" s="10">
        <v>14947</v>
      </c>
      <c r="AC330" s="11">
        <f t="shared" si="73"/>
        <v>12836.069059901998</v>
      </c>
      <c r="AD330" s="12">
        <f t="shared" si="72"/>
        <v>25000</v>
      </c>
      <c r="AE330" s="13">
        <f t="shared" si="64"/>
        <v>0</v>
      </c>
    </row>
    <row r="331" spans="1:31">
      <c r="A331" s="6">
        <v>9</v>
      </c>
      <c r="B331" s="6">
        <f t="shared" si="63"/>
        <v>36</v>
      </c>
      <c r="C331" s="6" t="str">
        <f t="shared" si="65"/>
        <v>651166400CSPRING, COIL, UPPER 92851204527850000</v>
      </c>
      <c r="D331" s="6" t="s">
        <v>213</v>
      </c>
      <c r="E331" s="6" t="s">
        <v>170</v>
      </c>
      <c r="F331" s="6"/>
      <c r="G331" s="7" t="s">
        <v>148</v>
      </c>
      <c r="H331" s="7"/>
      <c r="I331" s="7"/>
      <c r="J331" s="7"/>
      <c r="K331" s="7"/>
      <c r="L331" s="7">
        <v>9285120</v>
      </c>
      <c r="M331" s="22">
        <v>45278</v>
      </c>
      <c r="N331" s="8" t="e">
        <v>#N/A</v>
      </c>
      <c r="O331" s="8"/>
      <c r="P331" s="7">
        <v>50000</v>
      </c>
      <c r="Q331" s="7">
        <v>92063.88</v>
      </c>
      <c r="R331" s="7" t="e">
        <v>#N/A</v>
      </c>
      <c r="S331" s="7">
        <v>15</v>
      </c>
      <c r="T331" s="7" t="e">
        <v>#N/A</v>
      </c>
      <c r="U331" s="7" t="e">
        <v>#N/A</v>
      </c>
      <c r="V331" s="6">
        <f t="shared" si="66"/>
        <v>13809.582</v>
      </c>
      <c r="W331" s="6">
        <f t="shared" si="67"/>
        <v>1380.9582</v>
      </c>
      <c r="X331" s="6">
        <f t="shared" si="68"/>
        <v>15190.540199999999</v>
      </c>
      <c r="Y331" s="6">
        <f t="shared" si="69"/>
        <v>0.30381080399999999</v>
      </c>
      <c r="Z331" s="6">
        <f t="shared" si="70"/>
        <v>1.8412776000000002</v>
      </c>
      <c r="AA331" s="9">
        <f t="shared" si="71"/>
        <v>50000</v>
      </c>
      <c r="AB331" s="10">
        <v>32400</v>
      </c>
      <c r="AC331" s="11">
        <f t="shared" si="73"/>
        <v>9843.4700496000005</v>
      </c>
      <c r="AD331" s="12">
        <f t="shared" si="72"/>
        <v>50000</v>
      </c>
      <c r="AE331" s="13">
        <f t="shared" si="64"/>
        <v>0</v>
      </c>
    </row>
    <row r="332" spans="1:31">
      <c r="A332" s="6">
        <v>9</v>
      </c>
      <c r="B332" s="6">
        <f t="shared" si="63"/>
        <v>37</v>
      </c>
      <c r="C332" s="6" t="str">
        <f t="shared" si="65"/>
        <v>652466500ALEATHER, HIDE TOP GRAIN, OBSIDIAN BLACK, NNB, BLA4153391449382144.6</v>
      </c>
      <c r="D332" s="6" t="s">
        <v>213</v>
      </c>
      <c r="E332" s="6" t="s">
        <v>163</v>
      </c>
      <c r="F332" s="6"/>
      <c r="G332" s="7" t="s">
        <v>141</v>
      </c>
      <c r="H332" s="7"/>
      <c r="I332" s="7"/>
      <c r="J332" s="7"/>
      <c r="K332" s="7"/>
      <c r="L332" s="7">
        <v>4153391</v>
      </c>
      <c r="M332" s="22">
        <v>44938</v>
      </c>
      <c r="N332" s="8" t="s">
        <v>190</v>
      </c>
      <c r="O332" s="8"/>
      <c r="P332" s="7">
        <v>2144.6</v>
      </c>
      <c r="Q332" s="7">
        <v>5171904</v>
      </c>
      <c r="R332" s="7">
        <v>41071200</v>
      </c>
      <c r="S332" s="7">
        <v>0</v>
      </c>
      <c r="T332" s="7" t="s">
        <v>279</v>
      </c>
      <c r="U332" s="7" t="s">
        <v>178</v>
      </c>
      <c r="V332" s="6">
        <f t="shared" si="66"/>
        <v>0</v>
      </c>
      <c r="W332" s="6">
        <f t="shared" si="67"/>
        <v>0</v>
      </c>
      <c r="X332" s="6">
        <f t="shared" si="68"/>
        <v>0</v>
      </c>
      <c r="Y332" s="6">
        <f t="shared" si="69"/>
        <v>0</v>
      </c>
      <c r="Z332" s="6">
        <f t="shared" si="70"/>
        <v>2411.5937704000748</v>
      </c>
      <c r="AA332" s="9">
        <f t="shared" si="71"/>
        <v>2144.6</v>
      </c>
      <c r="AB332" s="10">
        <v>0</v>
      </c>
      <c r="AC332" s="11">
        <f t="shared" si="73"/>
        <v>0</v>
      </c>
      <c r="AD332" s="12">
        <f t="shared" si="72"/>
        <v>2117.624914</v>
      </c>
      <c r="AE332" s="13">
        <f t="shared" si="64"/>
        <v>26.975085999999919</v>
      </c>
    </row>
    <row r="333" spans="1:31">
      <c r="A333" s="6">
        <v>9</v>
      </c>
      <c r="B333" s="6">
        <f t="shared" si="63"/>
        <v>38</v>
      </c>
      <c r="C333" s="6" t="str">
        <f t="shared" si="65"/>
        <v>644345600ASCREW, SELF-TAPPING, PLA PLASTIC, 3.0, CROSS82103034520890000</v>
      </c>
      <c r="D333" s="6" t="s">
        <v>213</v>
      </c>
      <c r="E333" s="6" t="s">
        <v>166</v>
      </c>
      <c r="F333" s="6"/>
      <c r="G333" s="7" t="s">
        <v>144</v>
      </c>
      <c r="H333" s="7"/>
      <c r="I333" s="7"/>
      <c r="J333" s="7"/>
      <c r="K333" s="7"/>
      <c r="L333" s="7">
        <v>8210303</v>
      </c>
      <c r="M333" s="22">
        <v>45208</v>
      </c>
      <c r="N333" s="8" t="s">
        <v>190</v>
      </c>
      <c r="O333" s="8" t="s">
        <v>333</v>
      </c>
      <c r="P333" s="7">
        <v>90000</v>
      </c>
      <c r="Q333" s="7">
        <v>68654.59</v>
      </c>
      <c r="R333" s="7">
        <v>87089500</v>
      </c>
      <c r="S333" s="7">
        <v>15</v>
      </c>
      <c r="T333" s="7" t="s">
        <v>191</v>
      </c>
      <c r="U333" s="7" t="s">
        <v>178</v>
      </c>
      <c r="V333" s="6">
        <f t="shared" si="66"/>
        <v>10298.188499999998</v>
      </c>
      <c r="W333" s="6">
        <f t="shared" si="67"/>
        <v>1029.8188499999999</v>
      </c>
      <c r="X333" s="6">
        <f t="shared" si="68"/>
        <v>11328.007349999998</v>
      </c>
      <c r="Y333" s="6">
        <f t="shared" si="69"/>
        <v>0.12586674833333331</v>
      </c>
      <c r="Z333" s="6">
        <f t="shared" si="70"/>
        <v>0.76282877777777769</v>
      </c>
      <c r="AA333" s="9">
        <f t="shared" si="71"/>
        <v>90000</v>
      </c>
      <c r="AB333" s="10">
        <v>796</v>
      </c>
      <c r="AC333" s="11">
        <f t="shared" si="73"/>
        <v>100.18993167333331</v>
      </c>
      <c r="AD333" s="12">
        <f t="shared" si="72"/>
        <v>90000</v>
      </c>
      <c r="AE333" s="13">
        <f t="shared" si="64"/>
        <v>0</v>
      </c>
    </row>
    <row r="334" spans="1:31">
      <c r="A334" s="6">
        <v>9</v>
      </c>
      <c r="B334" s="6">
        <f t="shared" si="63"/>
        <v>39</v>
      </c>
      <c r="C334" s="6" t="str">
        <f t="shared" si="65"/>
        <v>655931500AARMATURE, MONOBLOCK ASW4, HYUNDAI BC3-CUV9671239453066480</v>
      </c>
      <c r="D334" s="6" t="s">
        <v>213</v>
      </c>
      <c r="E334" s="6" t="s">
        <v>157</v>
      </c>
      <c r="F334" s="6"/>
      <c r="G334" s="7" t="s">
        <v>134</v>
      </c>
      <c r="H334" s="7"/>
      <c r="I334" s="7"/>
      <c r="J334" s="7"/>
      <c r="K334" s="7"/>
      <c r="L334" s="7">
        <v>9671239</v>
      </c>
      <c r="M334" s="22">
        <v>45306</v>
      </c>
      <c r="N334" s="8" t="e">
        <v>#N/A</v>
      </c>
      <c r="O334" s="8"/>
      <c r="P334" s="7">
        <v>6480</v>
      </c>
      <c r="Q334" s="7">
        <v>2696157.95</v>
      </c>
      <c r="R334" s="7" t="e">
        <v>#N/A</v>
      </c>
      <c r="S334" s="7">
        <v>15</v>
      </c>
      <c r="T334" s="7" t="e">
        <v>#N/A</v>
      </c>
      <c r="U334" s="7" t="e">
        <v>#N/A</v>
      </c>
      <c r="V334" s="6">
        <f t="shared" si="66"/>
        <v>404423.6925</v>
      </c>
      <c r="W334" s="6">
        <f t="shared" si="67"/>
        <v>40442.369250000003</v>
      </c>
      <c r="X334" s="6">
        <f t="shared" si="68"/>
        <v>444866.06174999999</v>
      </c>
      <c r="Y334" s="6">
        <f t="shared" si="69"/>
        <v>68.652170023148145</v>
      </c>
      <c r="Z334" s="6">
        <f t="shared" si="70"/>
        <v>416.07375771604939</v>
      </c>
      <c r="AA334" s="9">
        <f t="shared" si="71"/>
        <v>6480</v>
      </c>
      <c r="AB334" s="10">
        <v>0</v>
      </c>
      <c r="AC334" s="11">
        <f t="shared" si="73"/>
        <v>0</v>
      </c>
      <c r="AD334" s="12">
        <f t="shared" si="72"/>
        <v>6480</v>
      </c>
      <c r="AE334" s="13">
        <f t="shared" si="64"/>
        <v>0</v>
      </c>
    </row>
    <row r="335" spans="1:31">
      <c r="A335" s="6">
        <v>10</v>
      </c>
      <c r="B335" s="6">
        <v>1</v>
      </c>
      <c r="C335" s="6" t="str">
        <f t="shared" si="65"/>
        <v>630580800ALABEL, RAW MATERIAL, BLA K12 TPC BUCKLE5160585449362400000</v>
      </c>
      <c r="D335" s="6" t="s">
        <v>218</v>
      </c>
      <c r="E335" s="6" t="s">
        <v>71</v>
      </c>
      <c r="F335" s="6"/>
      <c r="G335" s="7" t="s">
        <v>31</v>
      </c>
      <c r="H335" s="7"/>
      <c r="I335" s="7"/>
      <c r="J335" s="7"/>
      <c r="K335" s="7"/>
      <c r="L335" s="7">
        <v>5160585</v>
      </c>
      <c r="M335" s="22">
        <v>44936</v>
      </c>
      <c r="N335" s="8" t="s">
        <v>196</v>
      </c>
      <c r="O335" s="8" t="s">
        <v>333</v>
      </c>
      <c r="P335" s="7">
        <v>2400000</v>
      </c>
      <c r="Q335" s="7">
        <v>86522.34</v>
      </c>
      <c r="R335" s="7">
        <v>87082900</v>
      </c>
      <c r="S335" s="7">
        <v>15</v>
      </c>
      <c r="T335" s="7" t="s">
        <v>265</v>
      </c>
      <c r="U335" s="7" t="s">
        <v>178</v>
      </c>
      <c r="V335" s="6">
        <f t="shared" si="66"/>
        <v>12978.350999999999</v>
      </c>
      <c r="W335" s="6">
        <f t="shared" si="67"/>
        <v>1297.8351</v>
      </c>
      <c r="X335" s="6">
        <f t="shared" si="68"/>
        <v>14276.186099999999</v>
      </c>
      <c r="Y335" s="6">
        <f t="shared" si="69"/>
        <v>5.9484108749999999E-3</v>
      </c>
      <c r="Z335" s="6">
        <f t="shared" si="70"/>
        <v>3.6050974999999999E-2</v>
      </c>
      <c r="AA335" s="9">
        <f t="shared" si="71"/>
        <v>2400000</v>
      </c>
      <c r="AB335" s="10">
        <v>3796</v>
      </c>
      <c r="AC335" s="11">
        <f t="shared" si="73"/>
        <v>22.580167681500001</v>
      </c>
      <c r="AD335" s="12">
        <f t="shared" si="72"/>
        <v>548546</v>
      </c>
      <c r="AE335" s="13">
        <f t="shared" si="64"/>
        <v>1851454</v>
      </c>
    </row>
    <row r="336" spans="1:31">
      <c r="A336" s="6">
        <v>10</v>
      </c>
      <c r="B336" s="6">
        <f t="shared" ref="B336:B357" si="74">B335+1</f>
        <v>2</v>
      </c>
      <c r="C336" s="6" t="str">
        <f t="shared" si="65"/>
        <v>634240200AHORN CONTACT, CU 521662145010720000</v>
      </c>
      <c r="D336" s="6" t="s">
        <v>218</v>
      </c>
      <c r="E336" s="6" t="s">
        <v>160</v>
      </c>
      <c r="F336" s="6"/>
      <c r="G336" s="7" t="s">
        <v>138</v>
      </c>
      <c r="H336" s="7"/>
      <c r="I336" s="7"/>
      <c r="J336" s="7"/>
      <c r="K336" s="7"/>
      <c r="L336" s="7">
        <v>5216621</v>
      </c>
      <c r="M336" s="22">
        <v>45010</v>
      </c>
      <c r="N336" s="8" t="s">
        <v>189</v>
      </c>
      <c r="O336" s="8"/>
      <c r="P336" s="7">
        <v>720000</v>
      </c>
      <c r="Q336" s="7">
        <v>803516.76</v>
      </c>
      <c r="R336" s="7">
        <v>87089900</v>
      </c>
      <c r="S336" s="7">
        <v>15</v>
      </c>
      <c r="T336" s="7" t="s">
        <v>258</v>
      </c>
      <c r="U336" s="7" t="s">
        <v>178</v>
      </c>
      <c r="V336" s="6">
        <f t="shared" si="66"/>
        <v>120527.514</v>
      </c>
      <c r="W336" s="6">
        <f t="shared" si="67"/>
        <v>12052.751400000001</v>
      </c>
      <c r="X336" s="6">
        <f t="shared" si="68"/>
        <v>132580.2654</v>
      </c>
      <c r="Y336" s="6">
        <f t="shared" si="69"/>
        <v>0.18413925750000001</v>
      </c>
      <c r="Z336" s="6">
        <f t="shared" si="70"/>
        <v>1.1159954999999999</v>
      </c>
      <c r="AA336" s="9">
        <f t="shared" si="71"/>
        <v>720000</v>
      </c>
      <c r="AB336" s="10">
        <v>15184</v>
      </c>
      <c r="AC336" s="11">
        <f t="shared" si="73"/>
        <v>2795.9704858800001</v>
      </c>
      <c r="AD336" s="12">
        <f t="shared" si="72"/>
        <v>707364</v>
      </c>
      <c r="AE336" s="13">
        <f t="shared" si="64"/>
        <v>12636</v>
      </c>
    </row>
    <row r="337" spans="1:31">
      <c r="A337" s="6">
        <v>10</v>
      </c>
      <c r="B337" s="6">
        <f t="shared" si="74"/>
        <v>3</v>
      </c>
      <c r="C337" s="6" t="str">
        <f t="shared" si="65"/>
        <v>651015100AARMATURE, MONOBLOCK, ASW4, HYUNDAI BC33353058448834860</v>
      </c>
      <c r="D337" s="6" t="s">
        <v>218</v>
      </c>
      <c r="E337" s="6" t="s">
        <v>158</v>
      </c>
      <c r="F337" s="6"/>
      <c r="G337" s="7" t="s">
        <v>135</v>
      </c>
      <c r="H337" s="7"/>
      <c r="I337" s="7"/>
      <c r="J337" s="7"/>
      <c r="K337" s="7"/>
      <c r="L337" s="7">
        <v>3353058</v>
      </c>
      <c r="M337" s="22">
        <v>44883</v>
      </c>
      <c r="N337" s="8" t="s">
        <v>184</v>
      </c>
      <c r="O337" s="8"/>
      <c r="P337" s="7">
        <v>4860</v>
      </c>
      <c r="Q337" s="7">
        <v>2360668.77</v>
      </c>
      <c r="R337" s="7">
        <v>87089400</v>
      </c>
      <c r="S337" s="7">
        <v>15</v>
      </c>
      <c r="T337" s="7" t="s">
        <v>186</v>
      </c>
      <c r="U337" s="7" t="s">
        <v>178</v>
      </c>
      <c r="V337" s="6">
        <f t="shared" si="66"/>
        <v>354100.31549999997</v>
      </c>
      <c r="W337" s="6">
        <f t="shared" si="67"/>
        <v>35410.03155</v>
      </c>
      <c r="X337" s="6">
        <f t="shared" si="68"/>
        <v>389510.34704999998</v>
      </c>
      <c r="Y337" s="6">
        <f t="shared" si="69"/>
        <v>80.146161944444444</v>
      </c>
      <c r="Z337" s="6">
        <f t="shared" si="70"/>
        <v>485.73431481481481</v>
      </c>
      <c r="AA337" s="9">
        <f t="shared" si="71"/>
        <v>4860</v>
      </c>
      <c r="AB337" s="10">
        <v>680</v>
      </c>
      <c r="AC337" s="11">
        <f t="shared" si="73"/>
        <v>54499.390122222219</v>
      </c>
      <c r="AD337" s="12">
        <f t="shared" si="72"/>
        <v>4814</v>
      </c>
      <c r="AE337" s="13">
        <f t="shared" si="64"/>
        <v>46</v>
      </c>
    </row>
    <row r="338" spans="1:31" ht="30">
      <c r="A338" s="6">
        <v>10</v>
      </c>
      <c r="B338" s="6">
        <f t="shared" si="74"/>
        <v>4</v>
      </c>
      <c r="C338" s="6" t="str">
        <f t="shared" si="65"/>
        <v>651015300BELEMENT, HEATER, HYBRID 2961309448545600</v>
      </c>
      <c r="D338" s="6" t="s">
        <v>218</v>
      </c>
      <c r="E338" s="6" t="s">
        <v>155</v>
      </c>
      <c r="F338" s="6"/>
      <c r="G338" s="7" t="s">
        <v>137</v>
      </c>
      <c r="H338" s="7"/>
      <c r="I338" s="7"/>
      <c r="J338" s="7"/>
      <c r="K338" s="7"/>
      <c r="L338" s="7">
        <v>2961309</v>
      </c>
      <c r="M338" s="22">
        <v>44854</v>
      </c>
      <c r="N338" s="8" t="s">
        <v>185</v>
      </c>
      <c r="O338" s="8"/>
      <c r="P338" s="7">
        <v>5600</v>
      </c>
      <c r="Q338" s="7">
        <v>3088881.26</v>
      </c>
      <c r="R338" s="7">
        <v>87089400</v>
      </c>
      <c r="S338" s="7">
        <v>15</v>
      </c>
      <c r="T338" s="7" t="s">
        <v>187</v>
      </c>
      <c r="U338" s="7" t="s">
        <v>178</v>
      </c>
      <c r="V338" s="6">
        <f t="shared" si="66"/>
        <v>463332.18899999995</v>
      </c>
      <c r="W338" s="6">
        <f t="shared" si="67"/>
        <v>46333.2189</v>
      </c>
      <c r="X338" s="6">
        <f t="shared" si="68"/>
        <v>509665.40789999993</v>
      </c>
      <c r="Y338" s="6">
        <f t="shared" si="69"/>
        <v>91.011679982142851</v>
      </c>
      <c r="Z338" s="6">
        <f t="shared" si="70"/>
        <v>551.58593928571429</v>
      </c>
      <c r="AA338" s="9">
        <f t="shared" si="71"/>
        <v>5600</v>
      </c>
      <c r="AB338" s="10">
        <v>667</v>
      </c>
      <c r="AC338" s="11">
        <f t="shared" si="73"/>
        <v>60704.79054808928</v>
      </c>
      <c r="AD338" s="12">
        <f t="shared" si="72"/>
        <v>5600</v>
      </c>
      <c r="AE338" s="13">
        <f t="shared" si="64"/>
        <v>0</v>
      </c>
    </row>
    <row r="339" spans="1:31">
      <c r="A339" s="6">
        <v>10</v>
      </c>
      <c r="B339" s="6">
        <f t="shared" si="74"/>
        <v>5</v>
      </c>
      <c r="C339" s="6" t="str">
        <f t="shared" si="65"/>
        <v>652466500ALEATHER, HIDE TOP GRAIN, OBSIDIAN BLACK, NNB, BLA9646611447633220.2</v>
      </c>
      <c r="D339" s="6" t="s">
        <v>218</v>
      </c>
      <c r="E339" s="6" t="s">
        <v>163</v>
      </c>
      <c r="F339" s="6"/>
      <c r="G339" s="7" t="s">
        <v>141</v>
      </c>
      <c r="H339" s="7"/>
      <c r="I339" s="7"/>
      <c r="J339" s="7"/>
      <c r="K339" s="7"/>
      <c r="L339" s="7">
        <v>9646611</v>
      </c>
      <c r="M339" s="22">
        <v>44763</v>
      </c>
      <c r="N339" s="8" t="s">
        <v>283</v>
      </c>
      <c r="O339" s="8"/>
      <c r="P339" s="7">
        <v>3220.2</v>
      </c>
      <c r="Q339" s="7">
        <v>8262099.9900000002</v>
      </c>
      <c r="R339" s="7">
        <v>41071200</v>
      </c>
      <c r="S339" s="7">
        <v>10</v>
      </c>
      <c r="T339" s="7" t="s">
        <v>261</v>
      </c>
      <c r="U339" s="7" t="s">
        <v>178</v>
      </c>
      <c r="V339" s="6">
        <f t="shared" si="66"/>
        <v>826209.99900000007</v>
      </c>
      <c r="W339" s="6">
        <f t="shared" si="67"/>
        <v>82620.99990000001</v>
      </c>
      <c r="X339" s="6">
        <f t="shared" si="68"/>
        <v>908830.99890000012</v>
      </c>
      <c r="Y339" s="6">
        <f t="shared" si="69"/>
        <v>282.22812213527118</v>
      </c>
      <c r="Z339" s="6">
        <f t="shared" si="70"/>
        <v>2565.7102012297373</v>
      </c>
      <c r="AA339" s="9">
        <f t="shared" si="71"/>
        <v>3220.2</v>
      </c>
      <c r="AB339" s="10">
        <v>0</v>
      </c>
      <c r="AC339" s="11">
        <f t="shared" si="73"/>
        <v>0</v>
      </c>
      <c r="AD339" s="12">
        <f t="shared" si="72"/>
        <v>3219.7238479999996</v>
      </c>
      <c r="AE339" s="13">
        <f t="shared" si="64"/>
        <v>0.47615200000018376</v>
      </c>
    </row>
    <row r="340" spans="1:31">
      <c r="A340" s="6">
        <v>10</v>
      </c>
      <c r="B340" s="6">
        <f t="shared" si="74"/>
        <v>6</v>
      </c>
      <c r="C340" s="6" t="str">
        <f t="shared" si="65"/>
        <v>651409900ASCREW, STD METRIC M6 HEXALOBULAR INTERNAL, T482103034520830000</v>
      </c>
      <c r="D340" s="6" t="s">
        <v>218</v>
      </c>
      <c r="E340" s="6" t="s">
        <v>168</v>
      </c>
      <c r="F340" s="6"/>
      <c r="G340" s="7" t="s">
        <v>146</v>
      </c>
      <c r="H340" s="7"/>
      <c r="I340" s="7"/>
      <c r="J340" s="7"/>
      <c r="K340" s="7"/>
      <c r="L340" s="7">
        <v>8210303</v>
      </c>
      <c r="M340" s="22">
        <v>45208</v>
      </c>
      <c r="N340" s="8" t="s">
        <v>190</v>
      </c>
      <c r="O340" s="8"/>
      <c r="P340" s="7">
        <v>30000</v>
      </c>
      <c r="Q340" s="7">
        <v>99167.74</v>
      </c>
      <c r="R340" s="7">
        <v>87089500</v>
      </c>
      <c r="S340" s="7">
        <v>15</v>
      </c>
      <c r="T340" s="7" t="s">
        <v>191</v>
      </c>
      <c r="U340" s="7" t="s">
        <v>178</v>
      </c>
      <c r="V340" s="6">
        <f t="shared" si="66"/>
        <v>14875.161</v>
      </c>
      <c r="W340" s="6">
        <f t="shared" si="67"/>
        <v>1487.5161000000001</v>
      </c>
      <c r="X340" s="6">
        <f t="shared" si="68"/>
        <v>16362.677100000001</v>
      </c>
      <c r="Y340" s="6">
        <f t="shared" si="69"/>
        <v>0.54542257000000005</v>
      </c>
      <c r="Z340" s="6">
        <f t="shared" si="70"/>
        <v>3.3055913333333335</v>
      </c>
      <c r="AA340" s="9">
        <f t="shared" si="71"/>
        <v>30000</v>
      </c>
      <c r="AB340" s="10">
        <v>2495</v>
      </c>
      <c r="AC340" s="11">
        <f t="shared" si="73"/>
        <v>1360.8293121500001</v>
      </c>
      <c r="AD340" s="12">
        <f t="shared" si="72"/>
        <v>30000</v>
      </c>
      <c r="AE340" s="13">
        <f t="shared" si="64"/>
        <v>0</v>
      </c>
    </row>
    <row r="341" spans="1:31">
      <c r="A341" s="6">
        <v>10</v>
      </c>
      <c r="B341" s="6">
        <f t="shared" si="74"/>
        <v>7</v>
      </c>
      <c r="C341" s="6" t="str">
        <f t="shared" si="65"/>
        <v>608225700ASCREW,STD METRIIC HEXALOBULAR  M5 T25 12MM31545254486980000</v>
      </c>
      <c r="D341" s="6" t="s">
        <v>218</v>
      </c>
      <c r="E341" s="6" t="s">
        <v>169</v>
      </c>
      <c r="F341" s="6"/>
      <c r="G341" s="7" t="s">
        <v>147</v>
      </c>
      <c r="H341" s="7"/>
      <c r="I341" s="7"/>
      <c r="J341" s="7"/>
      <c r="K341" s="7"/>
      <c r="L341" s="7">
        <v>3154525</v>
      </c>
      <c r="M341" s="22">
        <v>44869</v>
      </c>
      <c r="N341" s="8" t="s">
        <v>189</v>
      </c>
      <c r="O341" s="8"/>
      <c r="P341" s="7">
        <v>80000</v>
      </c>
      <c r="Q341" s="7">
        <v>224502.69</v>
      </c>
      <c r="R341" s="7">
        <v>87089400</v>
      </c>
      <c r="S341" s="7">
        <v>15</v>
      </c>
      <c r="T341" s="7" t="s">
        <v>287</v>
      </c>
      <c r="U341" s="7" t="s">
        <v>178</v>
      </c>
      <c r="V341" s="6">
        <f t="shared" si="66"/>
        <v>33675.4035</v>
      </c>
      <c r="W341" s="6">
        <f t="shared" si="67"/>
        <v>3367.5403500000002</v>
      </c>
      <c r="X341" s="6">
        <f t="shared" si="68"/>
        <v>37042.943850000003</v>
      </c>
      <c r="Y341" s="6">
        <f t="shared" si="69"/>
        <v>0.46303679812500004</v>
      </c>
      <c r="Z341" s="6">
        <f t="shared" si="70"/>
        <v>2.8062836249999998</v>
      </c>
      <c r="AA341" s="9">
        <f t="shared" si="71"/>
        <v>80000</v>
      </c>
      <c r="AB341" s="10">
        <v>6152</v>
      </c>
      <c r="AC341" s="11">
        <f t="shared" si="73"/>
        <v>2848.6023820650003</v>
      </c>
      <c r="AD341" s="12">
        <f t="shared" si="72"/>
        <v>80000</v>
      </c>
      <c r="AE341" s="13">
        <f t="shared" si="64"/>
        <v>0</v>
      </c>
    </row>
    <row r="342" spans="1:31">
      <c r="A342" s="6">
        <v>10</v>
      </c>
      <c r="B342" s="6">
        <f t="shared" si="74"/>
        <v>8</v>
      </c>
      <c r="C342" s="6" t="str">
        <f t="shared" si="65"/>
        <v>651166400CSPRING, COIL, UPPER 73271424515055000</v>
      </c>
      <c r="D342" s="6" t="s">
        <v>218</v>
      </c>
      <c r="E342" s="6" t="s">
        <v>170</v>
      </c>
      <c r="F342" s="6"/>
      <c r="G342" s="7" t="s">
        <v>148</v>
      </c>
      <c r="H342" s="7"/>
      <c r="I342" s="7"/>
      <c r="J342" s="7"/>
      <c r="K342" s="7"/>
      <c r="L342" s="7">
        <v>7327142</v>
      </c>
      <c r="M342" s="22">
        <v>45150</v>
      </c>
      <c r="N342" s="8" t="s">
        <v>189</v>
      </c>
      <c r="O342" s="8"/>
      <c r="P342" s="7">
        <v>55000</v>
      </c>
      <c r="Q342" s="7">
        <v>100568.15</v>
      </c>
      <c r="R342" s="7">
        <v>87089500</v>
      </c>
      <c r="S342" s="7">
        <v>15</v>
      </c>
      <c r="T342" s="7" t="s">
        <v>288</v>
      </c>
      <c r="U342" s="7" t="s">
        <v>178</v>
      </c>
      <c r="V342" s="6">
        <f t="shared" si="66"/>
        <v>15085.222499999998</v>
      </c>
      <c r="W342" s="6">
        <f t="shared" si="67"/>
        <v>1508.52225</v>
      </c>
      <c r="X342" s="6">
        <f t="shared" si="68"/>
        <v>16593.744749999998</v>
      </c>
      <c r="Y342" s="6">
        <f t="shared" si="69"/>
        <v>0.30170444999999996</v>
      </c>
      <c r="Z342" s="6">
        <f t="shared" si="70"/>
        <v>1.8285118181818181</v>
      </c>
      <c r="AA342" s="9">
        <f t="shared" si="71"/>
        <v>55000</v>
      </c>
      <c r="AB342" s="10">
        <v>0</v>
      </c>
      <c r="AC342" s="11">
        <f t="shared" si="73"/>
        <v>0</v>
      </c>
      <c r="AD342" s="12">
        <f t="shared" si="72"/>
        <v>55000</v>
      </c>
      <c r="AE342" s="13">
        <f t="shared" si="64"/>
        <v>0</v>
      </c>
    </row>
    <row r="343" spans="1:31">
      <c r="A343" s="6">
        <v>10</v>
      </c>
      <c r="B343" s="6">
        <f t="shared" si="74"/>
        <v>9</v>
      </c>
      <c r="C343" s="6" t="str">
        <f t="shared" si="65"/>
        <v>655931500AARMATURE, MONOBLOCK ASW4, HYUNDAI BC3-CUV7358127451524860</v>
      </c>
      <c r="D343" s="6" t="s">
        <v>218</v>
      </c>
      <c r="E343" s="6" t="s">
        <v>157</v>
      </c>
      <c r="F343" s="6"/>
      <c r="G343" s="7" t="s">
        <v>134</v>
      </c>
      <c r="H343" s="7"/>
      <c r="I343" s="7"/>
      <c r="J343" s="7"/>
      <c r="K343" s="7"/>
      <c r="L343" s="7">
        <v>7358127</v>
      </c>
      <c r="M343" s="22">
        <v>45152</v>
      </c>
      <c r="N343" s="8" t="s">
        <v>184</v>
      </c>
      <c r="O343" s="8"/>
      <c r="P343" s="7">
        <v>4860</v>
      </c>
      <c r="Q343" s="7">
        <v>2080616.19</v>
      </c>
      <c r="R343" s="7">
        <v>87089900</v>
      </c>
      <c r="S343" s="7">
        <v>15</v>
      </c>
      <c r="T343" s="7" t="s">
        <v>274</v>
      </c>
      <c r="U343" s="7" t="s">
        <v>178</v>
      </c>
      <c r="V343" s="6">
        <f t="shared" si="66"/>
        <v>312092.42849999998</v>
      </c>
      <c r="W343" s="6">
        <f t="shared" si="67"/>
        <v>31209.242849999999</v>
      </c>
      <c r="X343" s="6">
        <f t="shared" si="68"/>
        <v>343301.67134999996</v>
      </c>
      <c r="Y343" s="6">
        <f t="shared" si="69"/>
        <v>70.638203981481468</v>
      </c>
      <c r="Z343" s="6">
        <f t="shared" si="70"/>
        <v>428.1103271604938</v>
      </c>
      <c r="AA343" s="9">
        <f t="shared" si="71"/>
        <v>4860</v>
      </c>
      <c r="AB343" s="10">
        <v>3116</v>
      </c>
      <c r="AC343" s="11">
        <f t="shared" si="73"/>
        <v>220108.64360629625</v>
      </c>
      <c r="AD343" s="12">
        <f t="shared" si="72"/>
        <v>4860</v>
      </c>
      <c r="AE343" s="13">
        <f t="shared" si="64"/>
        <v>0</v>
      </c>
    </row>
    <row r="344" spans="1:31" ht="30">
      <c r="A344" s="6">
        <v>10</v>
      </c>
      <c r="B344" s="6">
        <f t="shared" si="74"/>
        <v>10</v>
      </c>
      <c r="C344" s="6" t="str">
        <f t="shared" si="65"/>
        <v>655931500AARMATURE, MONOBLOCK ASW4, HYUNDAI BC3-CUV7445024451595832</v>
      </c>
      <c r="D344" s="6" t="s">
        <v>218</v>
      </c>
      <c r="E344" s="6" t="s">
        <v>157</v>
      </c>
      <c r="F344" s="6"/>
      <c r="G344" s="7" t="s">
        <v>134</v>
      </c>
      <c r="H344" s="7"/>
      <c r="I344" s="7"/>
      <c r="J344" s="7"/>
      <c r="K344" s="7"/>
      <c r="L344" s="7">
        <v>7445024</v>
      </c>
      <c r="M344" s="22">
        <v>45159</v>
      </c>
      <c r="N344" s="8" t="s">
        <v>185</v>
      </c>
      <c r="O344" s="8"/>
      <c r="P344" s="7">
        <v>5832</v>
      </c>
      <c r="Q344" s="7">
        <v>2402740.63</v>
      </c>
      <c r="R344" s="7">
        <v>87089400</v>
      </c>
      <c r="S344" s="7">
        <v>15</v>
      </c>
      <c r="T344" s="7" t="s">
        <v>194</v>
      </c>
      <c r="U344" s="7" t="s">
        <v>178</v>
      </c>
      <c r="V344" s="6">
        <f t="shared" si="66"/>
        <v>360411.09449999995</v>
      </c>
      <c r="W344" s="6">
        <f t="shared" si="67"/>
        <v>36041.109449999996</v>
      </c>
      <c r="X344" s="6">
        <f t="shared" si="68"/>
        <v>396452.20394999994</v>
      </c>
      <c r="Y344" s="6">
        <f t="shared" si="69"/>
        <v>67.978772968106981</v>
      </c>
      <c r="Z344" s="6">
        <f t="shared" si="70"/>
        <v>411.9925634430727</v>
      </c>
      <c r="AA344" s="9">
        <f t="shared" si="71"/>
        <v>5832</v>
      </c>
      <c r="AB344" s="10">
        <v>0</v>
      </c>
      <c r="AC344" s="11">
        <f t="shared" si="73"/>
        <v>0</v>
      </c>
      <c r="AD344" s="12">
        <f t="shared" si="72"/>
        <v>5832</v>
      </c>
      <c r="AE344" s="13">
        <f t="shared" si="64"/>
        <v>0</v>
      </c>
    </row>
    <row r="345" spans="1:31">
      <c r="A345" s="6">
        <v>10</v>
      </c>
      <c r="B345" s="6">
        <f t="shared" si="74"/>
        <v>11</v>
      </c>
      <c r="C345" s="6" t="str">
        <f t="shared" si="65"/>
        <v>655931500AARMATURE, MONOBLOCK ASW4, HYUNDAI BC3-CUV7443472451592430</v>
      </c>
      <c r="D345" s="6" t="s">
        <v>218</v>
      </c>
      <c r="E345" s="6" t="s">
        <v>157</v>
      </c>
      <c r="F345" s="6"/>
      <c r="G345" s="7" t="s">
        <v>134</v>
      </c>
      <c r="H345" s="7"/>
      <c r="I345" s="7"/>
      <c r="J345" s="7"/>
      <c r="K345" s="7"/>
      <c r="L345" s="7">
        <v>7443472</v>
      </c>
      <c r="M345" s="22">
        <v>45159</v>
      </c>
      <c r="N345" s="8" t="s">
        <v>184</v>
      </c>
      <c r="O345" s="8"/>
      <c r="P345" s="7">
        <v>2430</v>
      </c>
      <c r="Q345" s="7">
        <v>1009952.52</v>
      </c>
      <c r="R345" s="7">
        <v>87089400</v>
      </c>
      <c r="S345" s="7">
        <v>15</v>
      </c>
      <c r="T345" s="7" t="s">
        <v>186</v>
      </c>
      <c r="U345" s="7" t="s">
        <v>178</v>
      </c>
      <c r="V345" s="6">
        <f t="shared" si="66"/>
        <v>151492.878</v>
      </c>
      <c r="W345" s="6">
        <f t="shared" si="67"/>
        <v>15149.2878</v>
      </c>
      <c r="X345" s="6">
        <f t="shared" si="68"/>
        <v>166642.16579999999</v>
      </c>
      <c r="Y345" s="6">
        <f t="shared" si="69"/>
        <v>68.577022962962957</v>
      </c>
      <c r="Z345" s="6">
        <f t="shared" si="70"/>
        <v>415.61832098765433</v>
      </c>
      <c r="AA345" s="9">
        <f t="shared" si="71"/>
        <v>2430</v>
      </c>
      <c r="AB345" s="10">
        <v>0</v>
      </c>
      <c r="AC345" s="11">
        <f t="shared" si="73"/>
        <v>0</v>
      </c>
      <c r="AD345" s="12">
        <f t="shared" si="72"/>
        <v>2430</v>
      </c>
      <c r="AE345" s="13">
        <f t="shared" si="64"/>
        <v>0</v>
      </c>
    </row>
    <row r="346" spans="1:31">
      <c r="A346" s="6">
        <v>10</v>
      </c>
      <c r="B346" s="6">
        <f t="shared" si="74"/>
        <v>12</v>
      </c>
      <c r="C346" s="6" t="str">
        <f t="shared" si="65"/>
        <v>656011400ALEATHER, HIDE TOP GRAIN, GREY, FOSSIL GREY, T9Y,616153245074454.75</v>
      </c>
      <c r="D346" s="6" t="s">
        <v>218</v>
      </c>
      <c r="E346" s="6" t="s">
        <v>162</v>
      </c>
      <c r="F346" s="6"/>
      <c r="G346" s="7" t="s">
        <v>140</v>
      </c>
      <c r="H346" s="7"/>
      <c r="I346" s="7"/>
      <c r="J346" s="7"/>
      <c r="K346" s="7"/>
      <c r="L346" s="7">
        <v>6161532</v>
      </c>
      <c r="M346" s="22">
        <v>45074</v>
      </c>
      <c r="N346" s="8" t="s">
        <v>180</v>
      </c>
      <c r="O346" s="8"/>
      <c r="P346" s="7">
        <v>454.75</v>
      </c>
      <c r="Q346" s="7">
        <v>1114461.1200000001</v>
      </c>
      <c r="R346" s="7">
        <v>41071900</v>
      </c>
      <c r="S346" s="7">
        <v>10</v>
      </c>
      <c r="T346" s="7" t="s">
        <v>289</v>
      </c>
      <c r="U346" s="7" t="s">
        <v>178</v>
      </c>
      <c r="V346" s="6">
        <f t="shared" si="66"/>
        <v>111446.11200000002</v>
      </c>
      <c r="W346" s="6">
        <f t="shared" si="67"/>
        <v>11144.611200000003</v>
      </c>
      <c r="X346" s="6">
        <f t="shared" si="68"/>
        <v>122590.72320000002</v>
      </c>
      <c r="Y346" s="6">
        <f t="shared" si="69"/>
        <v>269.57828081363391</v>
      </c>
      <c r="Z346" s="6">
        <f t="shared" si="70"/>
        <v>2450.7116437603081</v>
      </c>
      <c r="AA346" s="9">
        <f t="shared" si="71"/>
        <v>454.75</v>
      </c>
      <c r="AB346" s="10">
        <v>140.47456600000001</v>
      </c>
      <c r="AC346" s="11">
        <f t="shared" si="73"/>
        <v>37868.89200032135</v>
      </c>
      <c r="AD346" s="12">
        <f t="shared" si="72"/>
        <v>454.75</v>
      </c>
      <c r="AE346" s="13">
        <f t="shared" si="64"/>
        <v>0</v>
      </c>
    </row>
    <row r="347" spans="1:31">
      <c r="A347" s="6">
        <v>10</v>
      </c>
      <c r="B347" s="6">
        <f t="shared" si="74"/>
        <v>13</v>
      </c>
      <c r="C347" s="6" t="str">
        <f t="shared" si="65"/>
        <v>639590100BSCREW SELF TAPPING INTERNAL T15, 15.01020145256120000</v>
      </c>
      <c r="D347" s="6" t="s">
        <v>218</v>
      </c>
      <c r="E347" s="6" t="s">
        <v>165</v>
      </c>
      <c r="F347" s="6"/>
      <c r="G347" s="7" t="s">
        <v>143</v>
      </c>
      <c r="H347" s="7"/>
      <c r="I347" s="7"/>
      <c r="J347" s="7"/>
      <c r="K347" s="7"/>
      <c r="L347" s="7">
        <v>10201</v>
      </c>
      <c r="M347" s="22">
        <v>45256</v>
      </c>
      <c r="N347" s="8" t="e">
        <v>#N/A</v>
      </c>
      <c r="O347" s="8"/>
      <c r="P347" s="7">
        <v>120000</v>
      </c>
      <c r="Q347" s="7">
        <v>163630.84</v>
      </c>
      <c r="R347" s="7" t="e">
        <v>#N/A</v>
      </c>
      <c r="S347" s="7">
        <v>15</v>
      </c>
      <c r="T347" s="7" t="e">
        <v>#N/A</v>
      </c>
      <c r="U347" s="7" t="e">
        <v>#N/A</v>
      </c>
      <c r="V347" s="6">
        <f t="shared" si="66"/>
        <v>24544.626</v>
      </c>
      <c r="W347" s="6">
        <f t="shared" si="67"/>
        <v>2454.4626000000003</v>
      </c>
      <c r="X347" s="6">
        <f t="shared" si="68"/>
        <v>26999.088599999999</v>
      </c>
      <c r="Y347" s="6">
        <f t="shared" si="69"/>
        <v>0.22499240500000001</v>
      </c>
      <c r="Z347" s="6">
        <f t="shared" si="70"/>
        <v>1.3635903333333332</v>
      </c>
      <c r="AA347" s="9">
        <f t="shared" si="71"/>
        <v>120000</v>
      </c>
      <c r="AB347" s="10">
        <v>25944</v>
      </c>
      <c r="AC347" s="11">
        <f t="shared" si="73"/>
        <v>5837.20295532</v>
      </c>
      <c r="AD347" s="12">
        <f t="shared" si="72"/>
        <v>120000</v>
      </c>
      <c r="AE347" s="13">
        <f t="shared" si="64"/>
        <v>0</v>
      </c>
    </row>
    <row r="348" spans="1:31">
      <c r="A348" s="6">
        <v>10</v>
      </c>
      <c r="B348" s="6">
        <f t="shared" si="74"/>
        <v>14</v>
      </c>
      <c r="C348" s="6" t="str">
        <f t="shared" si="65"/>
        <v>644345600ASCREW, SELF-TAPPING, PLA PLASTIC, 3.0, CROSS39402614492360000</v>
      </c>
      <c r="D348" s="6" t="s">
        <v>218</v>
      </c>
      <c r="E348" s="6" t="s">
        <v>166</v>
      </c>
      <c r="F348" s="6"/>
      <c r="G348" s="7" t="s">
        <v>144</v>
      </c>
      <c r="H348" s="7"/>
      <c r="I348" s="7"/>
      <c r="J348" s="7"/>
      <c r="K348" s="7"/>
      <c r="L348" s="7">
        <v>3940261</v>
      </c>
      <c r="M348" s="22">
        <v>44923</v>
      </c>
      <c r="N348" s="8" t="s">
        <v>189</v>
      </c>
      <c r="O348" s="8"/>
      <c r="P348" s="7">
        <v>60000</v>
      </c>
      <c r="Q348" s="7">
        <v>46616.75</v>
      </c>
      <c r="R348" s="7">
        <v>87089500</v>
      </c>
      <c r="S348" s="7">
        <v>15</v>
      </c>
      <c r="T348" s="7" t="s">
        <v>183</v>
      </c>
      <c r="U348" s="7" t="s">
        <v>178</v>
      </c>
      <c r="V348" s="6">
        <f t="shared" si="66"/>
        <v>6992.5124999999998</v>
      </c>
      <c r="W348" s="6">
        <f t="shared" si="67"/>
        <v>699.25125000000003</v>
      </c>
      <c r="X348" s="6">
        <f t="shared" si="68"/>
        <v>7691.7637500000001</v>
      </c>
      <c r="Y348" s="6">
        <f t="shared" si="69"/>
        <v>0.12819606250000001</v>
      </c>
      <c r="Z348" s="6">
        <f t="shared" si="70"/>
        <v>0.77694583333333334</v>
      </c>
      <c r="AA348" s="9">
        <f t="shared" si="71"/>
        <v>60000</v>
      </c>
      <c r="AB348" s="10">
        <v>7592</v>
      </c>
      <c r="AC348" s="11">
        <f t="shared" si="73"/>
        <v>973.26450650000015</v>
      </c>
      <c r="AD348" s="12">
        <f t="shared" si="72"/>
        <v>60000</v>
      </c>
      <c r="AE348" s="13">
        <f t="shared" si="64"/>
        <v>0</v>
      </c>
    </row>
    <row r="349" spans="1:31">
      <c r="A349" s="6">
        <v>10</v>
      </c>
      <c r="B349" s="6">
        <f t="shared" si="74"/>
        <v>15</v>
      </c>
      <c r="C349" s="6" t="str">
        <f t="shared" si="65"/>
        <v>628408700ASCREW, STANDARD, METRIC, M5, HEXALOBULAR INTERNAL63287004508525000</v>
      </c>
      <c r="D349" s="6" t="s">
        <v>218</v>
      </c>
      <c r="E349" s="6" t="s">
        <v>167</v>
      </c>
      <c r="F349" s="6"/>
      <c r="G349" s="7" t="s">
        <v>145</v>
      </c>
      <c r="H349" s="7"/>
      <c r="I349" s="7"/>
      <c r="J349" s="7"/>
      <c r="K349" s="7"/>
      <c r="L349" s="7">
        <v>6328700</v>
      </c>
      <c r="M349" s="22">
        <v>45085</v>
      </c>
      <c r="N349" s="8" t="s">
        <v>180</v>
      </c>
      <c r="O349" s="8"/>
      <c r="P349" s="7">
        <v>25000</v>
      </c>
      <c r="Q349" s="7">
        <v>130117.01</v>
      </c>
      <c r="R349" s="7">
        <v>87089500</v>
      </c>
      <c r="S349" s="7">
        <v>15</v>
      </c>
      <c r="T349" s="7" t="s">
        <v>181</v>
      </c>
      <c r="U349" s="7" t="s">
        <v>178</v>
      </c>
      <c r="V349" s="6">
        <f t="shared" si="66"/>
        <v>19517.551499999998</v>
      </c>
      <c r="W349" s="6">
        <f t="shared" si="67"/>
        <v>1951.75515</v>
      </c>
      <c r="X349" s="6">
        <f t="shared" si="68"/>
        <v>21469.306649999999</v>
      </c>
      <c r="Y349" s="6">
        <f t="shared" si="69"/>
        <v>0.8587722659999999</v>
      </c>
      <c r="Z349" s="6">
        <f t="shared" si="70"/>
        <v>5.2046804</v>
      </c>
      <c r="AA349" s="9">
        <f t="shared" si="71"/>
        <v>25000</v>
      </c>
      <c r="AB349" s="10">
        <v>10053</v>
      </c>
      <c r="AC349" s="11">
        <f t="shared" si="73"/>
        <v>8633.2375900979987</v>
      </c>
      <c r="AD349" s="12">
        <f t="shared" si="72"/>
        <v>25000</v>
      </c>
      <c r="AE349" s="13">
        <f t="shared" si="64"/>
        <v>0</v>
      </c>
    </row>
    <row r="350" spans="1:31">
      <c r="A350" s="6">
        <v>10</v>
      </c>
      <c r="B350" s="6">
        <f t="shared" si="74"/>
        <v>16</v>
      </c>
      <c r="C350" s="6" t="str">
        <f t="shared" si="65"/>
        <v>655818900BACTUATOR VIBRATION MOTOR ASSY WITH BRACKET BC3 CU8750403452434800</v>
      </c>
      <c r="D350" s="6" t="s">
        <v>218</v>
      </c>
      <c r="E350" s="6" t="s">
        <v>156</v>
      </c>
      <c r="F350" s="6"/>
      <c r="G350" s="7" t="s">
        <v>133</v>
      </c>
      <c r="H350" s="7"/>
      <c r="I350" s="7"/>
      <c r="J350" s="7"/>
      <c r="K350" s="7"/>
      <c r="L350" s="7">
        <v>8750403</v>
      </c>
      <c r="M350" s="22">
        <v>45243</v>
      </c>
      <c r="N350" s="8" t="s">
        <v>180</v>
      </c>
      <c r="O350" s="8"/>
      <c r="P350" s="7">
        <v>4800</v>
      </c>
      <c r="Q350" s="7">
        <v>1703705.55</v>
      </c>
      <c r="R350" s="7">
        <v>87089900</v>
      </c>
      <c r="S350" s="7">
        <v>15</v>
      </c>
      <c r="T350" s="7" t="s">
        <v>193</v>
      </c>
      <c r="U350" s="7" t="s">
        <v>178</v>
      </c>
      <c r="V350" s="6">
        <f t="shared" si="66"/>
        <v>255555.83249999999</v>
      </c>
      <c r="W350" s="6">
        <f t="shared" si="67"/>
        <v>25555.58325</v>
      </c>
      <c r="X350" s="6">
        <f t="shared" si="68"/>
        <v>281111.41574999999</v>
      </c>
      <c r="Y350" s="6">
        <f t="shared" si="69"/>
        <v>58.564878281249996</v>
      </c>
      <c r="Z350" s="6">
        <f t="shared" si="70"/>
        <v>354.93865625000001</v>
      </c>
      <c r="AA350" s="9">
        <f t="shared" si="71"/>
        <v>4800</v>
      </c>
      <c r="AB350" s="10">
        <v>3076</v>
      </c>
      <c r="AC350" s="11">
        <f t="shared" si="73"/>
        <v>180145.56559312498</v>
      </c>
      <c r="AD350" s="12">
        <f t="shared" si="72"/>
        <v>4800</v>
      </c>
      <c r="AE350" s="13">
        <f t="shared" si="64"/>
        <v>0</v>
      </c>
    </row>
    <row r="351" spans="1:31">
      <c r="A351" s="6">
        <v>10</v>
      </c>
      <c r="B351" s="6">
        <f t="shared" si="74"/>
        <v>17</v>
      </c>
      <c r="C351" s="6" t="str">
        <f t="shared" si="65"/>
        <v>655931500AARMATURE, MONOBLOCK ASW4, HYUNDAI BC3-CUV8890638452531620</v>
      </c>
      <c r="D351" s="6" t="s">
        <v>218</v>
      </c>
      <c r="E351" s="6" t="s">
        <v>157</v>
      </c>
      <c r="F351" s="6"/>
      <c r="G351" s="7" t="s">
        <v>134</v>
      </c>
      <c r="H351" s="7"/>
      <c r="I351" s="7"/>
      <c r="J351" s="7"/>
      <c r="K351" s="7"/>
      <c r="L351" s="7">
        <v>8890638</v>
      </c>
      <c r="M351" s="22">
        <v>45253</v>
      </c>
      <c r="N351" s="8" t="s">
        <v>184</v>
      </c>
      <c r="O351" s="8"/>
      <c r="P351" s="7">
        <v>1620</v>
      </c>
      <c r="Q351" s="7">
        <v>668949.47</v>
      </c>
      <c r="R351" s="7">
        <v>87089400</v>
      </c>
      <c r="S351" s="7">
        <v>15</v>
      </c>
      <c r="T351" s="7" t="s">
        <v>186</v>
      </c>
      <c r="U351" s="7" t="s">
        <v>178</v>
      </c>
      <c r="V351" s="6">
        <f t="shared" si="66"/>
        <v>100342.42049999999</v>
      </c>
      <c r="W351" s="6">
        <f t="shared" si="67"/>
        <v>10034.242050000001</v>
      </c>
      <c r="X351" s="6">
        <f t="shared" si="68"/>
        <v>110376.66254999999</v>
      </c>
      <c r="Y351" s="6">
        <f t="shared" si="69"/>
        <v>68.13374231481481</v>
      </c>
      <c r="Z351" s="6">
        <f t="shared" si="70"/>
        <v>412.93177160493826</v>
      </c>
      <c r="AA351" s="9">
        <f t="shared" si="71"/>
        <v>1620</v>
      </c>
      <c r="AB351" s="10">
        <v>0</v>
      </c>
      <c r="AC351" s="11">
        <f t="shared" si="73"/>
        <v>0</v>
      </c>
      <c r="AD351" s="12">
        <f t="shared" si="72"/>
        <v>1620</v>
      </c>
      <c r="AE351" s="13">
        <f t="shared" si="64"/>
        <v>0</v>
      </c>
    </row>
    <row r="352" spans="1:31">
      <c r="A352" s="6">
        <v>10</v>
      </c>
      <c r="B352" s="6">
        <f t="shared" si="74"/>
        <v>18</v>
      </c>
      <c r="C352" s="6" t="str">
        <f t="shared" si="65"/>
        <v>651166400CSPRING, COIL, UPPER 97724674527845000</v>
      </c>
      <c r="D352" s="6" t="s">
        <v>218</v>
      </c>
      <c r="E352" s="6" t="s">
        <v>170</v>
      </c>
      <c r="F352" s="6"/>
      <c r="G352" s="7" t="s">
        <v>148</v>
      </c>
      <c r="H352" s="7"/>
      <c r="I352" s="7"/>
      <c r="J352" s="7"/>
      <c r="K352" s="7"/>
      <c r="L352" s="7">
        <v>9772467</v>
      </c>
      <c r="M352" s="22">
        <v>45278</v>
      </c>
      <c r="N352" s="8" t="e">
        <v>#N/A</v>
      </c>
      <c r="O352" s="8"/>
      <c r="P352" s="7">
        <v>45000</v>
      </c>
      <c r="Q352" s="7">
        <v>81521.94</v>
      </c>
      <c r="R352" s="7" t="e">
        <v>#N/A</v>
      </c>
      <c r="S352" s="7">
        <v>15</v>
      </c>
      <c r="T352" s="7" t="e">
        <v>#N/A</v>
      </c>
      <c r="U352" s="7" t="e">
        <v>#N/A</v>
      </c>
      <c r="V352" s="6">
        <f t="shared" si="66"/>
        <v>12228.290999999999</v>
      </c>
      <c r="W352" s="6">
        <f t="shared" si="67"/>
        <v>1222.8290999999999</v>
      </c>
      <c r="X352" s="6">
        <f t="shared" si="68"/>
        <v>13451.1201</v>
      </c>
      <c r="Y352" s="6">
        <f t="shared" si="69"/>
        <v>0.29891378000000002</v>
      </c>
      <c r="Z352" s="6">
        <f t="shared" si="70"/>
        <v>1.8115986666666668</v>
      </c>
      <c r="AA352" s="9">
        <f t="shared" si="71"/>
        <v>45000</v>
      </c>
      <c r="AB352" s="10">
        <v>0</v>
      </c>
      <c r="AC352" s="11">
        <f t="shared" si="73"/>
        <v>0</v>
      </c>
      <c r="AD352" s="12">
        <f t="shared" si="72"/>
        <v>45000</v>
      </c>
      <c r="AE352" s="13">
        <f t="shared" si="64"/>
        <v>0</v>
      </c>
    </row>
    <row r="353" spans="1:31">
      <c r="A353" s="6">
        <v>10</v>
      </c>
      <c r="B353" s="6">
        <f t="shared" si="74"/>
        <v>19</v>
      </c>
      <c r="C353" s="6" t="str">
        <f t="shared" si="65"/>
        <v>651166400CSPRING, COIL, UPPER 92851204527850000</v>
      </c>
      <c r="D353" s="6" t="s">
        <v>218</v>
      </c>
      <c r="E353" s="6" t="s">
        <v>170</v>
      </c>
      <c r="F353" s="6"/>
      <c r="G353" s="7" t="s">
        <v>148</v>
      </c>
      <c r="H353" s="7"/>
      <c r="I353" s="7"/>
      <c r="J353" s="7"/>
      <c r="K353" s="7"/>
      <c r="L353" s="7">
        <v>9285120</v>
      </c>
      <c r="M353" s="22">
        <v>45278</v>
      </c>
      <c r="N353" s="8" t="e">
        <v>#N/A</v>
      </c>
      <c r="O353" s="8"/>
      <c r="P353" s="7">
        <v>50000</v>
      </c>
      <c r="Q353" s="7">
        <v>92063.88</v>
      </c>
      <c r="R353" s="7" t="e">
        <v>#N/A</v>
      </c>
      <c r="S353" s="7">
        <v>15</v>
      </c>
      <c r="T353" s="7" t="e">
        <v>#N/A</v>
      </c>
      <c r="U353" s="7" t="e">
        <v>#N/A</v>
      </c>
      <c r="V353" s="6">
        <f t="shared" si="66"/>
        <v>13809.582</v>
      </c>
      <c r="W353" s="6">
        <f t="shared" si="67"/>
        <v>1380.9582</v>
      </c>
      <c r="X353" s="6">
        <f t="shared" si="68"/>
        <v>15190.540199999999</v>
      </c>
      <c r="Y353" s="6">
        <f t="shared" si="69"/>
        <v>0.30381080399999999</v>
      </c>
      <c r="Z353" s="6">
        <f t="shared" si="70"/>
        <v>1.8412776000000002</v>
      </c>
      <c r="AA353" s="9">
        <f t="shared" si="71"/>
        <v>50000</v>
      </c>
      <c r="AB353" s="10">
        <v>11388</v>
      </c>
      <c r="AC353" s="11">
        <f t="shared" si="73"/>
        <v>3459.7974359519999</v>
      </c>
      <c r="AD353" s="12">
        <f t="shared" si="72"/>
        <v>50000</v>
      </c>
      <c r="AE353" s="13">
        <f t="shared" si="64"/>
        <v>0</v>
      </c>
    </row>
    <row r="354" spans="1:31">
      <c r="A354" s="6">
        <v>10</v>
      </c>
      <c r="B354" s="6">
        <f t="shared" si="74"/>
        <v>20</v>
      </c>
      <c r="C354" s="6" t="str">
        <f t="shared" si="65"/>
        <v>651015300BELEMENT, HEATER, HYBRID 6048608450665600</v>
      </c>
      <c r="D354" s="6" t="s">
        <v>218</v>
      </c>
      <c r="E354" s="6" t="s">
        <v>155</v>
      </c>
      <c r="F354" s="6"/>
      <c r="G354" s="7" t="s">
        <v>137</v>
      </c>
      <c r="H354" s="7"/>
      <c r="I354" s="7"/>
      <c r="J354" s="7"/>
      <c r="K354" s="7"/>
      <c r="L354" s="7">
        <v>6048608</v>
      </c>
      <c r="M354" s="22">
        <v>45066</v>
      </c>
      <c r="N354" s="8" t="s">
        <v>189</v>
      </c>
      <c r="O354" s="8"/>
      <c r="P354" s="7">
        <v>5600</v>
      </c>
      <c r="Q354" s="7">
        <v>3118551.36</v>
      </c>
      <c r="R354" s="7">
        <v>87089400</v>
      </c>
      <c r="S354" s="7">
        <v>10</v>
      </c>
      <c r="T354" s="7" t="s">
        <v>257</v>
      </c>
      <c r="U354" s="7" t="s">
        <v>178</v>
      </c>
      <c r="V354" s="6">
        <f t="shared" si="66"/>
        <v>311855.136</v>
      </c>
      <c r="W354" s="6">
        <f t="shared" si="67"/>
        <v>31185.513600000002</v>
      </c>
      <c r="X354" s="6">
        <f t="shared" si="68"/>
        <v>343040.6496</v>
      </c>
      <c r="Y354" s="6">
        <f t="shared" si="69"/>
        <v>61.257258857142858</v>
      </c>
      <c r="Z354" s="6">
        <f t="shared" si="70"/>
        <v>556.88417142857145</v>
      </c>
      <c r="AA354" s="9">
        <f t="shared" si="71"/>
        <v>5600</v>
      </c>
      <c r="AB354" s="10">
        <v>922</v>
      </c>
      <c r="AC354" s="11">
        <f t="shared" si="73"/>
        <v>56479.192666285715</v>
      </c>
      <c r="AD354" s="12">
        <f t="shared" si="72"/>
        <v>5600</v>
      </c>
      <c r="AE354" s="13">
        <f t="shared" si="64"/>
        <v>0</v>
      </c>
    </row>
    <row r="355" spans="1:31">
      <c r="A355" s="6">
        <v>10</v>
      </c>
      <c r="B355" s="6">
        <f t="shared" si="74"/>
        <v>21</v>
      </c>
      <c r="C355" s="6" t="str">
        <f t="shared" si="65"/>
        <v>628408700ASCREW, STANDARD, METRIC, M5, HEXALOBULAR INTERNAL52913244501570000</v>
      </c>
      <c r="D355" s="6" t="s">
        <v>218</v>
      </c>
      <c r="E355" s="6" t="s">
        <v>167</v>
      </c>
      <c r="F355" s="6"/>
      <c r="G355" s="7" t="s">
        <v>145</v>
      </c>
      <c r="H355" s="7"/>
      <c r="I355" s="7"/>
      <c r="J355" s="7"/>
      <c r="K355" s="7"/>
      <c r="L355" s="7">
        <v>5291324</v>
      </c>
      <c r="M355" s="22">
        <v>45015</v>
      </c>
      <c r="N355" s="8" t="s">
        <v>189</v>
      </c>
      <c r="O355" s="8"/>
      <c r="P355" s="7">
        <v>70000</v>
      </c>
      <c r="Q355" s="7">
        <v>362051.01</v>
      </c>
      <c r="R355" s="7">
        <v>87089900</v>
      </c>
      <c r="S355" s="7">
        <v>15</v>
      </c>
      <c r="T355" s="7" t="s">
        <v>290</v>
      </c>
      <c r="U355" s="7" t="s">
        <v>178</v>
      </c>
      <c r="V355" s="6">
        <f t="shared" si="66"/>
        <v>54307.6515</v>
      </c>
      <c r="W355" s="6">
        <f t="shared" si="67"/>
        <v>5430.7651500000002</v>
      </c>
      <c r="X355" s="6">
        <f t="shared" si="68"/>
        <v>59738.416649999999</v>
      </c>
      <c r="Y355" s="6">
        <f t="shared" si="69"/>
        <v>0.85340595214285708</v>
      </c>
      <c r="Z355" s="6">
        <f t="shared" si="70"/>
        <v>5.1721572857142855</v>
      </c>
      <c r="AA355" s="9">
        <f t="shared" si="71"/>
        <v>70000</v>
      </c>
      <c r="AB355" s="10">
        <v>1335</v>
      </c>
      <c r="AC355" s="11">
        <f t="shared" si="73"/>
        <v>1139.2969461107143</v>
      </c>
      <c r="AD355" s="12">
        <f t="shared" si="72"/>
        <v>70000</v>
      </c>
      <c r="AE355" s="13">
        <f t="shared" si="64"/>
        <v>0</v>
      </c>
    </row>
    <row r="356" spans="1:31">
      <c r="A356" s="6">
        <v>10</v>
      </c>
      <c r="B356" s="6">
        <f t="shared" si="74"/>
        <v>22</v>
      </c>
      <c r="C356" s="6" t="str">
        <f t="shared" si="65"/>
        <v>652466500ALEATHER, HIDE TOP GRAIN, OBSIDIAN BLACK, NNB, BLA9130345452681111.56</v>
      </c>
      <c r="D356" s="6" t="s">
        <v>218</v>
      </c>
      <c r="E356" s="6" t="s">
        <v>163</v>
      </c>
      <c r="F356" s="6"/>
      <c r="G356" s="7" t="s">
        <v>141</v>
      </c>
      <c r="H356" s="7"/>
      <c r="I356" s="7"/>
      <c r="J356" s="7"/>
      <c r="K356" s="7"/>
      <c r="L356" s="7">
        <v>9130345</v>
      </c>
      <c r="M356" s="22">
        <v>45268</v>
      </c>
      <c r="N356" s="8" t="e">
        <v>#N/A</v>
      </c>
      <c r="O356" s="8"/>
      <c r="P356" s="7">
        <v>1111.56</v>
      </c>
      <c r="Q356" s="7">
        <v>2765651</v>
      </c>
      <c r="R356" s="7" t="e">
        <v>#N/A</v>
      </c>
      <c r="S356" s="7">
        <v>10</v>
      </c>
      <c r="T356" s="7" t="e">
        <v>#N/A</v>
      </c>
      <c r="U356" s="7" t="e">
        <v>#N/A</v>
      </c>
      <c r="V356" s="6">
        <f t="shared" si="66"/>
        <v>276565.10000000003</v>
      </c>
      <c r="W356" s="6">
        <f t="shared" si="67"/>
        <v>27656.510000000006</v>
      </c>
      <c r="X356" s="6">
        <f t="shared" si="68"/>
        <v>304221.61000000004</v>
      </c>
      <c r="Y356" s="6">
        <f t="shared" si="69"/>
        <v>273.68887869300806</v>
      </c>
      <c r="Z356" s="6">
        <f t="shared" si="70"/>
        <v>2488.0807153909823</v>
      </c>
      <c r="AA356" s="9">
        <f t="shared" si="71"/>
        <v>1111.56</v>
      </c>
      <c r="AB356" s="10">
        <v>804</v>
      </c>
      <c r="AC356" s="11">
        <f t="shared" si="73"/>
        <v>220045.85846917849</v>
      </c>
      <c r="AD356" s="12">
        <f t="shared" si="72"/>
        <v>1111.5900000000001</v>
      </c>
      <c r="AE356" s="13">
        <v>0</v>
      </c>
    </row>
    <row r="357" spans="1:31">
      <c r="A357" s="6">
        <v>10</v>
      </c>
      <c r="B357" s="6">
        <f t="shared" si="74"/>
        <v>23</v>
      </c>
      <c r="C357" s="6" t="str">
        <f t="shared" si="65"/>
        <v>651409900ASCREW, STD METRIC M6 HEXALOBULAR INTERNAL, T499777444478530000</v>
      </c>
      <c r="D357" s="6" t="s">
        <v>218</v>
      </c>
      <c r="E357" s="6" t="s">
        <v>168</v>
      </c>
      <c r="F357" s="6"/>
      <c r="G357" s="7" t="s">
        <v>146</v>
      </c>
      <c r="H357" s="7"/>
      <c r="I357" s="7"/>
      <c r="J357" s="7"/>
      <c r="K357" s="7"/>
      <c r="L357" s="7">
        <v>9977744</v>
      </c>
      <c r="M357" s="22">
        <v>44785</v>
      </c>
      <c r="N357" s="8" t="s">
        <v>182</v>
      </c>
      <c r="O357" s="8"/>
      <c r="P357" s="7">
        <v>30000</v>
      </c>
      <c r="Q357" s="7">
        <v>99837.24</v>
      </c>
      <c r="R357" s="7">
        <v>87089500</v>
      </c>
      <c r="S357" s="7">
        <v>15</v>
      </c>
      <c r="T357" s="7" t="s">
        <v>183</v>
      </c>
      <c r="U357" s="7" t="s">
        <v>178</v>
      </c>
      <c r="V357" s="6">
        <f t="shared" si="66"/>
        <v>14975.585999999999</v>
      </c>
      <c r="W357" s="6">
        <f t="shared" si="67"/>
        <v>1497.5586000000001</v>
      </c>
      <c r="X357" s="6">
        <f t="shared" si="68"/>
        <v>16473.1446</v>
      </c>
      <c r="Y357" s="6">
        <f t="shared" si="69"/>
        <v>0.54910481999999994</v>
      </c>
      <c r="Z357" s="6">
        <f t="shared" si="70"/>
        <v>3.3279080000000003</v>
      </c>
      <c r="AA357" s="9">
        <f t="shared" si="71"/>
        <v>30000</v>
      </c>
      <c r="AB357" s="10">
        <v>5097</v>
      </c>
      <c r="AC357" s="11">
        <f t="shared" si="73"/>
        <v>2798.7872675399999</v>
      </c>
      <c r="AD357" s="12">
        <f t="shared" si="72"/>
        <v>28166</v>
      </c>
      <c r="AE357" s="13">
        <f t="shared" ref="AE357:AE374" si="75">AA357-AD357</f>
        <v>1834</v>
      </c>
    </row>
    <row r="358" spans="1:31">
      <c r="A358" s="6">
        <v>11</v>
      </c>
      <c r="B358" s="6">
        <v>1</v>
      </c>
      <c r="C358" s="6" t="str">
        <f t="shared" si="65"/>
        <v>630580800ALABEL, RAW MATERIAL, BLA K12 TPC BUCKLE5160585449362400000</v>
      </c>
      <c r="D358" s="6" t="s">
        <v>214</v>
      </c>
      <c r="E358" s="6" t="s">
        <v>71</v>
      </c>
      <c r="F358" s="6"/>
      <c r="G358" s="7" t="s">
        <v>31</v>
      </c>
      <c r="H358" s="7"/>
      <c r="I358" s="7"/>
      <c r="J358" s="7"/>
      <c r="K358" s="7"/>
      <c r="L358" s="7">
        <v>5160585</v>
      </c>
      <c r="M358" s="22">
        <v>44936</v>
      </c>
      <c r="N358" s="8" t="s">
        <v>196</v>
      </c>
      <c r="O358" s="8" t="s">
        <v>333</v>
      </c>
      <c r="P358" s="7">
        <v>2400000</v>
      </c>
      <c r="Q358" s="7">
        <v>86522.34</v>
      </c>
      <c r="R358" s="7">
        <v>87082900</v>
      </c>
      <c r="S358" s="7">
        <v>15</v>
      </c>
      <c r="T358" s="7" t="s">
        <v>265</v>
      </c>
      <c r="U358" s="7" t="s">
        <v>178</v>
      </c>
      <c r="V358" s="6">
        <f t="shared" si="66"/>
        <v>12978.350999999999</v>
      </c>
      <c r="W358" s="6">
        <f t="shared" si="67"/>
        <v>1297.8351</v>
      </c>
      <c r="X358" s="6">
        <f t="shared" si="68"/>
        <v>14276.186099999999</v>
      </c>
      <c r="Y358" s="6">
        <f t="shared" si="69"/>
        <v>5.9484108749999999E-3</v>
      </c>
      <c r="Z358" s="6">
        <f t="shared" si="70"/>
        <v>3.6050974999999999E-2</v>
      </c>
      <c r="AA358" s="9">
        <f t="shared" si="71"/>
        <v>2400000</v>
      </c>
      <c r="AB358" s="10">
        <v>6000</v>
      </c>
      <c r="AC358" s="11">
        <f t="shared" si="73"/>
        <v>35.690465250000003</v>
      </c>
      <c r="AD358" s="12">
        <f t="shared" si="72"/>
        <v>548546</v>
      </c>
      <c r="AE358" s="13">
        <f t="shared" si="75"/>
        <v>1851454</v>
      </c>
    </row>
    <row r="359" spans="1:31">
      <c r="A359" s="6">
        <v>11</v>
      </c>
      <c r="B359" s="6">
        <f t="shared" ref="B359:B408" si="76">B358+1</f>
        <v>2</v>
      </c>
      <c r="C359" s="6" t="str">
        <f t="shared" si="65"/>
        <v>634240200AHORN CONTACT, CU 521662145010720000</v>
      </c>
      <c r="D359" s="6" t="s">
        <v>214</v>
      </c>
      <c r="E359" s="6" t="s">
        <v>160</v>
      </c>
      <c r="F359" s="6"/>
      <c r="G359" s="7" t="s">
        <v>138</v>
      </c>
      <c r="H359" s="7"/>
      <c r="I359" s="7"/>
      <c r="J359" s="7"/>
      <c r="K359" s="7"/>
      <c r="L359" s="7">
        <v>5216621</v>
      </c>
      <c r="M359" s="22">
        <v>45010</v>
      </c>
      <c r="N359" s="8" t="s">
        <v>189</v>
      </c>
      <c r="O359" s="8"/>
      <c r="P359" s="7">
        <v>720000</v>
      </c>
      <c r="Q359" s="7">
        <v>803516.76</v>
      </c>
      <c r="R359" s="7">
        <v>87089900</v>
      </c>
      <c r="S359" s="7">
        <v>15</v>
      </c>
      <c r="T359" s="7" t="s">
        <v>258</v>
      </c>
      <c r="U359" s="7" t="s">
        <v>178</v>
      </c>
      <c r="V359" s="6">
        <f t="shared" si="66"/>
        <v>120527.514</v>
      </c>
      <c r="W359" s="6">
        <f t="shared" si="67"/>
        <v>12052.751400000001</v>
      </c>
      <c r="X359" s="6">
        <f t="shared" si="68"/>
        <v>132580.2654</v>
      </c>
      <c r="Y359" s="6">
        <f t="shared" si="69"/>
        <v>0.18413925750000001</v>
      </c>
      <c r="Z359" s="6">
        <f t="shared" si="70"/>
        <v>1.1159954999999999</v>
      </c>
      <c r="AA359" s="9">
        <f t="shared" si="71"/>
        <v>720000</v>
      </c>
      <c r="AB359" s="10">
        <v>24000</v>
      </c>
      <c r="AC359" s="11">
        <f t="shared" si="73"/>
        <v>4419.3421800000006</v>
      </c>
      <c r="AD359" s="12">
        <f t="shared" si="72"/>
        <v>707364</v>
      </c>
      <c r="AE359" s="13">
        <f t="shared" si="75"/>
        <v>12636</v>
      </c>
    </row>
    <row r="360" spans="1:31">
      <c r="A360" s="6">
        <v>11</v>
      </c>
      <c r="B360" s="6">
        <f t="shared" si="76"/>
        <v>3</v>
      </c>
      <c r="C360" s="6" t="str">
        <f t="shared" si="65"/>
        <v>651015100AARMATURE, MONOBLOCK, ASW4, HYUNDAI BC33353058448834860</v>
      </c>
      <c r="D360" s="6" t="s">
        <v>214</v>
      </c>
      <c r="E360" s="6" t="s">
        <v>158</v>
      </c>
      <c r="F360" s="6"/>
      <c r="G360" s="7" t="s">
        <v>135</v>
      </c>
      <c r="H360" s="7"/>
      <c r="I360" s="7"/>
      <c r="J360" s="7"/>
      <c r="K360" s="7"/>
      <c r="L360" s="7">
        <v>3353058</v>
      </c>
      <c r="M360" s="22">
        <v>44883</v>
      </c>
      <c r="N360" s="8" t="s">
        <v>184</v>
      </c>
      <c r="O360" s="8"/>
      <c r="P360" s="7">
        <v>4860</v>
      </c>
      <c r="Q360" s="7">
        <v>2360668.77</v>
      </c>
      <c r="R360" s="7">
        <v>87089400</v>
      </c>
      <c r="S360" s="7">
        <v>15</v>
      </c>
      <c r="T360" s="7" t="s">
        <v>186</v>
      </c>
      <c r="U360" s="7" t="s">
        <v>178</v>
      </c>
      <c r="V360" s="6">
        <f t="shared" si="66"/>
        <v>354100.31549999997</v>
      </c>
      <c r="W360" s="6">
        <f t="shared" si="67"/>
        <v>35410.03155</v>
      </c>
      <c r="X360" s="6">
        <f t="shared" si="68"/>
        <v>389510.34704999998</v>
      </c>
      <c r="Y360" s="6">
        <f t="shared" si="69"/>
        <v>80.146161944444444</v>
      </c>
      <c r="Z360" s="6">
        <f t="shared" si="70"/>
        <v>485.73431481481481</v>
      </c>
      <c r="AA360" s="9">
        <f t="shared" si="71"/>
        <v>4860</v>
      </c>
      <c r="AB360" s="10">
        <v>182</v>
      </c>
      <c r="AC360" s="11">
        <f t="shared" si="73"/>
        <v>14586.601473888888</v>
      </c>
      <c r="AD360" s="12">
        <f t="shared" si="72"/>
        <v>4814</v>
      </c>
      <c r="AE360" s="13">
        <f t="shared" si="75"/>
        <v>46</v>
      </c>
    </row>
    <row r="361" spans="1:31">
      <c r="A361" s="6">
        <v>11</v>
      </c>
      <c r="B361" s="6">
        <f t="shared" si="76"/>
        <v>4</v>
      </c>
      <c r="C361" s="6" t="str">
        <f t="shared" si="65"/>
        <v>652466500ALEATHER, HIDE TOP GRAIN, OBSIDIAN BLACK, NNB, BLA9646611447633220.2</v>
      </c>
      <c r="D361" s="6" t="s">
        <v>214</v>
      </c>
      <c r="E361" s="6" t="s">
        <v>163</v>
      </c>
      <c r="F361" s="6"/>
      <c r="G361" s="7" t="s">
        <v>141</v>
      </c>
      <c r="H361" s="7"/>
      <c r="I361" s="7"/>
      <c r="J361" s="7"/>
      <c r="K361" s="7"/>
      <c r="L361" s="7">
        <v>9646611</v>
      </c>
      <c r="M361" s="22">
        <v>44763</v>
      </c>
      <c r="N361" s="8" t="s">
        <v>283</v>
      </c>
      <c r="O361" s="8"/>
      <c r="P361" s="7">
        <v>3220.2</v>
      </c>
      <c r="Q361" s="7">
        <v>8262099.9900000002</v>
      </c>
      <c r="R361" s="7">
        <v>41071200</v>
      </c>
      <c r="S361" s="7">
        <v>10</v>
      </c>
      <c r="T361" s="7" t="s">
        <v>261</v>
      </c>
      <c r="U361" s="7" t="s">
        <v>178</v>
      </c>
      <c r="V361" s="6">
        <f t="shared" si="66"/>
        <v>826209.99900000007</v>
      </c>
      <c r="W361" s="6">
        <f t="shared" si="67"/>
        <v>82620.99990000001</v>
      </c>
      <c r="X361" s="6">
        <f t="shared" si="68"/>
        <v>908830.99890000012</v>
      </c>
      <c r="Y361" s="6">
        <f t="shared" si="69"/>
        <v>282.22812213527118</v>
      </c>
      <c r="Z361" s="6">
        <f t="shared" si="70"/>
        <v>2565.7102012297373</v>
      </c>
      <c r="AA361" s="9">
        <f t="shared" si="71"/>
        <v>3220.2</v>
      </c>
      <c r="AB361" s="10">
        <v>625</v>
      </c>
      <c r="AC361" s="11">
        <f t="shared" si="73"/>
        <v>176392.57633454449</v>
      </c>
      <c r="AD361" s="12">
        <f t="shared" si="72"/>
        <v>3219.7238479999996</v>
      </c>
      <c r="AE361" s="13">
        <f t="shared" si="75"/>
        <v>0.47615200000018376</v>
      </c>
    </row>
    <row r="362" spans="1:31">
      <c r="A362" s="6">
        <v>11</v>
      </c>
      <c r="B362" s="6">
        <f t="shared" si="76"/>
        <v>5</v>
      </c>
      <c r="C362" s="6" t="str">
        <f t="shared" si="65"/>
        <v>651409900ASCREW, STD METRIC M6 HEXALOBULAR INTERNAL, T482103034520830000</v>
      </c>
      <c r="D362" s="6" t="s">
        <v>214</v>
      </c>
      <c r="E362" s="6" t="s">
        <v>168</v>
      </c>
      <c r="F362" s="6"/>
      <c r="G362" s="7" t="s">
        <v>146</v>
      </c>
      <c r="H362" s="7"/>
      <c r="I362" s="7"/>
      <c r="J362" s="7"/>
      <c r="K362" s="7"/>
      <c r="L362" s="7">
        <v>8210303</v>
      </c>
      <c r="M362" s="22">
        <v>45208</v>
      </c>
      <c r="N362" s="8" t="s">
        <v>190</v>
      </c>
      <c r="O362" s="8"/>
      <c r="P362" s="7">
        <v>30000</v>
      </c>
      <c r="Q362" s="7">
        <v>99167.74</v>
      </c>
      <c r="R362" s="7">
        <v>87089500</v>
      </c>
      <c r="S362" s="7">
        <v>15</v>
      </c>
      <c r="T362" s="7" t="s">
        <v>191</v>
      </c>
      <c r="U362" s="7" t="s">
        <v>178</v>
      </c>
      <c r="V362" s="6">
        <f t="shared" si="66"/>
        <v>14875.161</v>
      </c>
      <c r="W362" s="6">
        <f t="shared" si="67"/>
        <v>1487.5161000000001</v>
      </c>
      <c r="X362" s="6">
        <f t="shared" si="68"/>
        <v>16362.677100000001</v>
      </c>
      <c r="Y362" s="6">
        <f t="shared" si="69"/>
        <v>0.54542257000000005</v>
      </c>
      <c r="Z362" s="6">
        <f t="shared" si="70"/>
        <v>3.3055913333333335</v>
      </c>
      <c r="AA362" s="9">
        <f t="shared" si="71"/>
        <v>30000</v>
      </c>
      <c r="AB362" s="10">
        <v>6071</v>
      </c>
      <c r="AC362" s="11">
        <f t="shared" si="73"/>
        <v>3311.2604224700003</v>
      </c>
      <c r="AD362" s="12">
        <f t="shared" si="72"/>
        <v>30000</v>
      </c>
      <c r="AE362" s="13">
        <f t="shared" si="75"/>
        <v>0</v>
      </c>
    </row>
    <row r="363" spans="1:31">
      <c r="A363" s="6">
        <v>11</v>
      </c>
      <c r="B363" s="6">
        <f t="shared" si="76"/>
        <v>6</v>
      </c>
      <c r="C363" s="6" t="str">
        <f t="shared" si="65"/>
        <v>608225700ASCREW,STD METRIIC HEXALOBULAR  M5 T25 12MM31545254486980000</v>
      </c>
      <c r="D363" s="6" t="s">
        <v>214</v>
      </c>
      <c r="E363" s="6" t="s">
        <v>169</v>
      </c>
      <c r="F363" s="6"/>
      <c r="G363" s="7" t="s">
        <v>147</v>
      </c>
      <c r="H363" s="7"/>
      <c r="I363" s="7"/>
      <c r="J363" s="7"/>
      <c r="K363" s="7"/>
      <c r="L363" s="7">
        <v>3154525</v>
      </c>
      <c r="M363" s="22">
        <v>44869</v>
      </c>
      <c r="N363" s="8" t="s">
        <v>189</v>
      </c>
      <c r="O363" s="8"/>
      <c r="P363" s="7">
        <v>80000</v>
      </c>
      <c r="Q363" s="7">
        <v>224502.69</v>
      </c>
      <c r="R363" s="7">
        <v>87089400</v>
      </c>
      <c r="S363" s="7">
        <v>15</v>
      </c>
      <c r="T363" s="7" t="s">
        <v>287</v>
      </c>
      <c r="U363" s="7" t="s">
        <v>178</v>
      </c>
      <c r="V363" s="6">
        <f t="shared" si="66"/>
        <v>33675.4035</v>
      </c>
      <c r="W363" s="6">
        <f t="shared" si="67"/>
        <v>3367.5403500000002</v>
      </c>
      <c r="X363" s="6">
        <f t="shared" si="68"/>
        <v>37042.943850000003</v>
      </c>
      <c r="Y363" s="6">
        <f t="shared" si="69"/>
        <v>0.46303679812500004</v>
      </c>
      <c r="Z363" s="6">
        <f t="shared" si="70"/>
        <v>2.8062836249999998</v>
      </c>
      <c r="AA363" s="9">
        <f t="shared" si="71"/>
        <v>80000</v>
      </c>
      <c r="AB363" s="10">
        <v>11336</v>
      </c>
      <c r="AC363" s="11">
        <f t="shared" si="73"/>
        <v>5248.985143545</v>
      </c>
      <c r="AD363" s="12">
        <f t="shared" si="72"/>
        <v>80000</v>
      </c>
      <c r="AE363" s="13">
        <f t="shared" si="75"/>
        <v>0</v>
      </c>
    </row>
    <row r="364" spans="1:31">
      <c r="A364" s="6">
        <v>11</v>
      </c>
      <c r="B364" s="6">
        <f t="shared" si="76"/>
        <v>7</v>
      </c>
      <c r="C364" s="6" t="str">
        <f t="shared" si="65"/>
        <v>651166400CSPRING, COIL, UPPER 73271424515055000</v>
      </c>
      <c r="D364" s="6" t="s">
        <v>214</v>
      </c>
      <c r="E364" s="6" t="s">
        <v>170</v>
      </c>
      <c r="F364" s="6"/>
      <c r="G364" s="7" t="s">
        <v>148</v>
      </c>
      <c r="H364" s="7"/>
      <c r="I364" s="7"/>
      <c r="J364" s="7"/>
      <c r="K364" s="7"/>
      <c r="L364" s="7">
        <v>7327142</v>
      </c>
      <c r="M364" s="22">
        <v>45150</v>
      </c>
      <c r="N364" s="8" t="s">
        <v>189</v>
      </c>
      <c r="O364" s="8"/>
      <c r="P364" s="7">
        <v>55000</v>
      </c>
      <c r="Q364" s="7">
        <v>100568.15</v>
      </c>
      <c r="R364" s="7">
        <v>87089500</v>
      </c>
      <c r="S364" s="7">
        <v>15</v>
      </c>
      <c r="T364" s="7" t="s">
        <v>288</v>
      </c>
      <c r="U364" s="7" t="s">
        <v>178</v>
      </c>
      <c r="V364" s="6">
        <f t="shared" si="66"/>
        <v>15085.222499999998</v>
      </c>
      <c r="W364" s="6">
        <f t="shared" si="67"/>
        <v>1508.52225</v>
      </c>
      <c r="X364" s="6">
        <f t="shared" si="68"/>
        <v>16593.744749999998</v>
      </c>
      <c r="Y364" s="6">
        <f t="shared" si="69"/>
        <v>0.30170444999999996</v>
      </c>
      <c r="Z364" s="6">
        <f t="shared" si="70"/>
        <v>1.8285118181818181</v>
      </c>
      <c r="AA364" s="9">
        <f t="shared" si="71"/>
        <v>55000</v>
      </c>
      <c r="AB364" s="10">
        <v>3665</v>
      </c>
      <c r="AC364" s="11">
        <f t="shared" si="73"/>
        <v>1105.7468092499998</v>
      </c>
      <c r="AD364" s="12">
        <f t="shared" si="72"/>
        <v>55000</v>
      </c>
      <c r="AE364" s="13">
        <f t="shared" si="75"/>
        <v>0</v>
      </c>
    </row>
    <row r="365" spans="1:31">
      <c r="A365" s="6">
        <v>11</v>
      </c>
      <c r="B365" s="6">
        <f t="shared" si="76"/>
        <v>8</v>
      </c>
      <c r="C365" s="6" t="str">
        <f t="shared" si="65"/>
        <v>655931500AARMATURE, MONOBLOCK ASW4, HYUNDAI BC3-CUV7358127451524860</v>
      </c>
      <c r="D365" s="6" t="s">
        <v>214</v>
      </c>
      <c r="E365" s="6" t="s">
        <v>157</v>
      </c>
      <c r="F365" s="6"/>
      <c r="G365" s="7" t="s">
        <v>134</v>
      </c>
      <c r="H365" s="7"/>
      <c r="I365" s="7"/>
      <c r="J365" s="7"/>
      <c r="K365" s="7"/>
      <c r="L365" s="7">
        <v>7358127</v>
      </c>
      <c r="M365" s="22">
        <v>45152</v>
      </c>
      <c r="N365" s="8" t="s">
        <v>184</v>
      </c>
      <c r="O365" s="8"/>
      <c r="P365" s="7">
        <v>4860</v>
      </c>
      <c r="Q365" s="7">
        <v>2080616.19</v>
      </c>
      <c r="R365" s="7">
        <v>87089900</v>
      </c>
      <c r="S365" s="7">
        <v>15</v>
      </c>
      <c r="T365" s="7" t="s">
        <v>274</v>
      </c>
      <c r="U365" s="7" t="s">
        <v>178</v>
      </c>
      <c r="V365" s="6">
        <f t="shared" si="66"/>
        <v>312092.42849999998</v>
      </c>
      <c r="W365" s="6">
        <f t="shared" si="67"/>
        <v>31209.242849999999</v>
      </c>
      <c r="X365" s="6">
        <f t="shared" si="68"/>
        <v>343301.67134999996</v>
      </c>
      <c r="Y365" s="6">
        <f t="shared" si="69"/>
        <v>70.638203981481468</v>
      </c>
      <c r="Z365" s="6">
        <f t="shared" si="70"/>
        <v>428.1103271604938</v>
      </c>
      <c r="AA365" s="9">
        <f t="shared" si="71"/>
        <v>4860</v>
      </c>
      <c r="AB365" s="10">
        <v>1237</v>
      </c>
      <c r="AC365" s="11">
        <f t="shared" si="73"/>
        <v>87379.458325092579</v>
      </c>
      <c r="AD365" s="12">
        <f t="shared" si="72"/>
        <v>4860</v>
      </c>
      <c r="AE365" s="13">
        <f t="shared" si="75"/>
        <v>0</v>
      </c>
    </row>
    <row r="366" spans="1:31" ht="30">
      <c r="A366" s="6">
        <v>11</v>
      </c>
      <c r="B366" s="6">
        <f t="shared" si="76"/>
        <v>9</v>
      </c>
      <c r="C366" s="6" t="str">
        <f t="shared" si="65"/>
        <v>655931500AARMATURE, MONOBLOCK ASW4, HYUNDAI BC3-CUV7445024451595832</v>
      </c>
      <c r="D366" s="6" t="s">
        <v>214</v>
      </c>
      <c r="E366" s="6" t="s">
        <v>157</v>
      </c>
      <c r="F366" s="6"/>
      <c r="G366" s="7" t="s">
        <v>134</v>
      </c>
      <c r="H366" s="7"/>
      <c r="I366" s="7"/>
      <c r="J366" s="7"/>
      <c r="K366" s="7"/>
      <c r="L366" s="7">
        <v>7445024</v>
      </c>
      <c r="M366" s="22">
        <v>45159</v>
      </c>
      <c r="N366" s="8" t="s">
        <v>185</v>
      </c>
      <c r="O366" s="8"/>
      <c r="P366" s="7">
        <v>5832</v>
      </c>
      <c r="Q366" s="7">
        <v>2402740.63</v>
      </c>
      <c r="R366" s="7">
        <v>87089400</v>
      </c>
      <c r="S366" s="7">
        <v>15</v>
      </c>
      <c r="T366" s="7" t="s">
        <v>194</v>
      </c>
      <c r="U366" s="7" t="s">
        <v>178</v>
      </c>
      <c r="V366" s="6">
        <f t="shared" si="66"/>
        <v>360411.09449999995</v>
      </c>
      <c r="W366" s="6">
        <f t="shared" si="67"/>
        <v>36041.109449999996</v>
      </c>
      <c r="X366" s="6">
        <f t="shared" si="68"/>
        <v>396452.20394999994</v>
      </c>
      <c r="Y366" s="6">
        <f t="shared" si="69"/>
        <v>67.978772968106981</v>
      </c>
      <c r="Z366" s="6">
        <f t="shared" si="70"/>
        <v>411.9925634430727</v>
      </c>
      <c r="AA366" s="9">
        <f t="shared" si="71"/>
        <v>5832</v>
      </c>
      <c r="AB366" s="10">
        <v>3452</v>
      </c>
      <c r="AC366" s="11">
        <f t="shared" si="73"/>
        <v>234662.72428590531</v>
      </c>
      <c r="AD366" s="12">
        <f t="shared" si="72"/>
        <v>5832</v>
      </c>
      <c r="AE366" s="13">
        <f t="shared" si="75"/>
        <v>0</v>
      </c>
    </row>
    <row r="367" spans="1:31">
      <c r="A367" s="6">
        <v>11</v>
      </c>
      <c r="B367" s="6">
        <f t="shared" si="76"/>
        <v>10</v>
      </c>
      <c r="C367" s="6" t="str">
        <f t="shared" si="65"/>
        <v>655931500AARMATURE, MONOBLOCK ASW4, HYUNDAI BC3-CUV7443472451592430</v>
      </c>
      <c r="D367" s="6" t="s">
        <v>214</v>
      </c>
      <c r="E367" s="6" t="s">
        <v>157</v>
      </c>
      <c r="F367" s="6"/>
      <c r="G367" s="7" t="s">
        <v>134</v>
      </c>
      <c r="H367" s="7"/>
      <c r="I367" s="7"/>
      <c r="J367" s="7"/>
      <c r="K367" s="7"/>
      <c r="L367" s="7">
        <v>7443472</v>
      </c>
      <c r="M367" s="22">
        <v>45159</v>
      </c>
      <c r="N367" s="8" t="s">
        <v>184</v>
      </c>
      <c r="O367" s="8"/>
      <c r="P367" s="7">
        <v>2430</v>
      </c>
      <c r="Q367" s="7">
        <v>1009952.52</v>
      </c>
      <c r="R367" s="7">
        <v>87089400</v>
      </c>
      <c r="S367" s="7">
        <v>15</v>
      </c>
      <c r="T367" s="7" t="s">
        <v>186</v>
      </c>
      <c r="U367" s="7" t="s">
        <v>178</v>
      </c>
      <c r="V367" s="6">
        <f t="shared" si="66"/>
        <v>151492.878</v>
      </c>
      <c r="W367" s="6">
        <f t="shared" si="67"/>
        <v>15149.2878</v>
      </c>
      <c r="X367" s="6">
        <f t="shared" si="68"/>
        <v>166642.16579999999</v>
      </c>
      <c r="Y367" s="6">
        <f t="shared" si="69"/>
        <v>68.577022962962957</v>
      </c>
      <c r="Z367" s="6">
        <f t="shared" si="70"/>
        <v>415.61832098765433</v>
      </c>
      <c r="AA367" s="9">
        <f t="shared" si="71"/>
        <v>2430</v>
      </c>
      <c r="AB367" s="10">
        <v>1129</v>
      </c>
      <c r="AC367" s="11">
        <f t="shared" si="73"/>
        <v>77423.458925185172</v>
      </c>
      <c r="AD367" s="12">
        <f t="shared" si="72"/>
        <v>2430</v>
      </c>
      <c r="AE367" s="13">
        <f t="shared" si="75"/>
        <v>0</v>
      </c>
    </row>
    <row r="368" spans="1:31">
      <c r="A368" s="6">
        <v>11</v>
      </c>
      <c r="B368" s="6">
        <f t="shared" si="76"/>
        <v>11</v>
      </c>
      <c r="C368" s="6" t="str">
        <f t="shared" si="65"/>
        <v>656011400ALEATHER, HIDE TOP GRAIN, GREY, FOSSIL GREY, T9Y,616153245074454.75</v>
      </c>
      <c r="D368" s="6" t="s">
        <v>214</v>
      </c>
      <c r="E368" s="6" t="s">
        <v>162</v>
      </c>
      <c r="F368" s="6"/>
      <c r="G368" s="7" t="s">
        <v>140</v>
      </c>
      <c r="H368" s="7"/>
      <c r="I368" s="7"/>
      <c r="J368" s="7"/>
      <c r="K368" s="7"/>
      <c r="L368" s="7">
        <v>6161532</v>
      </c>
      <c r="M368" s="22">
        <v>45074</v>
      </c>
      <c r="N368" s="8" t="s">
        <v>180</v>
      </c>
      <c r="O368" s="8"/>
      <c r="P368" s="7">
        <v>454.75</v>
      </c>
      <c r="Q368" s="7">
        <v>1114461.1200000001</v>
      </c>
      <c r="R368" s="7">
        <v>41071900</v>
      </c>
      <c r="S368" s="7">
        <v>10</v>
      </c>
      <c r="T368" s="7" t="s">
        <v>289</v>
      </c>
      <c r="U368" s="7" t="s">
        <v>178</v>
      </c>
      <c r="V368" s="6">
        <f t="shared" si="66"/>
        <v>111446.11200000002</v>
      </c>
      <c r="W368" s="6">
        <f t="shared" si="67"/>
        <v>11144.611200000003</v>
      </c>
      <c r="X368" s="6">
        <f t="shared" si="68"/>
        <v>122590.72320000002</v>
      </c>
      <c r="Y368" s="6">
        <f t="shared" si="69"/>
        <v>269.57828081363391</v>
      </c>
      <c r="Z368" s="6">
        <f t="shared" si="70"/>
        <v>2450.7116437603081</v>
      </c>
      <c r="AA368" s="9">
        <f t="shared" si="71"/>
        <v>454.75</v>
      </c>
      <c r="AB368" s="10">
        <v>155.68782199999998</v>
      </c>
      <c r="AC368" s="11">
        <f t="shared" si="73"/>
        <v>41970.055398379045</v>
      </c>
      <c r="AD368" s="12">
        <f t="shared" si="72"/>
        <v>454.75</v>
      </c>
      <c r="AE368" s="13">
        <f t="shared" si="75"/>
        <v>0</v>
      </c>
    </row>
    <row r="369" spans="1:31">
      <c r="A369" s="6">
        <v>11</v>
      </c>
      <c r="B369" s="6">
        <f t="shared" si="76"/>
        <v>12</v>
      </c>
      <c r="C369" s="6" t="str">
        <f t="shared" si="65"/>
        <v>639590100BSCREW SELF TAPPING INTERNAL T15, 15.0791007444637100000</v>
      </c>
      <c r="D369" s="6" t="s">
        <v>214</v>
      </c>
      <c r="E369" s="6" t="s">
        <v>165</v>
      </c>
      <c r="F369" s="6"/>
      <c r="G369" s="7" t="s">
        <v>143</v>
      </c>
      <c r="H369" s="7"/>
      <c r="I369" s="7"/>
      <c r="J369" s="7"/>
      <c r="K369" s="7"/>
      <c r="L369" s="7">
        <v>7910074</v>
      </c>
      <c r="M369" s="22">
        <v>44637</v>
      </c>
      <c r="N369" s="8" t="s">
        <v>180</v>
      </c>
      <c r="O369" s="8"/>
      <c r="P369" s="7">
        <v>100000</v>
      </c>
      <c r="Q369" s="7">
        <v>141689.75</v>
      </c>
      <c r="R369" s="7">
        <v>87082900</v>
      </c>
      <c r="S369" s="7">
        <v>15</v>
      </c>
      <c r="T369" s="7" t="s">
        <v>291</v>
      </c>
      <c r="U369" s="7" t="s">
        <v>178</v>
      </c>
      <c r="V369" s="6">
        <f t="shared" si="66"/>
        <v>21253.462499999998</v>
      </c>
      <c r="W369" s="6">
        <f t="shared" si="67"/>
        <v>2125.3462500000001</v>
      </c>
      <c r="X369" s="6">
        <f t="shared" si="68"/>
        <v>23378.808749999997</v>
      </c>
      <c r="Y369" s="6">
        <f t="shared" si="69"/>
        <v>0.23378808749999996</v>
      </c>
      <c r="Z369" s="6">
        <f t="shared" si="70"/>
        <v>1.4168974999999999</v>
      </c>
      <c r="AA369" s="9">
        <f t="shared" si="71"/>
        <v>100000</v>
      </c>
      <c r="AB369" s="10">
        <v>2662</v>
      </c>
      <c r="AC369" s="11">
        <f t="shared" si="73"/>
        <v>622.34388892499987</v>
      </c>
      <c r="AD369" s="12">
        <f t="shared" si="72"/>
        <v>92728</v>
      </c>
      <c r="AE369" s="13">
        <f t="shared" si="75"/>
        <v>7272</v>
      </c>
    </row>
    <row r="370" spans="1:31">
      <c r="A370" s="6">
        <v>11</v>
      </c>
      <c r="B370" s="6">
        <f t="shared" si="76"/>
        <v>13</v>
      </c>
      <c r="C370" s="6" t="str">
        <f t="shared" si="65"/>
        <v>644345600ASCREW, SELF-TAPPING, PLA PLASTIC, 3.0, CROSS39402614492360000</v>
      </c>
      <c r="D370" s="6" t="s">
        <v>214</v>
      </c>
      <c r="E370" s="6" t="s">
        <v>166</v>
      </c>
      <c r="F370" s="6"/>
      <c r="G370" s="7" t="s">
        <v>144</v>
      </c>
      <c r="H370" s="7"/>
      <c r="I370" s="7"/>
      <c r="J370" s="7"/>
      <c r="K370" s="7"/>
      <c r="L370" s="7">
        <v>3940261</v>
      </c>
      <c r="M370" s="22">
        <v>44923</v>
      </c>
      <c r="N370" s="8" t="s">
        <v>189</v>
      </c>
      <c r="O370" s="8"/>
      <c r="P370" s="7">
        <v>60000</v>
      </c>
      <c r="Q370" s="7">
        <v>46616.75</v>
      </c>
      <c r="R370" s="7">
        <v>87089500</v>
      </c>
      <c r="S370" s="7">
        <v>15</v>
      </c>
      <c r="T370" s="7" t="s">
        <v>183</v>
      </c>
      <c r="U370" s="7" t="s">
        <v>178</v>
      </c>
      <c r="V370" s="6">
        <f t="shared" si="66"/>
        <v>6992.5124999999998</v>
      </c>
      <c r="W370" s="6">
        <f t="shared" si="67"/>
        <v>699.25125000000003</v>
      </c>
      <c r="X370" s="6">
        <f t="shared" si="68"/>
        <v>7691.7637500000001</v>
      </c>
      <c r="Y370" s="6">
        <f t="shared" si="69"/>
        <v>0.12819606250000001</v>
      </c>
      <c r="Z370" s="6">
        <f t="shared" si="70"/>
        <v>0.77694583333333334</v>
      </c>
      <c r="AA370" s="9">
        <f t="shared" si="71"/>
        <v>60000</v>
      </c>
      <c r="AB370" s="10">
        <v>12000</v>
      </c>
      <c r="AC370" s="11">
        <f t="shared" si="73"/>
        <v>1538.3527500000002</v>
      </c>
      <c r="AD370" s="12">
        <f t="shared" si="72"/>
        <v>60000</v>
      </c>
      <c r="AE370" s="13">
        <f t="shared" si="75"/>
        <v>0</v>
      </c>
    </row>
    <row r="371" spans="1:31">
      <c r="A371" s="6">
        <v>11</v>
      </c>
      <c r="B371" s="6">
        <f t="shared" si="76"/>
        <v>14</v>
      </c>
      <c r="C371" s="6" t="str">
        <f t="shared" si="65"/>
        <v>655931500AARMATURE, MONOBLOCK ASW4, HYUNDAI BC3-CUV8890638452531620</v>
      </c>
      <c r="D371" s="6" t="s">
        <v>214</v>
      </c>
      <c r="E371" s="6" t="s">
        <v>157</v>
      </c>
      <c r="F371" s="6"/>
      <c r="G371" s="7" t="s">
        <v>134</v>
      </c>
      <c r="H371" s="7"/>
      <c r="I371" s="7"/>
      <c r="J371" s="7"/>
      <c r="K371" s="7"/>
      <c r="L371" s="7">
        <v>8890638</v>
      </c>
      <c r="M371" s="22">
        <v>45253</v>
      </c>
      <c r="N371" s="8" t="s">
        <v>184</v>
      </c>
      <c r="O371" s="8"/>
      <c r="P371" s="7">
        <v>1620</v>
      </c>
      <c r="Q371" s="7">
        <v>668949.47</v>
      </c>
      <c r="R371" s="7">
        <v>87089400</v>
      </c>
      <c r="S371" s="7">
        <v>15</v>
      </c>
      <c r="T371" s="7" t="s">
        <v>186</v>
      </c>
      <c r="U371" s="7" t="s">
        <v>178</v>
      </c>
      <c r="V371" s="6">
        <f t="shared" si="66"/>
        <v>100342.42049999999</v>
      </c>
      <c r="W371" s="6">
        <f t="shared" si="67"/>
        <v>10034.242050000001</v>
      </c>
      <c r="X371" s="6">
        <f t="shared" si="68"/>
        <v>110376.66254999999</v>
      </c>
      <c r="Y371" s="6">
        <f t="shared" si="69"/>
        <v>68.13374231481481</v>
      </c>
      <c r="Z371" s="6">
        <f t="shared" si="70"/>
        <v>412.93177160493826</v>
      </c>
      <c r="AA371" s="9">
        <f t="shared" si="71"/>
        <v>1620</v>
      </c>
      <c r="AB371" s="10">
        <v>0</v>
      </c>
      <c r="AC371" s="11">
        <f t="shared" si="73"/>
        <v>0</v>
      </c>
      <c r="AD371" s="12">
        <f t="shared" si="72"/>
        <v>1620</v>
      </c>
      <c r="AE371" s="13">
        <f t="shared" si="75"/>
        <v>0</v>
      </c>
    </row>
    <row r="372" spans="1:31">
      <c r="A372" s="6">
        <v>11</v>
      </c>
      <c r="B372" s="6">
        <f t="shared" si="76"/>
        <v>15</v>
      </c>
      <c r="C372" s="6" t="str">
        <f t="shared" si="65"/>
        <v>655818900BACTUATOR VIBRATION MOTOR ASSY WITH BRACKET BC3 CU6090664450709600</v>
      </c>
      <c r="D372" s="6" t="s">
        <v>214</v>
      </c>
      <c r="E372" s="6" t="s">
        <v>156</v>
      </c>
      <c r="F372" s="6"/>
      <c r="G372" s="7" t="s">
        <v>133</v>
      </c>
      <c r="H372" s="7"/>
      <c r="I372" s="7"/>
      <c r="J372" s="7"/>
      <c r="K372" s="7"/>
      <c r="L372" s="7">
        <v>6090664</v>
      </c>
      <c r="M372" s="22">
        <v>45070</v>
      </c>
      <c r="N372" s="8" t="s">
        <v>189</v>
      </c>
      <c r="O372" s="8"/>
      <c r="P372" s="7">
        <v>9600</v>
      </c>
      <c r="Q372" s="7">
        <v>3185708</v>
      </c>
      <c r="R372" s="7">
        <v>85011019</v>
      </c>
      <c r="S372" s="7">
        <v>10</v>
      </c>
      <c r="T372" s="7" t="s">
        <v>254</v>
      </c>
      <c r="U372" s="7" t="s">
        <v>178</v>
      </c>
      <c r="V372" s="6">
        <f t="shared" si="66"/>
        <v>318570.80000000005</v>
      </c>
      <c r="W372" s="6">
        <f t="shared" si="67"/>
        <v>31857.080000000005</v>
      </c>
      <c r="X372" s="6">
        <f t="shared" si="68"/>
        <v>350427.88000000006</v>
      </c>
      <c r="Y372" s="6">
        <f t="shared" si="69"/>
        <v>36.502904166666674</v>
      </c>
      <c r="Z372" s="6">
        <f t="shared" si="70"/>
        <v>331.84458333333333</v>
      </c>
      <c r="AA372" s="9">
        <f t="shared" si="71"/>
        <v>9600</v>
      </c>
      <c r="AB372" s="10">
        <v>2196</v>
      </c>
      <c r="AC372" s="11">
        <f t="shared" si="73"/>
        <v>80160.377550000019</v>
      </c>
      <c r="AD372" s="12">
        <f t="shared" si="72"/>
        <v>9600</v>
      </c>
      <c r="AE372" s="13">
        <f t="shared" si="75"/>
        <v>0</v>
      </c>
    </row>
    <row r="373" spans="1:31">
      <c r="A373" s="6">
        <v>11</v>
      </c>
      <c r="B373" s="6">
        <f t="shared" si="76"/>
        <v>16</v>
      </c>
      <c r="C373" s="6" t="str">
        <f t="shared" si="65"/>
        <v>651015300BELEMENT, HEATER, HYBRID 6048608450665600</v>
      </c>
      <c r="D373" s="6" t="s">
        <v>214</v>
      </c>
      <c r="E373" s="6" t="s">
        <v>155</v>
      </c>
      <c r="F373" s="6"/>
      <c r="G373" s="7" t="s">
        <v>137</v>
      </c>
      <c r="H373" s="7"/>
      <c r="I373" s="7"/>
      <c r="J373" s="7"/>
      <c r="K373" s="7"/>
      <c r="L373" s="7">
        <v>6048608</v>
      </c>
      <c r="M373" s="22">
        <v>45066</v>
      </c>
      <c r="N373" s="8" t="s">
        <v>189</v>
      </c>
      <c r="O373" s="8"/>
      <c r="P373" s="7">
        <v>5600</v>
      </c>
      <c r="Q373" s="7">
        <v>3118551.36</v>
      </c>
      <c r="R373" s="7">
        <v>87089400</v>
      </c>
      <c r="S373" s="7">
        <v>15</v>
      </c>
      <c r="T373" s="7" t="s">
        <v>257</v>
      </c>
      <c r="U373" s="7" t="s">
        <v>178</v>
      </c>
      <c r="V373" s="6">
        <f t="shared" si="66"/>
        <v>467782.70399999997</v>
      </c>
      <c r="W373" s="6">
        <f t="shared" si="67"/>
        <v>46778.270400000001</v>
      </c>
      <c r="X373" s="6">
        <f t="shared" si="68"/>
        <v>514560.97439999995</v>
      </c>
      <c r="Y373" s="6">
        <f t="shared" si="69"/>
        <v>91.885888285714273</v>
      </c>
      <c r="Z373" s="6">
        <f t="shared" si="70"/>
        <v>556.88417142857145</v>
      </c>
      <c r="AA373" s="9">
        <f t="shared" si="71"/>
        <v>5600</v>
      </c>
      <c r="AB373" s="10">
        <v>3450</v>
      </c>
      <c r="AC373" s="11">
        <f t="shared" si="73"/>
        <v>317006.31458571425</v>
      </c>
      <c r="AD373" s="12">
        <f t="shared" si="72"/>
        <v>5600</v>
      </c>
      <c r="AE373" s="13">
        <f t="shared" si="75"/>
        <v>0</v>
      </c>
    </row>
    <row r="374" spans="1:31">
      <c r="A374" s="6">
        <v>11</v>
      </c>
      <c r="B374" s="6">
        <f t="shared" si="76"/>
        <v>17</v>
      </c>
      <c r="C374" s="6" t="str">
        <f t="shared" si="65"/>
        <v>628408700ASCREW, STANDARD, METRIC, M5, HEXALOBULAR INTERNAL52913244501570000</v>
      </c>
      <c r="D374" s="6" t="s">
        <v>214</v>
      </c>
      <c r="E374" s="6" t="s">
        <v>167</v>
      </c>
      <c r="F374" s="6"/>
      <c r="G374" s="7" t="s">
        <v>145</v>
      </c>
      <c r="H374" s="7"/>
      <c r="I374" s="7"/>
      <c r="J374" s="7"/>
      <c r="K374" s="7"/>
      <c r="L374" s="7">
        <v>5291324</v>
      </c>
      <c r="M374" s="22">
        <v>45015</v>
      </c>
      <c r="N374" s="8" t="s">
        <v>189</v>
      </c>
      <c r="O374" s="8"/>
      <c r="P374" s="7">
        <v>70000</v>
      </c>
      <c r="Q374" s="7">
        <v>362051.01</v>
      </c>
      <c r="R374" s="7">
        <v>87089900</v>
      </c>
      <c r="S374" s="7">
        <v>15</v>
      </c>
      <c r="T374" s="7" t="s">
        <v>290</v>
      </c>
      <c r="U374" s="7" t="s">
        <v>178</v>
      </c>
      <c r="V374" s="6">
        <f t="shared" si="66"/>
        <v>54307.6515</v>
      </c>
      <c r="W374" s="6">
        <f t="shared" si="67"/>
        <v>5430.7651500000002</v>
      </c>
      <c r="X374" s="6">
        <f t="shared" si="68"/>
        <v>59738.416649999999</v>
      </c>
      <c r="Y374" s="6">
        <f t="shared" si="69"/>
        <v>0.85340595214285708</v>
      </c>
      <c r="Z374" s="6">
        <f t="shared" si="70"/>
        <v>5.1721572857142855</v>
      </c>
      <c r="AA374" s="9">
        <f t="shared" si="71"/>
        <v>70000</v>
      </c>
      <c r="AB374" s="10">
        <v>18000</v>
      </c>
      <c r="AC374" s="11">
        <f t="shared" si="73"/>
        <v>15361.307138571428</v>
      </c>
      <c r="AD374" s="12">
        <f t="shared" si="72"/>
        <v>70000</v>
      </c>
      <c r="AE374" s="13">
        <f t="shared" si="75"/>
        <v>0</v>
      </c>
    </row>
    <row r="375" spans="1:31">
      <c r="A375" s="6">
        <v>11</v>
      </c>
      <c r="B375" s="6">
        <f t="shared" si="76"/>
        <v>18</v>
      </c>
      <c r="C375" s="6" t="str">
        <f t="shared" si="65"/>
        <v>652466500ALEATHER, HIDE TOP GRAIN, OBSIDIAN BLACK, NNB, BLA9130345452681111.56</v>
      </c>
      <c r="D375" s="6" t="s">
        <v>214</v>
      </c>
      <c r="E375" s="6" t="s">
        <v>163</v>
      </c>
      <c r="F375" s="6"/>
      <c r="G375" s="7" t="s">
        <v>141</v>
      </c>
      <c r="H375" s="7"/>
      <c r="I375" s="7"/>
      <c r="J375" s="7"/>
      <c r="K375" s="7"/>
      <c r="L375" s="7">
        <v>9130345</v>
      </c>
      <c r="M375" s="22">
        <v>45268</v>
      </c>
      <c r="N375" s="8" t="e">
        <v>#N/A</v>
      </c>
      <c r="O375" s="8"/>
      <c r="P375" s="7">
        <v>1111.56</v>
      </c>
      <c r="Q375" s="7">
        <v>2765651</v>
      </c>
      <c r="R375" s="7" t="e">
        <v>#N/A</v>
      </c>
      <c r="S375" s="7">
        <v>10</v>
      </c>
      <c r="T375" s="7" t="e">
        <v>#N/A</v>
      </c>
      <c r="U375" s="7" t="e">
        <v>#N/A</v>
      </c>
      <c r="V375" s="6">
        <f t="shared" si="66"/>
        <v>276565.10000000003</v>
      </c>
      <c r="W375" s="6">
        <f t="shared" si="67"/>
        <v>27656.510000000006</v>
      </c>
      <c r="X375" s="6">
        <f t="shared" si="68"/>
        <v>304221.61000000004</v>
      </c>
      <c r="Y375" s="6">
        <f t="shared" si="69"/>
        <v>273.68887869300806</v>
      </c>
      <c r="Z375" s="6">
        <f t="shared" si="70"/>
        <v>2488.0807153909823</v>
      </c>
      <c r="AA375" s="9">
        <f t="shared" si="71"/>
        <v>1111.56</v>
      </c>
      <c r="AB375" s="10">
        <v>182</v>
      </c>
      <c r="AC375" s="11">
        <f t="shared" si="73"/>
        <v>49811.375922127467</v>
      </c>
      <c r="AD375" s="12">
        <f t="shared" si="72"/>
        <v>1111.5900000000001</v>
      </c>
      <c r="AE375" s="13">
        <v>0</v>
      </c>
    </row>
    <row r="376" spans="1:31">
      <c r="A376" s="6">
        <v>11</v>
      </c>
      <c r="B376" s="6">
        <f t="shared" si="76"/>
        <v>19</v>
      </c>
      <c r="C376" s="6" t="str">
        <f t="shared" si="65"/>
        <v>652466500ALEATHER, HIDE TOP GRAIN, OBSIDIAN BLACK, NNB, BLA49815304499541.33</v>
      </c>
      <c r="D376" s="6" t="s">
        <v>214</v>
      </c>
      <c r="E376" s="6" t="s">
        <v>163</v>
      </c>
      <c r="F376" s="6"/>
      <c r="G376" s="7" t="s">
        <v>141</v>
      </c>
      <c r="H376" s="7"/>
      <c r="I376" s="7"/>
      <c r="J376" s="7"/>
      <c r="K376" s="7"/>
      <c r="L376" s="7">
        <v>4981530</v>
      </c>
      <c r="M376" s="22">
        <v>44995</v>
      </c>
      <c r="N376" s="8" t="s">
        <v>180</v>
      </c>
      <c r="O376" s="8"/>
      <c r="P376" s="7">
        <v>41.33</v>
      </c>
      <c r="Q376" s="7">
        <v>105099.46</v>
      </c>
      <c r="R376" s="7">
        <v>41071200</v>
      </c>
      <c r="S376" s="7">
        <v>10</v>
      </c>
      <c r="T376" s="7" t="s">
        <v>261</v>
      </c>
      <c r="U376" s="7" t="s">
        <v>178</v>
      </c>
      <c r="V376" s="6">
        <f t="shared" si="66"/>
        <v>10509.946000000002</v>
      </c>
      <c r="W376" s="6">
        <f t="shared" si="67"/>
        <v>1050.9946000000002</v>
      </c>
      <c r="X376" s="6">
        <f t="shared" si="68"/>
        <v>11560.940600000002</v>
      </c>
      <c r="Y376" s="6">
        <f t="shared" si="69"/>
        <v>279.72273409145902</v>
      </c>
      <c r="Z376" s="6">
        <f t="shared" si="70"/>
        <v>2542.9339462859912</v>
      </c>
      <c r="AA376" s="9">
        <f t="shared" si="71"/>
        <v>41.33</v>
      </c>
      <c r="AB376" s="10">
        <v>41</v>
      </c>
      <c r="AC376" s="11">
        <f t="shared" si="73"/>
        <v>11468.63209774982</v>
      </c>
      <c r="AD376" s="12">
        <f t="shared" si="72"/>
        <v>41</v>
      </c>
      <c r="AE376" s="13">
        <f t="shared" ref="AE376:AE439" si="77">AA376-AD376</f>
        <v>0.32999999999999829</v>
      </c>
    </row>
    <row r="377" spans="1:31">
      <c r="A377" s="6">
        <v>11</v>
      </c>
      <c r="B377" s="6">
        <f t="shared" si="76"/>
        <v>20</v>
      </c>
      <c r="C377" s="6" t="str">
        <f t="shared" si="65"/>
        <v>652466500ALEATHER, HIDE TOP GRAIN, OBSIDIAN BLACK, NNB, BLA4153391449382144.6</v>
      </c>
      <c r="D377" s="6" t="s">
        <v>214</v>
      </c>
      <c r="E377" s="6" t="s">
        <v>163</v>
      </c>
      <c r="F377" s="6"/>
      <c r="G377" s="7" t="s">
        <v>141</v>
      </c>
      <c r="H377" s="7"/>
      <c r="I377" s="7"/>
      <c r="J377" s="7"/>
      <c r="K377" s="7"/>
      <c r="L377" s="7">
        <v>4153391</v>
      </c>
      <c r="M377" s="22">
        <v>44938</v>
      </c>
      <c r="N377" s="8" t="s">
        <v>190</v>
      </c>
      <c r="O377" s="8"/>
      <c r="P377" s="7">
        <v>2144.6</v>
      </c>
      <c r="Q377" s="7">
        <v>5171904</v>
      </c>
      <c r="R377" s="7">
        <v>41071200</v>
      </c>
      <c r="S377" s="7">
        <v>0</v>
      </c>
      <c r="T377" s="7" t="s">
        <v>279</v>
      </c>
      <c r="U377" s="7" t="s">
        <v>178</v>
      </c>
      <c r="V377" s="6">
        <f t="shared" si="66"/>
        <v>0</v>
      </c>
      <c r="W377" s="6">
        <f t="shared" si="67"/>
        <v>0</v>
      </c>
      <c r="X377" s="6">
        <f t="shared" si="68"/>
        <v>0</v>
      </c>
      <c r="Y377" s="6">
        <f t="shared" si="69"/>
        <v>0</v>
      </c>
      <c r="Z377" s="6">
        <f t="shared" si="70"/>
        <v>2411.5937704000748</v>
      </c>
      <c r="AA377" s="9">
        <f t="shared" si="71"/>
        <v>2144.6</v>
      </c>
      <c r="AB377" s="10">
        <v>547</v>
      </c>
      <c r="AC377" s="11">
        <f t="shared" si="73"/>
        <v>0</v>
      </c>
      <c r="AD377" s="12">
        <f t="shared" si="72"/>
        <v>2117.624914</v>
      </c>
      <c r="AE377" s="13">
        <f t="shared" si="77"/>
        <v>26.975085999999919</v>
      </c>
    </row>
    <row r="378" spans="1:31">
      <c r="A378" s="6">
        <v>11</v>
      </c>
      <c r="B378" s="6">
        <f t="shared" si="76"/>
        <v>21</v>
      </c>
      <c r="C378" s="6" t="str">
        <f t="shared" si="65"/>
        <v>655818900BACTUATOR VIBRATION MOTOR ASSY WITH BRACKET BC3 CU9282299452789600</v>
      </c>
      <c r="D378" s="6" t="s">
        <v>214</v>
      </c>
      <c r="E378" s="6" t="s">
        <v>156</v>
      </c>
      <c r="F378" s="6"/>
      <c r="G378" s="7" t="s">
        <v>133</v>
      </c>
      <c r="H378" s="7"/>
      <c r="I378" s="7"/>
      <c r="J378" s="7"/>
      <c r="K378" s="7"/>
      <c r="L378" s="7">
        <v>9282299</v>
      </c>
      <c r="M378" s="22">
        <v>45278</v>
      </c>
      <c r="N378" s="8" t="e">
        <v>#N/A</v>
      </c>
      <c r="O378" s="8"/>
      <c r="P378" s="7">
        <v>9600</v>
      </c>
      <c r="Q378" s="7">
        <v>3210461.08</v>
      </c>
      <c r="R378" s="7" t="e">
        <v>#N/A</v>
      </c>
      <c r="S378" s="7">
        <v>15</v>
      </c>
      <c r="T378" s="7" t="e">
        <v>#N/A</v>
      </c>
      <c r="U378" s="7" t="e">
        <v>#N/A</v>
      </c>
      <c r="V378" s="6">
        <f t="shared" si="66"/>
        <v>481569.16200000001</v>
      </c>
      <c r="W378" s="6">
        <f t="shared" si="67"/>
        <v>48156.916200000007</v>
      </c>
      <c r="X378" s="6">
        <f t="shared" si="68"/>
        <v>529726.07819999999</v>
      </c>
      <c r="Y378" s="6">
        <f t="shared" si="69"/>
        <v>55.179799812500001</v>
      </c>
      <c r="Z378" s="6">
        <f t="shared" si="70"/>
        <v>334.42302916666665</v>
      </c>
      <c r="AA378" s="9">
        <f t="shared" si="71"/>
        <v>9600</v>
      </c>
      <c r="AB378" s="10">
        <v>3472</v>
      </c>
      <c r="AC378" s="11">
        <f t="shared" si="73"/>
        <v>191584.264949</v>
      </c>
      <c r="AD378" s="12">
        <f t="shared" si="72"/>
        <v>9600</v>
      </c>
      <c r="AE378" s="13">
        <f t="shared" si="77"/>
        <v>0</v>
      </c>
    </row>
    <row r="379" spans="1:31">
      <c r="A379" s="6">
        <v>11</v>
      </c>
      <c r="B379" s="6">
        <f t="shared" si="76"/>
        <v>22</v>
      </c>
      <c r="C379" s="6" t="str">
        <f t="shared" si="65"/>
        <v>639590100BSCREW SELF TAPPING INTERNAL T15, 15.0826097344664100000</v>
      </c>
      <c r="D379" s="6" t="s">
        <v>214</v>
      </c>
      <c r="E379" s="6" t="s">
        <v>165</v>
      </c>
      <c r="F379" s="6"/>
      <c r="G379" s="7" t="s">
        <v>143</v>
      </c>
      <c r="H379" s="7"/>
      <c r="I379" s="7"/>
      <c r="J379" s="7"/>
      <c r="K379" s="7"/>
      <c r="L379" s="7">
        <v>8260973</v>
      </c>
      <c r="M379" s="22">
        <v>44664</v>
      </c>
      <c r="N379" s="8" t="s">
        <v>180</v>
      </c>
      <c r="O379" s="8"/>
      <c r="P379" s="7">
        <v>100000</v>
      </c>
      <c r="Q379" s="7">
        <v>105125</v>
      </c>
      <c r="R379" s="7">
        <v>87089400</v>
      </c>
      <c r="S379" s="7">
        <v>15</v>
      </c>
      <c r="T379" s="7" t="s">
        <v>262</v>
      </c>
      <c r="U379" s="7" t="s">
        <v>178</v>
      </c>
      <c r="V379" s="6">
        <f t="shared" si="66"/>
        <v>15768.75</v>
      </c>
      <c r="W379" s="6">
        <f t="shared" si="67"/>
        <v>1576.875</v>
      </c>
      <c r="X379" s="6">
        <f t="shared" si="68"/>
        <v>17345.625</v>
      </c>
      <c r="Y379" s="6">
        <f t="shared" si="69"/>
        <v>0.17345625000000001</v>
      </c>
      <c r="Z379" s="6">
        <f t="shared" si="70"/>
        <v>1.05125</v>
      </c>
      <c r="AA379" s="9">
        <f t="shared" si="71"/>
        <v>100000</v>
      </c>
      <c r="AB379" s="10">
        <v>38074</v>
      </c>
      <c r="AC379" s="11">
        <f t="shared" si="73"/>
        <v>6604.1732625000004</v>
      </c>
      <c r="AD379" s="12">
        <f t="shared" si="72"/>
        <v>100000</v>
      </c>
      <c r="AE379" s="13">
        <f t="shared" si="77"/>
        <v>0</v>
      </c>
    </row>
    <row r="380" spans="1:31">
      <c r="A380" s="6">
        <v>11</v>
      </c>
      <c r="B380" s="6">
        <f t="shared" si="76"/>
        <v>23</v>
      </c>
      <c r="C380" s="6" t="str">
        <f t="shared" si="65"/>
        <v>651409900ASCREW, STD METRIC M6 HEXALOBULAR INTERNAL, T461068614507130000</v>
      </c>
      <c r="D380" s="6" t="s">
        <v>214</v>
      </c>
      <c r="E380" s="6" t="s">
        <v>168</v>
      </c>
      <c r="F380" s="6"/>
      <c r="G380" s="7" t="s">
        <v>146</v>
      </c>
      <c r="H380" s="7"/>
      <c r="I380" s="7"/>
      <c r="J380" s="7"/>
      <c r="K380" s="7"/>
      <c r="L380" s="7">
        <v>6106861</v>
      </c>
      <c r="M380" s="22">
        <v>45071</v>
      </c>
      <c r="N380" s="8" t="s">
        <v>182</v>
      </c>
      <c r="O380" s="8"/>
      <c r="P380" s="7">
        <v>30000</v>
      </c>
      <c r="Q380" s="7">
        <v>103797.53</v>
      </c>
      <c r="R380" s="7">
        <v>87089500</v>
      </c>
      <c r="S380" s="7">
        <v>15</v>
      </c>
      <c r="T380" s="7" t="s">
        <v>183</v>
      </c>
      <c r="U380" s="7" t="s">
        <v>178</v>
      </c>
      <c r="V380" s="6">
        <f t="shared" si="66"/>
        <v>15569.629499999999</v>
      </c>
      <c r="W380" s="6">
        <f t="shared" si="67"/>
        <v>1556.9629500000001</v>
      </c>
      <c r="X380" s="6">
        <f t="shared" si="68"/>
        <v>17126.59245</v>
      </c>
      <c r="Y380" s="6">
        <f t="shared" si="69"/>
        <v>0.57088641500000004</v>
      </c>
      <c r="Z380" s="6">
        <f t="shared" si="70"/>
        <v>3.4599176666666667</v>
      </c>
      <c r="AA380" s="9">
        <f t="shared" si="71"/>
        <v>30000</v>
      </c>
      <c r="AB380" s="10">
        <v>2508</v>
      </c>
      <c r="AC380" s="11">
        <f t="shared" si="73"/>
        <v>1431.78312882</v>
      </c>
      <c r="AD380" s="12">
        <f t="shared" si="72"/>
        <v>30000</v>
      </c>
      <c r="AE380" s="13">
        <f t="shared" si="77"/>
        <v>0</v>
      </c>
    </row>
    <row r="381" spans="1:31">
      <c r="A381" s="6">
        <v>11</v>
      </c>
      <c r="B381" s="6">
        <f t="shared" si="76"/>
        <v>24</v>
      </c>
      <c r="C381" s="6" t="str">
        <f t="shared" si="65"/>
        <v>651166400CSPRING, COIL, UPPER 90815974526530000</v>
      </c>
      <c r="D381" s="6" t="s">
        <v>214</v>
      </c>
      <c r="E381" s="6" t="s">
        <v>170</v>
      </c>
      <c r="F381" s="6"/>
      <c r="G381" s="7" t="s">
        <v>148</v>
      </c>
      <c r="H381" s="7"/>
      <c r="I381" s="7"/>
      <c r="J381" s="7"/>
      <c r="K381" s="7"/>
      <c r="L381" s="7">
        <v>9081597</v>
      </c>
      <c r="M381" s="22">
        <v>45265</v>
      </c>
      <c r="N381" s="8" t="e">
        <v>#N/A</v>
      </c>
      <c r="O381" s="8"/>
      <c r="P381" s="7">
        <v>30000</v>
      </c>
      <c r="Q381" s="7">
        <v>61163.63</v>
      </c>
      <c r="R381" s="7" t="e">
        <v>#N/A</v>
      </c>
      <c r="S381" s="7">
        <v>15</v>
      </c>
      <c r="T381" s="7" t="e">
        <v>#N/A</v>
      </c>
      <c r="U381" s="7" t="e">
        <v>#N/A</v>
      </c>
      <c r="V381" s="6">
        <f t="shared" si="66"/>
        <v>9174.5445</v>
      </c>
      <c r="W381" s="6">
        <f t="shared" si="67"/>
        <v>917.45445000000007</v>
      </c>
      <c r="X381" s="6">
        <f t="shared" si="68"/>
        <v>10091.998949999999</v>
      </c>
      <c r="Y381" s="6">
        <f t="shared" si="69"/>
        <v>0.33639996499999997</v>
      </c>
      <c r="Z381" s="6">
        <f t="shared" si="70"/>
        <v>2.0387876666666664</v>
      </c>
      <c r="AA381" s="9">
        <f t="shared" si="71"/>
        <v>30000</v>
      </c>
      <c r="AB381" s="10">
        <v>14335</v>
      </c>
      <c r="AC381" s="11">
        <f t="shared" si="73"/>
        <v>4822.2934982749994</v>
      </c>
      <c r="AD381" s="12">
        <f t="shared" si="72"/>
        <v>30000</v>
      </c>
      <c r="AE381" s="13">
        <f t="shared" si="77"/>
        <v>0</v>
      </c>
    </row>
    <row r="382" spans="1:31">
      <c r="A382" s="6">
        <v>11</v>
      </c>
      <c r="B382" s="6">
        <f t="shared" si="76"/>
        <v>25</v>
      </c>
      <c r="C382" s="6" t="str">
        <f t="shared" si="65"/>
        <v>651409900ASCREW, STD METRIC M6 HEXALOBULAR INTERNAL, T499777444478530000</v>
      </c>
      <c r="D382" s="6" t="s">
        <v>214</v>
      </c>
      <c r="E382" s="6" t="s">
        <v>168</v>
      </c>
      <c r="F382" s="6"/>
      <c r="G382" s="7" t="s">
        <v>146</v>
      </c>
      <c r="H382" s="7"/>
      <c r="I382" s="7"/>
      <c r="J382" s="7"/>
      <c r="K382" s="7"/>
      <c r="L382" s="7">
        <v>9977744</v>
      </c>
      <c r="M382" s="22">
        <v>44785</v>
      </c>
      <c r="N382" s="8" t="s">
        <v>182</v>
      </c>
      <c r="O382" s="8"/>
      <c r="P382" s="7">
        <v>30000</v>
      </c>
      <c r="Q382" s="7">
        <v>99837.24</v>
      </c>
      <c r="R382" s="7">
        <v>87089500</v>
      </c>
      <c r="S382" s="7">
        <v>15</v>
      </c>
      <c r="T382" s="7" t="s">
        <v>183</v>
      </c>
      <c r="U382" s="7" t="s">
        <v>178</v>
      </c>
      <c r="V382" s="6">
        <f t="shared" si="66"/>
        <v>14975.585999999999</v>
      </c>
      <c r="W382" s="6">
        <f t="shared" si="67"/>
        <v>1497.5586000000001</v>
      </c>
      <c r="X382" s="6">
        <f t="shared" si="68"/>
        <v>16473.1446</v>
      </c>
      <c r="Y382" s="6">
        <f t="shared" si="69"/>
        <v>0.54910481999999994</v>
      </c>
      <c r="Z382" s="6">
        <f t="shared" si="70"/>
        <v>3.3279080000000003</v>
      </c>
      <c r="AA382" s="9">
        <f t="shared" si="71"/>
        <v>30000</v>
      </c>
      <c r="AB382" s="10">
        <v>3421</v>
      </c>
      <c r="AC382" s="11">
        <f t="shared" si="73"/>
        <v>1878.4875892199998</v>
      </c>
      <c r="AD382" s="12">
        <f t="shared" si="72"/>
        <v>28166</v>
      </c>
      <c r="AE382" s="13">
        <f t="shared" si="77"/>
        <v>1834</v>
      </c>
    </row>
    <row r="383" spans="1:31">
      <c r="A383" s="6">
        <v>12</v>
      </c>
      <c r="B383" s="6">
        <v>1</v>
      </c>
      <c r="C383" s="6" t="str">
        <f t="shared" si="65"/>
        <v>630580800ALABEL, RAW MATERIAL, BLA K12 TPC BUCKLE5160585449362400000</v>
      </c>
      <c r="D383" s="6" t="s">
        <v>219</v>
      </c>
      <c r="E383" s="6" t="s">
        <v>71</v>
      </c>
      <c r="F383" s="6"/>
      <c r="G383" s="7" t="s">
        <v>31</v>
      </c>
      <c r="H383" s="7"/>
      <c r="I383" s="7"/>
      <c r="J383" s="7"/>
      <c r="K383" s="7"/>
      <c r="L383" s="7">
        <v>5160585</v>
      </c>
      <c r="M383" s="22">
        <v>44936</v>
      </c>
      <c r="N383" s="8" t="s">
        <v>196</v>
      </c>
      <c r="O383" s="8" t="s">
        <v>333</v>
      </c>
      <c r="P383" s="7">
        <v>2400000</v>
      </c>
      <c r="Q383" s="7">
        <v>86522.34</v>
      </c>
      <c r="R383" s="7">
        <v>87082900</v>
      </c>
      <c r="S383" s="7">
        <v>15</v>
      </c>
      <c r="T383" s="7" t="s">
        <v>265</v>
      </c>
      <c r="U383" s="7" t="s">
        <v>178</v>
      </c>
      <c r="V383" s="6">
        <f t="shared" si="66"/>
        <v>12978.350999999999</v>
      </c>
      <c r="W383" s="6">
        <f t="shared" si="67"/>
        <v>1297.8351</v>
      </c>
      <c r="X383" s="6">
        <f t="shared" si="68"/>
        <v>14276.186099999999</v>
      </c>
      <c r="Y383" s="6">
        <f t="shared" si="69"/>
        <v>5.9484108749999999E-3</v>
      </c>
      <c r="Z383" s="6">
        <f t="shared" si="70"/>
        <v>3.6050974999999999E-2</v>
      </c>
      <c r="AA383" s="9">
        <f t="shared" si="71"/>
        <v>2400000</v>
      </c>
      <c r="AB383" s="10">
        <v>7274</v>
      </c>
      <c r="AC383" s="11">
        <f t="shared" si="73"/>
        <v>43.268740704750002</v>
      </c>
      <c r="AD383" s="12">
        <f t="shared" si="72"/>
        <v>548546</v>
      </c>
      <c r="AE383" s="13">
        <f t="shared" si="77"/>
        <v>1851454</v>
      </c>
    </row>
    <row r="384" spans="1:31">
      <c r="A384" s="6">
        <v>12</v>
      </c>
      <c r="B384" s="6">
        <f t="shared" si="76"/>
        <v>2</v>
      </c>
      <c r="C384" s="6" t="str">
        <f t="shared" si="65"/>
        <v>634240200AHORN CONTACT, CU 521662145010720000</v>
      </c>
      <c r="D384" s="6" t="s">
        <v>219</v>
      </c>
      <c r="E384" s="6" t="s">
        <v>160</v>
      </c>
      <c r="F384" s="6"/>
      <c r="G384" s="7" t="s">
        <v>138</v>
      </c>
      <c r="H384" s="7"/>
      <c r="I384" s="7"/>
      <c r="J384" s="7"/>
      <c r="K384" s="7"/>
      <c r="L384" s="7">
        <v>5216621</v>
      </c>
      <c r="M384" s="22">
        <v>45010</v>
      </c>
      <c r="N384" s="8" t="s">
        <v>189</v>
      </c>
      <c r="O384" s="8"/>
      <c r="P384" s="7">
        <v>720000</v>
      </c>
      <c r="Q384" s="7">
        <v>803516.76</v>
      </c>
      <c r="R384" s="7">
        <v>87089900</v>
      </c>
      <c r="S384" s="7">
        <v>15</v>
      </c>
      <c r="T384" s="7" t="s">
        <v>258</v>
      </c>
      <c r="U384" s="7" t="s">
        <v>178</v>
      </c>
      <c r="V384" s="6">
        <f t="shared" si="66"/>
        <v>120527.514</v>
      </c>
      <c r="W384" s="6">
        <f t="shared" si="67"/>
        <v>12052.751400000001</v>
      </c>
      <c r="X384" s="6">
        <f t="shared" si="68"/>
        <v>132580.2654</v>
      </c>
      <c r="Y384" s="6">
        <f t="shared" si="69"/>
        <v>0.18413925750000001</v>
      </c>
      <c r="Z384" s="6">
        <f t="shared" si="70"/>
        <v>1.1159954999999999</v>
      </c>
      <c r="AA384" s="9">
        <f t="shared" si="71"/>
        <v>720000</v>
      </c>
      <c r="AB384" s="10">
        <v>29096</v>
      </c>
      <c r="AC384" s="11">
        <f t="shared" si="73"/>
        <v>5357.7158362200007</v>
      </c>
      <c r="AD384" s="12">
        <f t="shared" si="72"/>
        <v>707364</v>
      </c>
      <c r="AE384" s="13">
        <f t="shared" si="77"/>
        <v>12636</v>
      </c>
    </row>
    <row r="385" spans="1:31">
      <c r="A385" s="6">
        <v>12</v>
      </c>
      <c r="B385" s="6">
        <f t="shared" si="76"/>
        <v>3</v>
      </c>
      <c r="C385" s="6" t="str">
        <f t="shared" si="65"/>
        <v>651015100AARMATURE, MONOBLOCK, ASW4, HYUNDAI BC33353058448834860</v>
      </c>
      <c r="D385" s="6" t="s">
        <v>219</v>
      </c>
      <c r="E385" s="6" t="s">
        <v>158</v>
      </c>
      <c r="F385" s="6"/>
      <c r="G385" s="7" t="s">
        <v>135</v>
      </c>
      <c r="H385" s="7"/>
      <c r="I385" s="7"/>
      <c r="J385" s="7"/>
      <c r="K385" s="7"/>
      <c r="L385" s="7">
        <v>3353058</v>
      </c>
      <c r="M385" s="22">
        <v>44883</v>
      </c>
      <c r="N385" s="8" t="s">
        <v>184</v>
      </c>
      <c r="O385" s="8"/>
      <c r="P385" s="7">
        <v>4860</v>
      </c>
      <c r="Q385" s="7">
        <v>2360668.77</v>
      </c>
      <c r="R385" s="7">
        <v>87089400</v>
      </c>
      <c r="S385" s="7">
        <v>15</v>
      </c>
      <c r="T385" s="7" t="s">
        <v>186</v>
      </c>
      <c r="U385" s="7" t="s">
        <v>178</v>
      </c>
      <c r="V385" s="6">
        <f t="shared" si="66"/>
        <v>354100.31549999997</v>
      </c>
      <c r="W385" s="6">
        <f t="shared" si="67"/>
        <v>35410.03155</v>
      </c>
      <c r="X385" s="6">
        <f t="shared" si="68"/>
        <v>389510.34704999998</v>
      </c>
      <c r="Y385" s="6">
        <f t="shared" si="69"/>
        <v>80.146161944444444</v>
      </c>
      <c r="Z385" s="6">
        <f t="shared" si="70"/>
        <v>485.73431481481481</v>
      </c>
      <c r="AA385" s="9">
        <f t="shared" si="71"/>
        <v>4860</v>
      </c>
      <c r="AB385" s="10">
        <v>34</v>
      </c>
      <c r="AC385" s="11">
        <f t="shared" si="73"/>
        <v>2724.9695061111111</v>
      </c>
      <c r="AD385" s="12">
        <f t="shared" si="72"/>
        <v>4814</v>
      </c>
      <c r="AE385" s="13">
        <f t="shared" si="77"/>
        <v>46</v>
      </c>
    </row>
    <row r="386" spans="1:31">
      <c r="A386" s="6">
        <v>12</v>
      </c>
      <c r="B386" s="6">
        <f t="shared" si="76"/>
        <v>4</v>
      </c>
      <c r="C386" s="6" t="str">
        <f t="shared" ref="C386:C449" si="78">E386&amp;G386&amp;L386&amp;M386&amp;P386</f>
        <v>652466500ALEATHER, HIDE TOP GRAIN, OBSIDIAN BLACK, NNB, BLA9646611447633220.2</v>
      </c>
      <c r="D386" s="6" t="s">
        <v>219</v>
      </c>
      <c r="E386" s="6" t="s">
        <v>163</v>
      </c>
      <c r="F386" s="6"/>
      <c r="G386" s="7" t="s">
        <v>141</v>
      </c>
      <c r="H386" s="7"/>
      <c r="I386" s="7"/>
      <c r="J386" s="7"/>
      <c r="K386" s="7"/>
      <c r="L386" s="7">
        <v>9646611</v>
      </c>
      <c r="M386" s="22">
        <v>44763</v>
      </c>
      <c r="N386" s="8" t="s">
        <v>283</v>
      </c>
      <c r="O386" s="8"/>
      <c r="P386" s="7">
        <v>3220.2</v>
      </c>
      <c r="Q386" s="7">
        <v>8262099.9900000002</v>
      </c>
      <c r="R386" s="7">
        <v>41071200</v>
      </c>
      <c r="S386" s="7">
        <v>10</v>
      </c>
      <c r="T386" s="7" t="s">
        <v>261</v>
      </c>
      <c r="U386" s="7" t="s">
        <v>178</v>
      </c>
      <c r="V386" s="6">
        <f t="shared" ref="V386:V449" si="79">Q386*S386%</f>
        <v>826209.99900000007</v>
      </c>
      <c r="W386" s="6">
        <f t="shared" ref="W386:W449" si="80">V386*0.1</f>
        <v>82620.99990000001</v>
      </c>
      <c r="X386" s="6">
        <f t="shared" ref="X386:X449" si="81">V386+W386</f>
        <v>908830.99890000012</v>
      </c>
      <c r="Y386" s="6">
        <f t="shared" ref="Y386:Y449" si="82">X386/P386</f>
        <v>282.22812213527118</v>
      </c>
      <c r="Z386" s="6">
        <f t="shared" ref="Z386:Z449" si="83">Q386/P386</f>
        <v>2565.7102012297373</v>
      </c>
      <c r="AA386" s="9">
        <f t="shared" ref="AA386:AA449" si="84">P386</f>
        <v>3220.2</v>
      </c>
      <c r="AB386" s="10">
        <v>0</v>
      </c>
      <c r="AC386" s="11">
        <f t="shared" si="73"/>
        <v>0</v>
      </c>
      <c r="AD386" s="12">
        <f t="shared" ref="AD386:AD449" si="85">SUMIF($C$2:$C$2284,C386,$AB$2:$AB$2284)</f>
        <v>3219.7238479999996</v>
      </c>
      <c r="AE386" s="13">
        <f t="shared" si="77"/>
        <v>0.47615200000018376</v>
      </c>
    </row>
    <row r="387" spans="1:31">
      <c r="A387" s="6">
        <v>12</v>
      </c>
      <c r="B387" s="6">
        <f t="shared" si="76"/>
        <v>5</v>
      </c>
      <c r="C387" s="6" t="str">
        <f t="shared" si="78"/>
        <v>608225700ASCREW,STD METRIIC HEXALOBULAR  M5 T25 12MM31545254486980000</v>
      </c>
      <c r="D387" s="6" t="s">
        <v>219</v>
      </c>
      <c r="E387" s="6" t="s">
        <v>169</v>
      </c>
      <c r="F387" s="6"/>
      <c r="G387" s="7" t="s">
        <v>147</v>
      </c>
      <c r="H387" s="7"/>
      <c r="I387" s="7"/>
      <c r="J387" s="7"/>
      <c r="K387" s="7"/>
      <c r="L387" s="7">
        <v>3154525</v>
      </c>
      <c r="M387" s="22">
        <v>44869</v>
      </c>
      <c r="N387" s="8" t="s">
        <v>189</v>
      </c>
      <c r="O387" s="8"/>
      <c r="P387" s="7">
        <v>80000</v>
      </c>
      <c r="Q387" s="7">
        <v>224502.69</v>
      </c>
      <c r="R387" s="7">
        <v>87089400</v>
      </c>
      <c r="S387" s="7">
        <v>15</v>
      </c>
      <c r="T387" s="7" t="s">
        <v>287</v>
      </c>
      <c r="U387" s="7" t="s">
        <v>178</v>
      </c>
      <c r="V387" s="6">
        <f t="shared" si="79"/>
        <v>33675.4035</v>
      </c>
      <c r="W387" s="6">
        <f t="shared" si="80"/>
        <v>3367.5403500000002</v>
      </c>
      <c r="X387" s="6">
        <f t="shared" si="81"/>
        <v>37042.943850000003</v>
      </c>
      <c r="Y387" s="6">
        <f t="shared" si="82"/>
        <v>0.46303679812500004</v>
      </c>
      <c r="Z387" s="6">
        <f t="shared" si="83"/>
        <v>2.8062836249999998</v>
      </c>
      <c r="AA387" s="9">
        <f t="shared" si="84"/>
        <v>80000</v>
      </c>
      <c r="AB387" s="10">
        <v>13632</v>
      </c>
      <c r="AC387" s="11">
        <f t="shared" ref="AC387:AC450" si="86">AB387*Y387</f>
        <v>6312.1176320400009</v>
      </c>
      <c r="AD387" s="12">
        <f t="shared" si="85"/>
        <v>80000</v>
      </c>
      <c r="AE387" s="13">
        <f t="shared" si="77"/>
        <v>0</v>
      </c>
    </row>
    <row r="388" spans="1:31" ht="30">
      <c r="A388" s="6">
        <v>12</v>
      </c>
      <c r="B388" s="6">
        <f t="shared" si="76"/>
        <v>6</v>
      </c>
      <c r="C388" s="6" t="str">
        <f t="shared" si="78"/>
        <v>655931500AARMATURE, MONOBLOCK ASW4, HYUNDAI BC3-CUV7445024451595832</v>
      </c>
      <c r="D388" s="6" t="s">
        <v>219</v>
      </c>
      <c r="E388" s="6" t="s">
        <v>157</v>
      </c>
      <c r="F388" s="6"/>
      <c r="G388" s="7" t="s">
        <v>134</v>
      </c>
      <c r="H388" s="7"/>
      <c r="I388" s="7"/>
      <c r="J388" s="7"/>
      <c r="K388" s="7"/>
      <c r="L388" s="7">
        <v>7445024</v>
      </c>
      <c r="M388" s="22">
        <v>45159</v>
      </c>
      <c r="N388" s="8" t="s">
        <v>185</v>
      </c>
      <c r="O388" s="8"/>
      <c r="P388" s="7">
        <v>5832</v>
      </c>
      <c r="Q388" s="7">
        <v>2402740.63</v>
      </c>
      <c r="R388" s="7">
        <v>87089400</v>
      </c>
      <c r="S388" s="7">
        <v>15</v>
      </c>
      <c r="T388" s="7" t="s">
        <v>194</v>
      </c>
      <c r="U388" s="7" t="s">
        <v>178</v>
      </c>
      <c r="V388" s="6">
        <f t="shared" si="79"/>
        <v>360411.09449999995</v>
      </c>
      <c r="W388" s="6">
        <f t="shared" si="80"/>
        <v>36041.109449999996</v>
      </c>
      <c r="X388" s="6">
        <f t="shared" si="81"/>
        <v>396452.20394999994</v>
      </c>
      <c r="Y388" s="6">
        <f t="shared" si="82"/>
        <v>67.978772968106981</v>
      </c>
      <c r="Z388" s="6">
        <f t="shared" si="83"/>
        <v>411.9925634430727</v>
      </c>
      <c r="AA388" s="9">
        <f t="shared" si="84"/>
        <v>5832</v>
      </c>
      <c r="AB388" s="10">
        <v>1030</v>
      </c>
      <c r="AC388" s="11">
        <f t="shared" si="86"/>
        <v>70018.136157150191</v>
      </c>
      <c r="AD388" s="12">
        <f t="shared" si="85"/>
        <v>5832</v>
      </c>
      <c r="AE388" s="13">
        <f t="shared" si="77"/>
        <v>0</v>
      </c>
    </row>
    <row r="389" spans="1:31">
      <c r="A389" s="6">
        <v>12</v>
      </c>
      <c r="B389" s="6">
        <f t="shared" si="76"/>
        <v>7</v>
      </c>
      <c r="C389" s="6" t="str">
        <f t="shared" si="78"/>
        <v>655931500AARMATURE, MONOBLOCK ASW4, HYUNDAI BC3-CUV7443472451592430</v>
      </c>
      <c r="D389" s="6" t="s">
        <v>219</v>
      </c>
      <c r="E389" s="6" t="s">
        <v>157</v>
      </c>
      <c r="F389" s="6"/>
      <c r="G389" s="7" t="s">
        <v>134</v>
      </c>
      <c r="H389" s="7"/>
      <c r="I389" s="7"/>
      <c r="J389" s="7"/>
      <c r="K389" s="7"/>
      <c r="L389" s="7">
        <v>7443472</v>
      </c>
      <c r="M389" s="22">
        <v>45159</v>
      </c>
      <c r="N389" s="8" t="s">
        <v>184</v>
      </c>
      <c r="O389" s="8"/>
      <c r="P389" s="7">
        <v>2430</v>
      </c>
      <c r="Q389" s="7">
        <v>1009952.52</v>
      </c>
      <c r="R389" s="7">
        <v>87089400</v>
      </c>
      <c r="S389" s="7">
        <v>15</v>
      </c>
      <c r="T389" s="7" t="s">
        <v>186</v>
      </c>
      <c r="U389" s="7" t="s">
        <v>178</v>
      </c>
      <c r="V389" s="6">
        <f t="shared" si="79"/>
        <v>151492.878</v>
      </c>
      <c r="W389" s="6">
        <f t="shared" si="80"/>
        <v>15149.2878</v>
      </c>
      <c r="X389" s="6">
        <f t="shared" si="81"/>
        <v>166642.16579999999</v>
      </c>
      <c r="Y389" s="6">
        <f t="shared" si="82"/>
        <v>68.577022962962957</v>
      </c>
      <c r="Z389" s="6">
        <f t="shared" si="83"/>
        <v>415.61832098765433</v>
      </c>
      <c r="AA389" s="9">
        <f t="shared" si="84"/>
        <v>2430</v>
      </c>
      <c r="AB389" s="10">
        <v>1301</v>
      </c>
      <c r="AC389" s="11">
        <f t="shared" si="86"/>
        <v>89218.706874814801</v>
      </c>
      <c r="AD389" s="12">
        <f t="shared" si="85"/>
        <v>2430</v>
      </c>
      <c r="AE389" s="13">
        <f t="shared" si="77"/>
        <v>0</v>
      </c>
    </row>
    <row r="390" spans="1:31">
      <c r="A390" s="6">
        <v>12</v>
      </c>
      <c r="B390" s="6">
        <f t="shared" si="76"/>
        <v>8</v>
      </c>
      <c r="C390" s="6" t="str">
        <f t="shared" si="78"/>
        <v>656011400ALEATHER, HIDE TOP GRAIN, GREY, FOSSIL GREY, T9Y,616153245074454.75</v>
      </c>
      <c r="D390" s="6" t="s">
        <v>219</v>
      </c>
      <c r="E390" s="6" t="s">
        <v>162</v>
      </c>
      <c r="F390" s="6"/>
      <c r="G390" s="7" t="s">
        <v>140</v>
      </c>
      <c r="H390" s="7"/>
      <c r="I390" s="7"/>
      <c r="J390" s="7"/>
      <c r="K390" s="7"/>
      <c r="L390" s="7">
        <v>6161532</v>
      </c>
      <c r="M390" s="22">
        <v>45074</v>
      </c>
      <c r="N390" s="8" t="s">
        <v>180</v>
      </c>
      <c r="O390" s="8"/>
      <c r="P390" s="7">
        <v>454.75</v>
      </c>
      <c r="Q390" s="7">
        <v>1114461.1200000001</v>
      </c>
      <c r="R390" s="7">
        <v>41071900</v>
      </c>
      <c r="S390" s="7">
        <v>10</v>
      </c>
      <c r="T390" s="7" t="s">
        <v>289</v>
      </c>
      <c r="U390" s="7" t="s">
        <v>178</v>
      </c>
      <c r="V390" s="6">
        <f t="shared" si="79"/>
        <v>111446.11200000002</v>
      </c>
      <c r="W390" s="6">
        <f t="shared" si="80"/>
        <v>11144.611200000003</v>
      </c>
      <c r="X390" s="6">
        <f t="shared" si="81"/>
        <v>122590.72320000002</v>
      </c>
      <c r="Y390" s="6">
        <f t="shared" si="82"/>
        <v>269.57828081363391</v>
      </c>
      <c r="Z390" s="6">
        <f t="shared" si="83"/>
        <v>2450.7116437603081</v>
      </c>
      <c r="AA390" s="9">
        <f t="shared" si="84"/>
        <v>454.75</v>
      </c>
      <c r="AB390" s="10">
        <v>36.817612000000025</v>
      </c>
      <c r="AC390" s="11">
        <f t="shared" si="86"/>
        <v>9925.2285466234243</v>
      </c>
      <c r="AD390" s="12">
        <f t="shared" si="85"/>
        <v>454.75</v>
      </c>
      <c r="AE390" s="13">
        <f t="shared" si="77"/>
        <v>0</v>
      </c>
    </row>
    <row r="391" spans="1:31">
      <c r="A391" s="6">
        <v>12</v>
      </c>
      <c r="B391" s="6">
        <f t="shared" si="76"/>
        <v>9</v>
      </c>
      <c r="C391" s="6" t="str">
        <f t="shared" si="78"/>
        <v>644345600ASCREW, SELF-TAPPING, PLA PLASTIC, 3.0, CROSS39402614492360000</v>
      </c>
      <c r="D391" s="6" t="s">
        <v>219</v>
      </c>
      <c r="E391" s="6" t="s">
        <v>166</v>
      </c>
      <c r="F391" s="6"/>
      <c r="G391" s="7" t="s">
        <v>144</v>
      </c>
      <c r="H391" s="7"/>
      <c r="I391" s="7"/>
      <c r="J391" s="7"/>
      <c r="K391" s="7"/>
      <c r="L391" s="7">
        <v>3940261</v>
      </c>
      <c r="M391" s="22">
        <v>44923</v>
      </c>
      <c r="N391" s="8" t="s">
        <v>189</v>
      </c>
      <c r="O391" s="8"/>
      <c r="P391" s="7">
        <v>60000</v>
      </c>
      <c r="Q391" s="7">
        <v>46616.75</v>
      </c>
      <c r="R391" s="7">
        <v>87089500</v>
      </c>
      <c r="S391" s="7">
        <v>15</v>
      </c>
      <c r="T391" s="7" t="s">
        <v>183</v>
      </c>
      <c r="U391" s="7" t="s">
        <v>178</v>
      </c>
      <c r="V391" s="6">
        <f t="shared" si="79"/>
        <v>6992.5124999999998</v>
      </c>
      <c r="W391" s="6">
        <f t="shared" si="80"/>
        <v>699.25125000000003</v>
      </c>
      <c r="X391" s="6">
        <f t="shared" si="81"/>
        <v>7691.7637500000001</v>
      </c>
      <c r="Y391" s="6">
        <f t="shared" si="82"/>
        <v>0.12819606250000001</v>
      </c>
      <c r="Z391" s="6">
        <f t="shared" si="83"/>
        <v>0.77694583333333334</v>
      </c>
      <c r="AA391" s="9">
        <f t="shared" si="84"/>
        <v>60000</v>
      </c>
      <c r="AB391" s="10">
        <v>14548</v>
      </c>
      <c r="AC391" s="11">
        <f t="shared" si="86"/>
        <v>1864.9963172500002</v>
      </c>
      <c r="AD391" s="12">
        <f t="shared" si="85"/>
        <v>60000</v>
      </c>
      <c r="AE391" s="13">
        <f t="shared" si="77"/>
        <v>0</v>
      </c>
    </row>
    <row r="392" spans="1:31">
      <c r="A392" s="6">
        <v>12</v>
      </c>
      <c r="B392" s="6">
        <f t="shared" si="76"/>
        <v>10</v>
      </c>
      <c r="C392" s="6" t="str">
        <f t="shared" si="78"/>
        <v>655818900BACTUATOR VIBRATION MOTOR ASSY WITH BRACKET BC3 CU7319524445934800</v>
      </c>
      <c r="D392" s="6" t="s">
        <v>219</v>
      </c>
      <c r="E392" s="6" t="s">
        <v>156</v>
      </c>
      <c r="F392" s="6"/>
      <c r="G392" s="7" t="s">
        <v>133</v>
      </c>
      <c r="H392" s="7"/>
      <c r="I392" s="7"/>
      <c r="J392" s="7"/>
      <c r="K392" s="7"/>
      <c r="L392" s="7">
        <v>7319524</v>
      </c>
      <c r="M392" s="22">
        <v>44593</v>
      </c>
      <c r="N392" s="8" t="s">
        <v>189</v>
      </c>
      <c r="O392" s="8"/>
      <c r="P392" s="7">
        <v>4800</v>
      </c>
      <c r="Q392" s="7">
        <v>1452080.25</v>
      </c>
      <c r="R392" s="7">
        <v>85013119</v>
      </c>
      <c r="S392" s="7">
        <v>10</v>
      </c>
      <c r="T392" s="7" t="s">
        <v>292</v>
      </c>
      <c r="U392" s="7" t="s">
        <v>178</v>
      </c>
      <c r="V392" s="6">
        <f t="shared" si="79"/>
        <v>145208.02499999999</v>
      </c>
      <c r="W392" s="6">
        <f t="shared" si="80"/>
        <v>14520.8025</v>
      </c>
      <c r="X392" s="6">
        <f t="shared" si="81"/>
        <v>159728.82749999998</v>
      </c>
      <c r="Y392" s="6">
        <f t="shared" si="82"/>
        <v>33.276839062499995</v>
      </c>
      <c r="Z392" s="6">
        <f t="shared" si="83"/>
        <v>302.51671875</v>
      </c>
      <c r="AA392" s="9">
        <f t="shared" si="84"/>
        <v>4800</v>
      </c>
      <c r="AB392" s="10">
        <v>3238</v>
      </c>
      <c r="AC392" s="11">
        <f t="shared" si="86"/>
        <v>107750.40488437499</v>
      </c>
      <c r="AD392" s="12">
        <f t="shared" si="85"/>
        <v>4800</v>
      </c>
      <c r="AE392" s="13">
        <f t="shared" si="77"/>
        <v>0</v>
      </c>
    </row>
    <row r="393" spans="1:31">
      <c r="A393" s="6">
        <v>12</v>
      </c>
      <c r="B393" s="6">
        <f t="shared" si="76"/>
        <v>11</v>
      </c>
      <c r="C393" s="6" t="str">
        <f t="shared" si="78"/>
        <v>651015300BELEMENT, HEATER, HYBRID 6048608450665600</v>
      </c>
      <c r="D393" s="6" t="s">
        <v>219</v>
      </c>
      <c r="E393" s="6" t="s">
        <v>155</v>
      </c>
      <c r="F393" s="6"/>
      <c r="G393" s="7" t="s">
        <v>137</v>
      </c>
      <c r="H393" s="7"/>
      <c r="I393" s="7"/>
      <c r="J393" s="7"/>
      <c r="K393" s="7"/>
      <c r="L393" s="7">
        <v>6048608</v>
      </c>
      <c r="M393" s="22">
        <v>45066</v>
      </c>
      <c r="N393" s="8" t="s">
        <v>189</v>
      </c>
      <c r="O393" s="8"/>
      <c r="P393" s="7">
        <v>5600</v>
      </c>
      <c r="Q393" s="7">
        <v>3118551.36</v>
      </c>
      <c r="R393" s="7">
        <v>87089400</v>
      </c>
      <c r="S393" s="7">
        <v>15</v>
      </c>
      <c r="T393" s="7" t="s">
        <v>257</v>
      </c>
      <c r="U393" s="7" t="s">
        <v>178</v>
      </c>
      <c r="V393" s="6">
        <f t="shared" si="79"/>
        <v>467782.70399999997</v>
      </c>
      <c r="W393" s="6">
        <f t="shared" si="80"/>
        <v>46778.270400000001</v>
      </c>
      <c r="X393" s="6">
        <f t="shared" si="81"/>
        <v>514560.97439999995</v>
      </c>
      <c r="Y393" s="6">
        <f t="shared" si="82"/>
        <v>91.885888285714273</v>
      </c>
      <c r="Z393" s="6">
        <f t="shared" si="83"/>
        <v>556.88417142857145</v>
      </c>
      <c r="AA393" s="9">
        <f t="shared" si="84"/>
        <v>5600</v>
      </c>
      <c r="AB393" s="10">
        <v>1228</v>
      </c>
      <c r="AC393" s="11">
        <f t="shared" si="86"/>
        <v>112835.87081485713</v>
      </c>
      <c r="AD393" s="12">
        <f t="shared" si="85"/>
        <v>5600</v>
      </c>
      <c r="AE393" s="13">
        <f t="shared" si="77"/>
        <v>0</v>
      </c>
    </row>
    <row r="394" spans="1:31">
      <c r="A394" s="6">
        <v>12</v>
      </c>
      <c r="B394" s="6">
        <f t="shared" si="76"/>
        <v>12</v>
      </c>
      <c r="C394" s="6" t="str">
        <f t="shared" si="78"/>
        <v>628408700ASCREW, STANDARD, METRIC, M5, HEXALOBULAR INTERNAL52913244501570000</v>
      </c>
      <c r="D394" s="6" t="s">
        <v>219</v>
      </c>
      <c r="E394" s="6" t="s">
        <v>167</v>
      </c>
      <c r="F394" s="6"/>
      <c r="G394" s="7" t="s">
        <v>145</v>
      </c>
      <c r="H394" s="7"/>
      <c r="I394" s="7"/>
      <c r="J394" s="7"/>
      <c r="K394" s="7"/>
      <c r="L394" s="7">
        <v>5291324</v>
      </c>
      <c r="M394" s="22">
        <v>45015</v>
      </c>
      <c r="N394" s="8" t="s">
        <v>189</v>
      </c>
      <c r="O394" s="8"/>
      <c r="P394" s="7">
        <v>70000</v>
      </c>
      <c r="Q394" s="7">
        <v>362051.01</v>
      </c>
      <c r="R394" s="7">
        <v>87089900</v>
      </c>
      <c r="S394" s="7">
        <v>15</v>
      </c>
      <c r="T394" s="7" t="s">
        <v>290</v>
      </c>
      <c r="U394" s="7" t="s">
        <v>178</v>
      </c>
      <c r="V394" s="6">
        <f t="shared" si="79"/>
        <v>54307.6515</v>
      </c>
      <c r="W394" s="6">
        <f t="shared" si="80"/>
        <v>5430.7651500000002</v>
      </c>
      <c r="X394" s="6">
        <f t="shared" si="81"/>
        <v>59738.416649999999</v>
      </c>
      <c r="Y394" s="6">
        <f t="shared" si="82"/>
        <v>0.85340595214285708</v>
      </c>
      <c r="Z394" s="6">
        <f t="shared" si="83"/>
        <v>5.1721572857142855</v>
      </c>
      <c r="AA394" s="9">
        <f t="shared" si="84"/>
        <v>70000</v>
      </c>
      <c r="AB394" s="10">
        <v>21822</v>
      </c>
      <c r="AC394" s="11">
        <f t="shared" si="86"/>
        <v>18623.024687661426</v>
      </c>
      <c r="AD394" s="12">
        <f t="shared" si="85"/>
        <v>70000</v>
      </c>
      <c r="AE394" s="13">
        <f t="shared" si="77"/>
        <v>0</v>
      </c>
    </row>
    <row r="395" spans="1:31">
      <c r="A395" s="6">
        <v>12</v>
      </c>
      <c r="B395" s="6">
        <f t="shared" si="76"/>
        <v>13</v>
      </c>
      <c r="C395" s="6" t="str">
        <f t="shared" si="78"/>
        <v>639590100BSCREW SELF TAPPING INTERNAL T15, 15.0826097344664100000</v>
      </c>
      <c r="D395" s="6" t="s">
        <v>219</v>
      </c>
      <c r="E395" s="6" t="s">
        <v>165</v>
      </c>
      <c r="F395" s="6"/>
      <c r="G395" s="7" t="s">
        <v>143</v>
      </c>
      <c r="H395" s="7"/>
      <c r="I395" s="7"/>
      <c r="J395" s="7"/>
      <c r="K395" s="7"/>
      <c r="L395" s="7">
        <v>8260973</v>
      </c>
      <c r="M395" s="22">
        <v>44664</v>
      </c>
      <c r="N395" s="8" t="s">
        <v>180</v>
      </c>
      <c r="O395" s="8"/>
      <c r="P395" s="7">
        <v>100000</v>
      </c>
      <c r="Q395" s="7">
        <v>105125</v>
      </c>
      <c r="R395" s="7">
        <v>87089400</v>
      </c>
      <c r="S395" s="7">
        <v>15</v>
      </c>
      <c r="T395" s="7" t="s">
        <v>262</v>
      </c>
      <c r="U395" s="7" t="s">
        <v>178</v>
      </c>
      <c r="V395" s="6">
        <f t="shared" si="79"/>
        <v>15768.75</v>
      </c>
      <c r="W395" s="6">
        <f t="shared" si="80"/>
        <v>1576.875</v>
      </c>
      <c r="X395" s="6">
        <f t="shared" si="81"/>
        <v>17345.625</v>
      </c>
      <c r="Y395" s="6">
        <f t="shared" si="82"/>
        <v>0.17345625000000001</v>
      </c>
      <c r="Z395" s="6">
        <f t="shared" si="83"/>
        <v>1.05125</v>
      </c>
      <c r="AA395" s="9">
        <f t="shared" si="84"/>
        <v>100000</v>
      </c>
      <c r="AB395" s="10">
        <v>49932</v>
      </c>
      <c r="AC395" s="11">
        <f t="shared" si="86"/>
        <v>8661.0174750000006</v>
      </c>
      <c r="AD395" s="12">
        <f t="shared" si="85"/>
        <v>100000</v>
      </c>
      <c r="AE395" s="13">
        <f t="shared" si="77"/>
        <v>0</v>
      </c>
    </row>
    <row r="396" spans="1:31">
      <c r="A396" s="6">
        <v>12</v>
      </c>
      <c r="B396" s="6">
        <f t="shared" si="76"/>
        <v>14</v>
      </c>
      <c r="C396" s="6" t="str">
        <f t="shared" si="78"/>
        <v>651409900ASCREW, STD METRIC M6 HEXALOBULAR INTERNAL, T461068614507130000</v>
      </c>
      <c r="D396" s="6" t="s">
        <v>219</v>
      </c>
      <c r="E396" s="6" t="s">
        <v>168</v>
      </c>
      <c r="F396" s="6"/>
      <c r="G396" s="7" t="s">
        <v>146</v>
      </c>
      <c r="H396" s="7"/>
      <c r="I396" s="7"/>
      <c r="J396" s="7"/>
      <c r="K396" s="7"/>
      <c r="L396" s="7">
        <v>6106861</v>
      </c>
      <c r="M396" s="22">
        <v>45071</v>
      </c>
      <c r="N396" s="8" t="s">
        <v>182</v>
      </c>
      <c r="O396" s="8"/>
      <c r="P396" s="7">
        <v>30000</v>
      </c>
      <c r="Q396" s="7">
        <v>103797.53</v>
      </c>
      <c r="R396" s="7">
        <v>87089500</v>
      </c>
      <c r="S396" s="7">
        <v>15</v>
      </c>
      <c r="T396" s="7" t="s">
        <v>183</v>
      </c>
      <c r="U396" s="7" t="s">
        <v>178</v>
      </c>
      <c r="V396" s="6">
        <f t="shared" si="79"/>
        <v>15569.629499999999</v>
      </c>
      <c r="W396" s="6">
        <f t="shared" si="80"/>
        <v>1556.9629500000001</v>
      </c>
      <c r="X396" s="6">
        <f t="shared" si="81"/>
        <v>17126.59245</v>
      </c>
      <c r="Y396" s="6">
        <f t="shared" si="82"/>
        <v>0.57088641500000004</v>
      </c>
      <c r="Z396" s="6">
        <f t="shared" si="83"/>
        <v>3.4599176666666667</v>
      </c>
      <c r="AA396" s="9">
        <f t="shared" si="84"/>
        <v>30000</v>
      </c>
      <c r="AB396" s="10">
        <v>14548</v>
      </c>
      <c r="AC396" s="11">
        <f t="shared" si="86"/>
        <v>8305.2555654200005</v>
      </c>
      <c r="AD396" s="12">
        <f t="shared" si="85"/>
        <v>30000</v>
      </c>
      <c r="AE396" s="13">
        <f t="shared" si="77"/>
        <v>0</v>
      </c>
    </row>
    <row r="397" spans="1:31">
      <c r="A397" s="6">
        <v>12</v>
      </c>
      <c r="B397" s="6">
        <f t="shared" si="76"/>
        <v>15</v>
      </c>
      <c r="C397" s="6" t="str">
        <f t="shared" si="78"/>
        <v>651166400CSPRING, COIL, UPPER 90815974526530000</v>
      </c>
      <c r="D397" s="6" t="s">
        <v>219</v>
      </c>
      <c r="E397" s="6" t="s">
        <v>170</v>
      </c>
      <c r="F397" s="6"/>
      <c r="G397" s="7" t="s">
        <v>148</v>
      </c>
      <c r="H397" s="7"/>
      <c r="I397" s="7"/>
      <c r="J397" s="7"/>
      <c r="K397" s="7"/>
      <c r="L397" s="7">
        <v>9081597</v>
      </c>
      <c r="M397" s="22">
        <v>45265</v>
      </c>
      <c r="N397" s="8" t="e">
        <v>#N/A</v>
      </c>
      <c r="O397" s="8"/>
      <c r="P397" s="7">
        <v>30000</v>
      </c>
      <c r="Q397" s="7">
        <v>61163.63</v>
      </c>
      <c r="R397" s="7" t="e">
        <v>#N/A</v>
      </c>
      <c r="S397" s="7">
        <v>15</v>
      </c>
      <c r="T397" s="7" t="e">
        <v>#N/A</v>
      </c>
      <c r="U397" s="7" t="e">
        <v>#N/A</v>
      </c>
      <c r="V397" s="6">
        <f t="shared" si="79"/>
        <v>9174.5445</v>
      </c>
      <c r="W397" s="6">
        <f t="shared" si="80"/>
        <v>917.45445000000007</v>
      </c>
      <c r="X397" s="6">
        <f t="shared" si="81"/>
        <v>10091.998949999999</v>
      </c>
      <c r="Y397" s="6">
        <f t="shared" si="82"/>
        <v>0.33639996499999997</v>
      </c>
      <c r="Z397" s="6">
        <f t="shared" si="83"/>
        <v>2.0387876666666664</v>
      </c>
      <c r="AA397" s="9">
        <f t="shared" si="84"/>
        <v>30000</v>
      </c>
      <c r="AB397" s="10">
        <v>15665</v>
      </c>
      <c r="AC397" s="11">
        <f t="shared" si="86"/>
        <v>5269.7054517249999</v>
      </c>
      <c r="AD397" s="12">
        <f t="shared" si="85"/>
        <v>30000</v>
      </c>
      <c r="AE397" s="13">
        <f t="shared" si="77"/>
        <v>0</v>
      </c>
    </row>
    <row r="398" spans="1:31">
      <c r="A398" s="6">
        <v>12</v>
      </c>
      <c r="B398" s="6">
        <f t="shared" si="76"/>
        <v>16</v>
      </c>
      <c r="C398" s="6" t="str">
        <f t="shared" si="78"/>
        <v>651166400CSPRING, COIL, UPPER 92851204527850000</v>
      </c>
      <c r="D398" s="6" t="s">
        <v>219</v>
      </c>
      <c r="E398" s="6" t="s">
        <v>170</v>
      </c>
      <c r="F398" s="6"/>
      <c r="G398" s="7" t="s">
        <v>148</v>
      </c>
      <c r="H398" s="7"/>
      <c r="I398" s="7"/>
      <c r="J398" s="7"/>
      <c r="K398" s="7"/>
      <c r="L398" s="7">
        <v>9285120</v>
      </c>
      <c r="M398" s="22">
        <v>45278</v>
      </c>
      <c r="N398" s="8" t="e">
        <v>#N/A</v>
      </c>
      <c r="O398" s="8"/>
      <c r="P398" s="7">
        <v>50000</v>
      </c>
      <c r="Q398" s="7">
        <v>92063.88</v>
      </c>
      <c r="R398" s="7" t="e">
        <v>#N/A</v>
      </c>
      <c r="S398" s="7">
        <v>15</v>
      </c>
      <c r="T398" s="7" t="e">
        <v>#N/A</v>
      </c>
      <c r="U398" s="7" t="e">
        <v>#N/A</v>
      </c>
      <c r="V398" s="6">
        <f t="shared" si="79"/>
        <v>13809.582</v>
      </c>
      <c r="W398" s="6">
        <f t="shared" si="80"/>
        <v>1380.9582</v>
      </c>
      <c r="X398" s="6">
        <f t="shared" si="81"/>
        <v>15190.540199999999</v>
      </c>
      <c r="Y398" s="6">
        <f t="shared" si="82"/>
        <v>0.30381080399999999</v>
      </c>
      <c r="Z398" s="6">
        <f t="shared" si="83"/>
        <v>1.8412776000000002</v>
      </c>
      <c r="AA398" s="9">
        <f t="shared" si="84"/>
        <v>50000</v>
      </c>
      <c r="AB398" s="10">
        <v>6157</v>
      </c>
      <c r="AC398" s="11">
        <f t="shared" si="86"/>
        <v>1870.5631202279999</v>
      </c>
      <c r="AD398" s="12">
        <f t="shared" si="85"/>
        <v>50000</v>
      </c>
      <c r="AE398" s="13">
        <f t="shared" si="77"/>
        <v>0</v>
      </c>
    </row>
    <row r="399" spans="1:31">
      <c r="A399" s="6">
        <v>12</v>
      </c>
      <c r="B399" s="6">
        <f t="shared" si="76"/>
        <v>17</v>
      </c>
      <c r="C399" s="6" t="str">
        <f t="shared" si="78"/>
        <v>652466500ALEATHER, HIDE TOP GRAIN, OBSIDIAN BLACK, NNB, BLA4153391449382144.6</v>
      </c>
      <c r="D399" s="6" t="s">
        <v>219</v>
      </c>
      <c r="E399" s="6" t="s">
        <v>163</v>
      </c>
      <c r="F399" s="6"/>
      <c r="G399" s="7" t="s">
        <v>141</v>
      </c>
      <c r="H399" s="7"/>
      <c r="I399" s="7"/>
      <c r="J399" s="7"/>
      <c r="K399" s="7"/>
      <c r="L399" s="7">
        <v>4153391</v>
      </c>
      <c r="M399" s="22">
        <v>44938</v>
      </c>
      <c r="N399" s="8" t="s">
        <v>190</v>
      </c>
      <c r="O399" s="8"/>
      <c r="P399" s="7">
        <v>2144.6</v>
      </c>
      <c r="Q399" s="7">
        <v>5171904</v>
      </c>
      <c r="R399" s="7">
        <v>41071200</v>
      </c>
      <c r="S399" s="7">
        <v>0</v>
      </c>
      <c r="T399" s="7" t="s">
        <v>279</v>
      </c>
      <c r="U399" s="7" t="s">
        <v>178</v>
      </c>
      <c r="V399" s="6">
        <f t="shared" si="79"/>
        <v>0</v>
      </c>
      <c r="W399" s="6">
        <f t="shared" si="80"/>
        <v>0</v>
      </c>
      <c r="X399" s="6">
        <f t="shared" si="81"/>
        <v>0</v>
      </c>
      <c r="Y399" s="6">
        <f t="shared" si="82"/>
        <v>0</v>
      </c>
      <c r="Z399" s="6">
        <f t="shared" si="83"/>
        <v>2411.5937704000748</v>
      </c>
      <c r="AA399" s="9">
        <f t="shared" si="84"/>
        <v>2144.6</v>
      </c>
      <c r="AB399" s="10">
        <v>973</v>
      </c>
      <c r="AC399" s="11">
        <f t="shared" si="86"/>
        <v>0</v>
      </c>
      <c r="AD399" s="12">
        <f t="shared" si="85"/>
        <v>2117.624914</v>
      </c>
      <c r="AE399" s="13">
        <f t="shared" si="77"/>
        <v>26.975085999999919</v>
      </c>
    </row>
    <row r="400" spans="1:31">
      <c r="A400" s="6">
        <v>12</v>
      </c>
      <c r="B400" s="6">
        <f t="shared" si="76"/>
        <v>18</v>
      </c>
      <c r="C400" s="6" t="str">
        <f t="shared" si="78"/>
        <v>655818900BACTUATOR VIBRATION MOTOR ASSY WITH BRACKET BC3 CU6803465451174800</v>
      </c>
      <c r="D400" s="6" t="s">
        <v>219</v>
      </c>
      <c r="E400" s="6" t="s">
        <v>156</v>
      </c>
      <c r="F400" s="6"/>
      <c r="G400" s="7" t="s">
        <v>133</v>
      </c>
      <c r="H400" s="7"/>
      <c r="I400" s="7"/>
      <c r="J400" s="7"/>
      <c r="K400" s="7"/>
      <c r="L400" s="7">
        <v>6803465</v>
      </c>
      <c r="M400" s="22">
        <v>45117</v>
      </c>
      <c r="N400" s="8" t="s">
        <v>189</v>
      </c>
      <c r="O400" s="8"/>
      <c r="P400" s="7">
        <v>4800</v>
      </c>
      <c r="Q400" s="7">
        <v>1592095.67</v>
      </c>
      <c r="R400" s="7">
        <v>85011019</v>
      </c>
      <c r="S400" s="7">
        <v>15</v>
      </c>
      <c r="T400" s="7" t="s">
        <v>254</v>
      </c>
      <c r="U400" s="7" t="s">
        <v>178</v>
      </c>
      <c r="V400" s="6">
        <f t="shared" si="79"/>
        <v>238814.35049999997</v>
      </c>
      <c r="W400" s="6">
        <f t="shared" si="80"/>
        <v>23881.43505</v>
      </c>
      <c r="X400" s="6">
        <f t="shared" si="81"/>
        <v>262695.78554999997</v>
      </c>
      <c r="Y400" s="6">
        <f t="shared" si="82"/>
        <v>54.728288656249994</v>
      </c>
      <c r="Z400" s="6">
        <f t="shared" si="83"/>
        <v>331.68659791666664</v>
      </c>
      <c r="AA400" s="9">
        <f t="shared" si="84"/>
        <v>4800</v>
      </c>
      <c r="AB400" s="10">
        <v>3922</v>
      </c>
      <c r="AC400" s="11">
        <f t="shared" si="86"/>
        <v>214644.34810981248</v>
      </c>
      <c r="AD400" s="12">
        <f t="shared" si="85"/>
        <v>4800</v>
      </c>
      <c r="AE400" s="13">
        <f t="shared" si="77"/>
        <v>0</v>
      </c>
    </row>
    <row r="401" spans="1:31">
      <c r="A401" s="6">
        <v>12</v>
      </c>
      <c r="B401" s="6">
        <f t="shared" si="76"/>
        <v>19</v>
      </c>
      <c r="C401" s="6" t="str">
        <f t="shared" si="78"/>
        <v>655931500AARMATURE, MONOBLOCK ASW4, HYUNDAI BC3-CUV8890638452531620</v>
      </c>
      <c r="D401" s="6" t="s">
        <v>219</v>
      </c>
      <c r="E401" s="6" t="s">
        <v>157</v>
      </c>
      <c r="F401" s="6"/>
      <c r="G401" s="7" t="s">
        <v>134</v>
      </c>
      <c r="H401" s="7"/>
      <c r="I401" s="7"/>
      <c r="J401" s="7"/>
      <c r="K401" s="7"/>
      <c r="L401" s="7">
        <v>8890638</v>
      </c>
      <c r="M401" s="22">
        <v>45253</v>
      </c>
      <c r="N401" s="8" t="s">
        <v>184</v>
      </c>
      <c r="O401" s="8"/>
      <c r="P401" s="7">
        <v>1620</v>
      </c>
      <c r="Q401" s="7">
        <v>668949.47</v>
      </c>
      <c r="R401" s="7">
        <v>87089400</v>
      </c>
      <c r="S401" s="7">
        <v>15</v>
      </c>
      <c r="T401" s="7" t="s">
        <v>186</v>
      </c>
      <c r="U401" s="7" t="s">
        <v>178</v>
      </c>
      <c r="V401" s="6">
        <f t="shared" si="79"/>
        <v>100342.42049999999</v>
      </c>
      <c r="W401" s="6">
        <f t="shared" si="80"/>
        <v>10034.242050000001</v>
      </c>
      <c r="X401" s="6">
        <f t="shared" si="81"/>
        <v>110376.66254999999</v>
      </c>
      <c r="Y401" s="6">
        <f t="shared" si="82"/>
        <v>68.13374231481481</v>
      </c>
      <c r="Z401" s="6">
        <f t="shared" si="83"/>
        <v>412.93177160493826</v>
      </c>
      <c r="AA401" s="9">
        <f t="shared" si="84"/>
        <v>1620</v>
      </c>
      <c r="AB401" s="10">
        <v>486</v>
      </c>
      <c r="AC401" s="11">
        <f t="shared" si="86"/>
        <v>33112.998764999997</v>
      </c>
      <c r="AD401" s="12">
        <f t="shared" si="85"/>
        <v>1620</v>
      </c>
      <c r="AE401" s="13">
        <f t="shared" si="77"/>
        <v>0</v>
      </c>
    </row>
    <row r="402" spans="1:31">
      <c r="A402" s="6">
        <v>12</v>
      </c>
      <c r="B402" s="6">
        <f t="shared" si="76"/>
        <v>20</v>
      </c>
      <c r="C402" s="6" t="str">
        <f t="shared" si="78"/>
        <v>651015300BELEMENT, HEATER, HYBRID 6559903451014900</v>
      </c>
      <c r="D402" s="6" t="s">
        <v>219</v>
      </c>
      <c r="E402" s="6" t="s">
        <v>155</v>
      </c>
      <c r="F402" s="6"/>
      <c r="G402" s="7" t="s">
        <v>137</v>
      </c>
      <c r="H402" s="7"/>
      <c r="I402" s="7"/>
      <c r="J402" s="7"/>
      <c r="K402" s="7"/>
      <c r="L402" s="7">
        <v>6559903</v>
      </c>
      <c r="M402" s="22">
        <v>45101</v>
      </c>
      <c r="N402" s="8" t="s">
        <v>189</v>
      </c>
      <c r="O402" s="8"/>
      <c r="P402" s="7">
        <v>4900</v>
      </c>
      <c r="Q402" s="7">
        <v>2728062.11</v>
      </c>
      <c r="R402" s="7">
        <v>87089400</v>
      </c>
      <c r="S402" s="7">
        <v>15</v>
      </c>
      <c r="T402" s="7" t="s">
        <v>257</v>
      </c>
      <c r="U402" s="7" t="s">
        <v>178</v>
      </c>
      <c r="V402" s="6">
        <f t="shared" si="79"/>
        <v>409209.31649999996</v>
      </c>
      <c r="W402" s="6">
        <f t="shared" si="80"/>
        <v>40920.931649999999</v>
      </c>
      <c r="X402" s="6">
        <f t="shared" si="81"/>
        <v>450130.24814999994</v>
      </c>
      <c r="Y402" s="6">
        <f t="shared" si="82"/>
        <v>91.863315948979576</v>
      </c>
      <c r="Z402" s="6">
        <f t="shared" si="83"/>
        <v>556.74736938775504</v>
      </c>
      <c r="AA402" s="9">
        <f t="shared" si="84"/>
        <v>4900</v>
      </c>
      <c r="AB402" s="10">
        <v>1259</v>
      </c>
      <c r="AC402" s="11">
        <f t="shared" si="86"/>
        <v>115655.91477976528</v>
      </c>
      <c r="AD402" s="12">
        <f t="shared" si="85"/>
        <v>4900</v>
      </c>
      <c r="AE402" s="13">
        <f t="shared" si="77"/>
        <v>0</v>
      </c>
    </row>
    <row r="403" spans="1:31">
      <c r="A403" s="6">
        <v>12</v>
      </c>
      <c r="B403" s="6">
        <f t="shared" si="76"/>
        <v>21</v>
      </c>
      <c r="C403" s="6" t="str">
        <f t="shared" si="78"/>
        <v>656011400ALEATHER, HIDE TOP GRAIN, GREY, FOSSIL GREY, T9Y,7374452451543703.92</v>
      </c>
      <c r="D403" s="6" t="s">
        <v>219</v>
      </c>
      <c r="E403" s="6" t="s">
        <v>162</v>
      </c>
      <c r="F403" s="6"/>
      <c r="G403" s="7" t="s">
        <v>140</v>
      </c>
      <c r="H403" s="7"/>
      <c r="I403" s="7"/>
      <c r="J403" s="7"/>
      <c r="K403" s="7"/>
      <c r="L403" s="7">
        <v>7374452</v>
      </c>
      <c r="M403" s="22">
        <v>45154</v>
      </c>
      <c r="N403" s="8" t="s">
        <v>190</v>
      </c>
      <c r="O403" s="8"/>
      <c r="P403" s="7">
        <v>3703.9199999999996</v>
      </c>
      <c r="Q403" s="7">
        <v>8436783.4900000002</v>
      </c>
      <c r="R403" s="7">
        <v>41071200</v>
      </c>
      <c r="S403" s="7">
        <v>0</v>
      </c>
      <c r="T403" s="7" t="s">
        <v>293</v>
      </c>
      <c r="U403" s="7" t="s">
        <v>178</v>
      </c>
      <c r="V403" s="6">
        <f t="shared" si="79"/>
        <v>0</v>
      </c>
      <c r="W403" s="6">
        <f t="shared" si="80"/>
        <v>0</v>
      </c>
      <c r="X403" s="6">
        <f t="shared" si="81"/>
        <v>0</v>
      </c>
      <c r="Y403" s="6">
        <f t="shared" si="82"/>
        <v>0</v>
      </c>
      <c r="Z403" s="6">
        <f t="shared" si="83"/>
        <v>2277.7985188664984</v>
      </c>
      <c r="AA403" s="9">
        <f t="shared" si="84"/>
        <v>3703.9199999999996</v>
      </c>
      <c r="AB403" s="10">
        <v>274.33663899999999</v>
      </c>
      <c r="AC403" s="11">
        <f t="shared" si="86"/>
        <v>0</v>
      </c>
      <c r="AD403" s="12">
        <f t="shared" si="85"/>
        <v>634.38362100000006</v>
      </c>
      <c r="AE403" s="13">
        <f t="shared" si="77"/>
        <v>3069.5363789999997</v>
      </c>
    </row>
    <row r="404" spans="1:31">
      <c r="A404" s="6">
        <v>12</v>
      </c>
      <c r="B404" s="6">
        <f t="shared" si="76"/>
        <v>22</v>
      </c>
      <c r="C404" s="6" t="str">
        <f t="shared" si="78"/>
        <v>608225700ASCREW,STD METRIIC HEXALOBULAR  M5 T25 12MM70403424513230000</v>
      </c>
      <c r="D404" s="6" t="s">
        <v>219</v>
      </c>
      <c r="E404" s="6" t="s">
        <v>169</v>
      </c>
      <c r="F404" s="6"/>
      <c r="G404" s="7" t="s">
        <v>147</v>
      </c>
      <c r="H404" s="7"/>
      <c r="I404" s="7"/>
      <c r="J404" s="7"/>
      <c r="K404" s="7"/>
      <c r="L404" s="7">
        <v>7040342</v>
      </c>
      <c r="M404" s="22">
        <v>45132</v>
      </c>
      <c r="N404" s="8" t="s">
        <v>189</v>
      </c>
      <c r="O404" s="8"/>
      <c r="P404" s="7">
        <v>30000</v>
      </c>
      <c r="Q404" s="7">
        <v>98486.61</v>
      </c>
      <c r="R404" s="7">
        <v>87089400</v>
      </c>
      <c r="S404" s="7">
        <v>15</v>
      </c>
      <c r="T404" s="7" t="s">
        <v>266</v>
      </c>
      <c r="U404" s="7" t="s">
        <v>178</v>
      </c>
      <c r="V404" s="6">
        <f t="shared" si="79"/>
        <v>14772.9915</v>
      </c>
      <c r="W404" s="6">
        <f t="shared" si="80"/>
        <v>1477.2991500000001</v>
      </c>
      <c r="X404" s="6">
        <f t="shared" si="81"/>
        <v>16250.290650000001</v>
      </c>
      <c r="Y404" s="6">
        <f t="shared" si="82"/>
        <v>0.541676355</v>
      </c>
      <c r="Z404" s="6">
        <f t="shared" si="83"/>
        <v>3.2828870000000001</v>
      </c>
      <c r="AA404" s="9">
        <f t="shared" si="84"/>
        <v>30000</v>
      </c>
      <c r="AB404" s="10">
        <v>688</v>
      </c>
      <c r="AC404" s="11">
        <f t="shared" si="86"/>
        <v>372.67333223999998</v>
      </c>
      <c r="AD404" s="12">
        <f t="shared" si="85"/>
        <v>30000</v>
      </c>
      <c r="AE404" s="13">
        <f t="shared" si="77"/>
        <v>0</v>
      </c>
    </row>
    <row r="405" spans="1:31">
      <c r="A405" s="6">
        <v>12</v>
      </c>
      <c r="B405" s="6">
        <f t="shared" si="76"/>
        <v>23</v>
      </c>
      <c r="C405" s="6" t="str">
        <f t="shared" si="78"/>
        <v>651166400CSPRING, COIL, UPPER 73271424515055000</v>
      </c>
      <c r="D405" s="6" t="s">
        <v>219</v>
      </c>
      <c r="E405" s="6" t="s">
        <v>170</v>
      </c>
      <c r="F405" s="6"/>
      <c r="G405" s="7" t="s">
        <v>148</v>
      </c>
      <c r="H405" s="7"/>
      <c r="I405" s="7"/>
      <c r="J405" s="7"/>
      <c r="K405" s="7"/>
      <c r="L405" s="7">
        <v>7327142</v>
      </c>
      <c r="M405" s="22">
        <v>45150</v>
      </c>
      <c r="N405" s="8" t="s">
        <v>189</v>
      </c>
      <c r="O405" s="8"/>
      <c r="P405" s="7">
        <v>55000</v>
      </c>
      <c r="Q405" s="7">
        <v>100568.15</v>
      </c>
      <c r="R405" s="7">
        <v>87089500</v>
      </c>
      <c r="S405" s="7">
        <v>15</v>
      </c>
      <c r="T405" s="7" t="s">
        <v>288</v>
      </c>
      <c r="U405" s="7" t="s">
        <v>178</v>
      </c>
      <c r="V405" s="6">
        <f t="shared" si="79"/>
        <v>15085.222499999998</v>
      </c>
      <c r="W405" s="6">
        <f t="shared" si="80"/>
        <v>1508.52225</v>
      </c>
      <c r="X405" s="6">
        <f t="shared" si="81"/>
        <v>16593.744749999998</v>
      </c>
      <c r="Y405" s="6">
        <f t="shared" si="82"/>
        <v>0.30170444999999996</v>
      </c>
      <c r="Z405" s="6">
        <f t="shared" si="83"/>
        <v>1.8285118181818181</v>
      </c>
      <c r="AA405" s="9">
        <f t="shared" si="84"/>
        <v>55000</v>
      </c>
      <c r="AB405" s="10">
        <v>0</v>
      </c>
      <c r="AC405" s="11">
        <f t="shared" si="86"/>
        <v>0</v>
      </c>
      <c r="AD405" s="12">
        <f t="shared" si="85"/>
        <v>55000</v>
      </c>
      <c r="AE405" s="13">
        <f t="shared" si="77"/>
        <v>0</v>
      </c>
    </row>
    <row r="406" spans="1:31">
      <c r="A406" s="6">
        <v>12</v>
      </c>
      <c r="B406" s="6">
        <f t="shared" si="76"/>
        <v>24</v>
      </c>
      <c r="C406" s="6" t="str">
        <f t="shared" si="78"/>
        <v>652466500ALEATHER, HIDE TOP GRAIN, OBSIDIAN BLACK, NNB, BLA4153321449381567.04</v>
      </c>
      <c r="D406" s="6" t="s">
        <v>219</v>
      </c>
      <c r="E406" s="6" t="s">
        <v>163</v>
      </c>
      <c r="F406" s="6"/>
      <c r="G406" s="7" t="s">
        <v>141</v>
      </c>
      <c r="H406" s="7"/>
      <c r="I406" s="7"/>
      <c r="J406" s="7"/>
      <c r="K406" s="7"/>
      <c r="L406" s="7">
        <v>4153321</v>
      </c>
      <c r="M406" s="22">
        <v>44938</v>
      </c>
      <c r="N406" s="8" t="s">
        <v>190</v>
      </c>
      <c r="O406" s="8"/>
      <c r="P406" s="7">
        <v>1567.04</v>
      </c>
      <c r="Q406" s="7">
        <v>4229818.33</v>
      </c>
      <c r="R406" s="7">
        <v>41071200</v>
      </c>
      <c r="S406" s="7">
        <v>0</v>
      </c>
      <c r="T406" s="7" t="s">
        <v>279</v>
      </c>
      <c r="U406" s="7" t="s">
        <v>178</v>
      </c>
      <c r="V406" s="6">
        <f t="shared" si="79"/>
        <v>0</v>
      </c>
      <c r="W406" s="6">
        <f t="shared" si="80"/>
        <v>0</v>
      </c>
      <c r="X406" s="6">
        <f t="shared" si="81"/>
        <v>0</v>
      </c>
      <c r="Y406" s="6">
        <f t="shared" si="82"/>
        <v>0</v>
      </c>
      <c r="Z406" s="6">
        <f t="shared" si="83"/>
        <v>2699.2408170818871</v>
      </c>
      <c r="AA406" s="9">
        <f t="shared" si="84"/>
        <v>1567.04</v>
      </c>
      <c r="AB406" s="10">
        <v>473</v>
      </c>
      <c r="AC406" s="11">
        <f t="shared" si="86"/>
        <v>0</v>
      </c>
      <c r="AD406" s="12">
        <f t="shared" si="85"/>
        <v>1567</v>
      </c>
      <c r="AE406" s="13">
        <f t="shared" si="77"/>
        <v>3.999999999996362E-2</v>
      </c>
    </row>
    <row r="407" spans="1:31">
      <c r="A407" s="6">
        <v>12</v>
      </c>
      <c r="B407" s="6">
        <f t="shared" si="76"/>
        <v>25</v>
      </c>
      <c r="C407" s="6" t="str">
        <f t="shared" si="78"/>
        <v>655931500AARMATURE, MONOBLOCK ASW4, HYUNDAI BC3-CUV8890639452536480</v>
      </c>
      <c r="D407" s="6" t="s">
        <v>219</v>
      </c>
      <c r="E407" s="6" t="s">
        <v>157</v>
      </c>
      <c r="F407" s="6"/>
      <c r="G407" s="7" t="s">
        <v>134</v>
      </c>
      <c r="H407" s="7"/>
      <c r="I407" s="7"/>
      <c r="J407" s="7"/>
      <c r="K407" s="7"/>
      <c r="L407" s="7">
        <v>8890639</v>
      </c>
      <c r="M407" s="22">
        <v>45253</v>
      </c>
      <c r="N407" s="8" t="s">
        <v>184</v>
      </c>
      <c r="O407" s="8"/>
      <c r="P407" s="7">
        <v>6480</v>
      </c>
      <c r="Q407" s="7">
        <v>2603219.19</v>
      </c>
      <c r="R407" s="7">
        <v>87089400</v>
      </c>
      <c r="S407" s="7">
        <v>15</v>
      </c>
      <c r="T407" s="7" t="s">
        <v>186</v>
      </c>
      <c r="U407" s="7" t="s">
        <v>178</v>
      </c>
      <c r="V407" s="6">
        <f t="shared" si="79"/>
        <v>390482.87849999999</v>
      </c>
      <c r="W407" s="6">
        <f t="shared" si="80"/>
        <v>39048.287850000001</v>
      </c>
      <c r="X407" s="6">
        <f t="shared" si="81"/>
        <v>429531.16635000001</v>
      </c>
      <c r="Y407" s="6">
        <f t="shared" si="82"/>
        <v>66.28567381944444</v>
      </c>
      <c r="Z407" s="6">
        <f t="shared" si="83"/>
        <v>401.7313564814815</v>
      </c>
      <c r="AA407" s="9">
        <f t="shared" si="84"/>
        <v>6480</v>
      </c>
      <c r="AB407" s="10">
        <v>3780</v>
      </c>
      <c r="AC407" s="11">
        <f t="shared" si="86"/>
        <v>250559.84703749997</v>
      </c>
      <c r="AD407" s="12">
        <f t="shared" si="85"/>
        <v>6480</v>
      </c>
      <c r="AE407" s="13">
        <f t="shared" si="77"/>
        <v>0</v>
      </c>
    </row>
    <row r="408" spans="1:31">
      <c r="A408" s="6">
        <v>12</v>
      </c>
      <c r="B408" s="6">
        <f t="shared" si="76"/>
        <v>26</v>
      </c>
      <c r="C408" s="6" t="str">
        <f t="shared" si="78"/>
        <v>655931500AARMATURE, MONOBLOCK ASW4, HYUNDAI BC3-CUV9671239453066480</v>
      </c>
      <c r="D408" s="6" t="s">
        <v>219</v>
      </c>
      <c r="E408" s="6" t="s">
        <v>157</v>
      </c>
      <c r="F408" s="6"/>
      <c r="G408" s="7" t="s">
        <v>134</v>
      </c>
      <c r="H408" s="7"/>
      <c r="I408" s="7"/>
      <c r="J408" s="7"/>
      <c r="K408" s="7"/>
      <c r="L408" s="7">
        <v>9671239</v>
      </c>
      <c r="M408" s="22">
        <v>45306</v>
      </c>
      <c r="N408" s="8" t="e">
        <v>#N/A</v>
      </c>
      <c r="O408" s="8"/>
      <c r="P408" s="7">
        <v>6480</v>
      </c>
      <c r="Q408" s="7">
        <v>2696157.95</v>
      </c>
      <c r="R408" s="7" t="e">
        <v>#N/A</v>
      </c>
      <c r="S408" s="7">
        <v>15</v>
      </c>
      <c r="T408" s="7" t="e">
        <v>#N/A</v>
      </c>
      <c r="U408" s="7" t="e">
        <v>#N/A</v>
      </c>
      <c r="V408" s="6">
        <f t="shared" si="79"/>
        <v>404423.6925</v>
      </c>
      <c r="W408" s="6">
        <f t="shared" si="80"/>
        <v>40442.369250000003</v>
      </c>
      <c r="X408" s="6">
        <f t="shared" si="81"/>
        <v>444866.06174999999</v>
      </c>
      <c r="Y408" s="6">
        <f t="shared" si="82"/>
        <v>68.652170023148145</v>
      </c>
      <c r="Z408" s="6">
        <f t="shared" si="83"/>
        <v>416.07375771604939</v>
      </c>
      <c r="AA408" s="9">
        <f t="shared" si="84"/>
        <v>6480</v>
      </c>
      <c r="AB408" s="10">
        <v>643</v>
      </c>
      <c r="AC408" s="11">
        <f t="shared" si="86"/>
        <v>44143.345324884256</v>
      </c>
      <c r="AD408" s="12">
        <f t="shared" si="85"/>
        <v>6480</v>
      </c>
      <c r="AE408" s="13">
        <f t="shared" si="77"/>
        <v>0</v>
      </c>
    </row>
    <row r="409" spans="1:31">
      <c r="A409" s="6">
        <v>13</v>
      </c>
      <c r="B409" s="6">
        <v>1</v>
      </c>
      <c r="C409" s="6" t="str">
        <f t="shared" si="78"/>
        <v>630580800ALABEL, RAW MATERIAL, BLA K12 TPC BUCKLE5160585449362400000</v>
      </c>
      <c r="D409" s="6" t="s">
        <v>208</v>
      </c>
      <c r="E409" s="6" t="s">
        <v>71</v>
      </c>
      <c r="F409" s="6"/>
      <c r="G409" s="7" t="s">
        <v>31</v>
      </c>
      <c r="H409" s="7"/>
      <c r="I409" s="7"/>
      <c r="J409" s="7"/>
      <c r="K409" s="7"/>
      <c r="L409" s="7">
        <v>5160585</v>
      </c>
      <c r="M409" s="22">
        <v>44936</v>
      </c>
      <c r="N409" s="8" t="s">
        <v>196</v>
      </c>
      <c r="O409" s="8" t="s">
        <v>333</v>
      </c>
      <c r="P409" s="7">
        <v>2400000</v>
      </c>
      <c r="Q409" s="7">
        <v>86522.34</v>
      </c>
      <c r="R409" s="7">
        <v>87082900</v>
      </c>
      <c r="S409" s="7">
        <v>15</v>
      </c>
      <c r="T409" s="7" t="s">
        <v>265</v>
      </c>
      <c r="U409" s="7" t="s">
        <v>178</v>
      </c>
      <c r="V409" s="6">
        <f t="shared" si="79"/>
        <v>12978.350999999999</v>
      </c>
      <c r="W409" s="6">
        <f t="shared" si="80"/>
        <v>1297.8351</v>
      </c>
      <c r="X409" s="6">
        <f t="shared" si="81"/>
        <v>14276.186099999999</v>
      </c>
      <c r="Y409" s="6">
        <f t="shared" si="82"/>
        <v>5.9484108749999999E-3</v>
      </c>
      <c r="Z409" s="6">
        <f t="shared" si="83"/>
        <v>3.6050974999999999E-2</v>
      </c>
      <c r="AA409" s="9">
        <f t="shared" si="84"/>
        <v>2400000</v>
      </c>
      <c r="AB409" s="10">
        <v>7200</v>
      </c>
      <c r="AC409" s="11">
        <f t="shared" si="86"/>
        <v>42.828558299999997</v>
      </c>
      <c r="AD409" s="12">
        <f t="shared" si="85"/>
        <v>548546</v>
      </c>
      <c r="AE409" s="13">
        <f t="shared" si="77"/>
        <v>1851454</v>
      </c>
    </row>
    <row r="410" spans="1:31">
      <c r="A410" s="6">
        <v>13</v>
      </c>
      <c r="B410" s="6">
        <f t="shared" ref="B410:B441" si="87">B409+1</f>
        <v>2</v>
      </c>
      <c r="C410" s="6" t="str">
        <f t="shared" si="78"/>
        <v>634240200AHORN CONTACT, CU 521662145010720000</v>
      </c>
      <c r="D410" s="6" t="s">
        <v>208</v>
      </c>
      <c r="E410" s="6" t="s">
        <v>160</v>
      </c>
      <c r="F410" s="6"/>
      <c r="G410" s="7" t="s">
        <v>138</v>
      </c>
      <c r="H410" s="7"/>
      <c r="I410" s="7"/>
      <c r="J410" s="7"/>
      <c r="K410" s="7"/>
      <c r="L410" s="7">
        <v>5216621</v>
      </c>
      <c r="M410" s="22">
        <v>45010</v>
      </c>
      <c r="N410" s="8" t="s">
        <v>189</v>
      </c>
      <c r="O410" s="8"/>
      <c r="P410" s="7">
        <v>720000</v>
      </c>
      <c r="Q410" s="7">
        <v>803516.76</v>
      </c>
      <c r="R410" s="7">
        <v>87089900</v>
      </c>
      <c r="S410" s="7">
        <v>15</v>
      </c>
      <c r="T410" s="7" t="s">
        <v>258</v>
      </c>
      <c r="U410" s="7" t="s">
        <v>178</v>
      </c>
      <c r="V410" s="6">
        <f t="shared" si="79"/>
        <v>120527.514</v>
      </c>
      <c r="W410" s="6">
        <f t="shared" si="80"/>
        <v>12052.751400000001</v>
      </c>
      <c r="X410" s="6">
        <f t="shared" si="81"/>
        <v>132580.2654</v>
      </c>
      <c r="Y410" s="6">
        <f t="shared" si="82"/>
        <v>0.18413925750000001</v>
      </c>
      <c r="Z410" s="6">
        <f t="shared" si="83"/>
        <v>1.1159954999999999</v>
      </c>
      <c r="AA410" s="9">
        <f t="shared" si="84"/>
        <v>720000</v>
      </c>
      <c r="AB410" s="10">
        <v>28800</v>
      </c>
      <c r="AC410" s="11">
        <f t="shared" si="86"/>
        <v>5303.2106160000003</v>
      </c>
      <c r="AD410" s="12">
        <f t="shared" si="85"/>
        <v>707364</v>
      </c>
      <c r="AE410" s="13">
        <f t="shared" si="77"/>
        <v>12636</v>
      </c>
    </row>
    <row r="411" spans="1:31">
      <c r="A411" s="6">
        <v>13</v>
      </c>
      <c r="B411" s="6">
        <f t="shared" si="87"/>
        <v>3</v>
      </c>
      <c r="C411" s="6" t="str">
        <f t="shared" si="78"/>
        <v>608067201ANUT, ISO, M5 351094044894800000</v>
      </c>
      <c r="D411" s="6" t="s">
        <v>208</v>
      </c>
      <c r="E411" s="6" t="s">
        <v>164</v>
      </c>
      <c r="F411" s="6"/>
      <c r="G411" s="7" t="s">
        <v>142</v>
      </c>
      <c r="H411" s="7"/>
      <c r="I411" s="7"/>
      <c r="J411" s="7"/>
      <c r="K411" s="7"/>
      <c r="L411" s="7">
        <v>3510940</v>
      </c>
      <c r="M411" s="22">
        <v>44894</v>
      </c>
      <c r="N411" s="8" t="s">
        <v>189</v>
      </c>
      <c r="O411" s="8" t="s">
        <v>332</v>
      </c>
      <c r="P411" s="7">
        <v>800000</v>
      </c>
      <c r="Q411" s="7">
        <v>1498489.13</v>
      </c>
      <c r="R411" s="7">
        <v>87089500</v>
      </c>
      <c r="S411" s="7">
        <v>15</v>
      </c>
      <c r="T411" s="7" t="s">
        <v>183</v>
      </c>
      <c r="U411" s="7" t="s">
        <v>178</v>
      </c>
      <c r="V411" s="6">
        <f t="shared" si="79"/>
        <v>224773.36949999997</v>
      </c>
      <c r="W411" s="6">
        <f t="shared" si="80"/>
        <v>22477.336949999997</v>
      </c>
      <c r="X411" s="6">
        <f t="shared" si="81"/>
        <v>247250.70644999997</v>
      </c>
      <c r="Y411" s="6">
        <f t="shared" si="82"/>
        <v>0.30906338306249997</v>
      </c>
      <c r="Z411" s="6">
        <f t="shared" si="83"/>
        <v>1.8731114124999999</v>
      </c>
      <c r="AA411" s="9">
        <f t="shared" si="84"/>
        <v>800000</v>
      </c>
      <c r="AB411" s="10">
        <v>1920</v>
      </c>
      <c r="AC411" s="11">
        <f t="shared" si="86"/>
        <v>593.40169547999994</v>
      </c>
      <c r="AD411" s="12">
        <f t="shared" si="85"/>
        <v>70960</v>
      </c>
      <c r="AE411" s="13">
        <f t="shared" si="77"/>
        <v>729040</v>
      </c>
    </row>
    <row r="412" spans="1:31">
      <c r="A412" s="6">
        <v>13</v>
      </c>
      <c r="B412" s="6">
        <f t="shared" si="87"/>
        <v>4</v>
      </c>
      <c r="C412" s="6" t="str">
        <f t="shared" si="78"/>
        <v>650557200GCUSHION, FOLDED, C AND S HONDA 2JX3498696448931080</v>
      </c>
      <c r="D412" s="6" t="s">
        <v>208</v>
      </c>
      <c r="E412" s="6" t="s">
        <v>159</v>
      </c>
      <c r="F412" s="6"/>
      <c r="G412" s="7" t="s">
        <v>136</v>
      </c>
      <c r="H412" s="7"/>
      <c r="I412" s="7"/>
      <c r="J412" s="7"/>
      <c r="K412" s="7"/>
      <c r="L412" s="7">
        <v>3498696</v>
      </c>
      <c r="M412" s="22">
        <v>44893</v>
      </c>
      <c r="N412" s="8" t="s">
        <v>189</v>
      </c>
      <c r="O412" s="8"/>
      <c r="P412" s="7">
        <v>1080</v>
      </c>
      <c r="Q412" s="7">
        <v>1361525.46</v>
      </c>
      <c r="R412" s="7">
        <v>87089500</v>
      </c>
      <c r="S412" s="7">
        <v>5</v>
      </c>
      <c r="T412" s="7" t="s">
        <v>267</v>
      </c>
      <c r="U412" s="7" t="s">
        <v>178</v>
      </c>
      <c r="V412" s="6">
        <f t="shared" si="79"/>
        <v>68076.273000000001</v>
      </c>
      <c r="W412" s="6">
        <f t="shared" si="80"/>
        <v>6807.6273000000001</v>
      </c>
      <c r="X412" s="6">
        <f t="shared" si="81"/>
        <v>74883.900300000008</v>
      </c>
      <c r="Y412" s="6">
        <f t="shared" si="82"/>
        <v>69.336944722222228</v>
      </c>
      <c r="Z412" s="6">
        <f t="shared" si="83"/>
        <v>1260.6717222222221</v>
      </c>
      <c r="AA412" s="9">
        <f t="shared" si="84"/>
        <v>1080</v>
      </c>
      <c r="AB412" s="10">
        <v>140</v>
      </c>
      <c r="AC412" s="11">
        <f t="shared" si="86"/>
        <v>9707.1722611111127</v>
      </c>
      <c r="AD412" s="12">
        <f t="shared" si="85"/>
        <v>1080</v>
      </c>
      <c r="AE412" s="13">
        <f t="shared" si="77"/>
        <v>0</v>
      </c>
    </row>
    <row r="413" spans="1:31">
      <c r="A413" s="6">
        <v>13</v>
      </c>
      <c r="B413" s="6">
        <f t="shared" si="87"/>
        <v>5</v>
      </c>
      <c r="C413" s="6" t="str">
        <f t="shared" si="78"/>
        <v>650557200GCUSHION, FOLDED, C AND S HONDA 2JX3322516448811800</v>
      </c>
      <c r="D413" s="6" t="s">
        <v>208</v>
      </c>
      <c r="E413" s="6" t="s">
        <v>159</v>
      </c>
      <c r="F413" s="6"/>
      <c r="G413" s="7" t="s">
        <v>136</v>
      </c>
      <c r="H413" s="7"/>
      <c r="I413" s="7"/>
      <c r="J413" s="7"/>
      <c r="K413" s="7"/>
      <c r="L413" s="7">
        <v>3322516</v>
      </c>
      <c r="M413" s="22">
        <v>44881</v>
      </c>
      <c r="N413" s="8" t="s">
        <v>184</v>
      </c>
      <c r="O413" s="8"/>
      <c r="P413" s="7">
        <v>1800</v>
      </c>
      <c r="Q413" s="7">
        <v>2319294.85</v>
      </c>
      <c r="R413" s="7">
        <v>87089500</v>
      </c>
      <c r="S413" s="7">
        <v>5</v>
      </c>
      <c r="T413" s="7" t="s">
        <v>267</v>
      </c>
      <c r="U413" s="7" t="s">
        <v>178</v>
      </c>
      <c r="V413" s="6">
        <f t="shared" si="79"/>
        <v>115964.74250000001</v>
      </c>
      <c r="W413" s="6">
        <f t="shared" si="80"/>
        <v>11596.474250000001</v>
      </c>
      <c r="X413" s="6">
        <f t="shared" si="81"/>
        <v>127561.21675000001</v>
      </c>
      <c r="Y413" s="6">
        <f t="shared" si="82"/>
        <v>70.867342638888886</v>
      </c>
      <c r="Z413" s="6">
        <f t="shared" si="83"/>
        <v>1288.4971388888889</v>
      </c>
      <c r="AA413" s="9">
        <f t="shared" si="84"/>
        <v>1800</v>
      </c>
      <c r="AB413" s="10">
        <v>340</v>
      </c>
      <c r="AC413" s="11">
        <f t="shared" si="86"/>
        <v>24094.89649722222</v>
      </c>
      <c r="AD413" s="12">
        <f t="shared" si="85"/>
        <v>1800</v>
      </c>
      <c r="AE413" s="13">
        <f t="shared" si="77"/>
        <v>0</v>
      </c>
    </row>
    <row r="414" spans="1:31">
      <c r="A414" s="6">
        <v>13</v>
      </c>
      <c r="B414" s="6">
        <f t="shared" si="87"/>
        <v>6</v>
      </c>
      <c r="C414" s="6" t="str">
        <f t="shared" si="78"/>
        <v>650557200GCUSHION, FOLDED, C AND S HONDA 2JX3460410448902160</v>
      </c>
      <c r="D414" s="6" t="s">
        <v>208</v>
      </c>
      <c r="E414" s="6" t="s">
        <v>159</v>
      </c>
      <c r="F414" s="6"/>
      <c r="G414" s="7" t="s">
        <v>136</v>
      </c>
      <c r="H414" s="7"/>
      <c r="I414" s="7"/>
      <c r="J414" s="7"/>
      <c r="K414" s="7"/>
      <c r="L414" s="7">
        <v>3460410</v>
      </c>
      <c r="M414" s="22">
        <v>44890</v>
      </c>
      <c r="N414" s="8" t="s">
        <v>184</v>
      </c>
      <c r="O414" s="8"/>
      <c r="P414" s="7">
        <v>2160</v>
      </c>
      <c r="Q414" s="7">
        <v>2624382.73</v>
      </c>
      <c r="R414" s="7">
        <v>87089500</v>
      </c>
      <c r="S414" s="7">
        <v>5</v>
      </c>
      <c r="T414" s="7" t="s">
        <v>256</v>
      </c>
      <c r="U414" s="7" t="s">
        <v>178</v>
      </c>
      <c r="V414" s="6">
        <f t="shared" si="79"/>
        <v>131219.13649999999</v>
      </c>
      <c r="W414" s="6">
        <f t="shared" si="80"/>
        <v>13121.91365</v>
      </c>
      <c r="X414" s="6">
        <f t="shared" si="81"/>
        <v>144341.05015</v>
      </c>
      <c r="Y414" s="6">
        <f t="shared" si="82"/>
        <v>66.824560254629631</v>
      </c>
      <c r="Z414" s="6">
        <f t="shared" si="83"/>
        <v>1214.9920046296297</v>
      </c>
      <c r="AA414" s="9">
        <f t="shared" si="84"/>
        <v>2160</v>
      </c>
      <c r="AB414" s="10">
        <v>0</v>
      </c>
      <c r="AC414" s="11">
        <f t="shared" si="86"/>
        <v>0</v>
      </c>
      <c r="AD414" s="12">
        <f t="shared" si="85"/>
        <v>2160</v>
      </c>
      <c r="AE414" s="13">
        <f t="shared" si="77"/>
        <v>0</v>
      </c>
    </row>
    <row r="415" spans="1:31">
      <c r="A415" s="6">
        <v>13</v>
      </c>
      <c r="B415" s="6">
        <f t="shared" si="87"/>
        <v>7</v>
      </c>
      <c r="C415" s="6" t="str">
        <f t="shared" si="78"/>
        <v>650557200GCUSHION, FOLDED, C AND S HONDA 2JX371647044908720</v>
      </c>
      <c r="D415" s="6" t="s">
        <v>208</v>
      </c>
      <c r="E415" s="6" t="s">
        <v>159</v>
      </c>
      <c r="F415" s="6"/>
      <c r="G415" s="7" t="s">
        <v>136</v>
      </c>
      <c r="H415" s="7"/>
      <c r="I415" s="7"/>
      <c r="J415" s="7"/>
      <c r="K415" s="7"/>
      <c r="L415" s="7">
        <v>3716470</v>
      </c>
      <c r="M415" s="22">
        <v>44908</v>
      </c>
      <c r="N415" s="8" t="s">
        <v>189</v>
      </c>
      <c r="O415" s="8"/>
      <c r="P415" s="7">
        <v>720</v>
      </c>
      <c r="Q415" s="7">
        <v>882387.25</v>
      </c>
      <c r="R415" s="7">
        <v>87089500</v>
      </c>
      <c r="S415" s="7">
        <v>5</v>
      </c>
      <c r="T415" s="7" t="s">
        <v>267</v>
      </c>
      <c r="U415" s="7" t="s">
        <v>178</v>
      </c>
      <c r="V415" s="6">
        <f t="shared" si="79"/>
        <v>44119.362500000003</v>
      </c>
      <c r="W415" s="6">
        <f t="shared" si="80"/>
        <v>4411.9362500000007</v>
      </c>
      <c r="X415" s="6">
        <f t="shared" si="81"/>
        <v>48531.298750000002</v>
      </c>
      <c r="Y415" s="6">
        <f t="shared" si="82"/>
        <v>67.404581597222219</v>
      </c>
      <c r="Z415" s="6">
        <f t="shared" si="83"/>
        <v>1225.5378472222221</v>
      </c>
      <c r="AA415" s="9">
        <f t="shared" si="84"/>
        <v>720</v>
      </c>
      <c r="AB415" s="10">
        <v>0</v>
      </c>
      <c r="AC415" s="11">
        <f t="shared" si="86"/>
        <v>0</v>
      </c>
      <c r="AD415" s="12">
        <f t="shared" si="85"/>
        <v>720</v>
      </c>
      <c r="AE415" s="13">
        <f t="shared" si="77"/>
        <v>0</v>
      </c>
    </row>
    <row r="416" spans="1:31">
      <c r="A416" s="6">
        <v>13</v>
      </c>
      <c r="B416" s="6">
        <f t="shared" si="87"/>
        <v>8</v>
      </c>
      <c r="C416" s="6" t="str">
        <f t="shared" si="78"/>
        <v>651015100AARMATURE, MONOBLOCK, ASW4, HYUNDAI BC33353058448834860</v>
      </c>
      <c r="D416" s="6" t="s">
        <v>208</v>
      </c>
      <c r="E416" s="6" t="s">
        <v>158</v>
      </c>
      <c r="F416" s="6"/>
      <c r="G416" s="7" t="s">
        <v>135</v>
      </c>
      <c r="H416" s="7"/>
      <c r="I416" s="7"/>
      <c r="J416" s="7"/>
      <c r="K416" s="7"/>
      <c r="L416" s="7">
        <v>3353058</v>
      </c>
      <c r="M416" s="22">
        <v>44883</v>
      </c>
      <c r="N416" s="8" t="s">
        <v>184</v>
      </c>
      <c r="O416" s="8"/>
      <c r="P416" s="7">
        <v>4860</v>
      </c>
      <c r="Q416" s="7">
        <v>2360668.77</v>
      </c>
      <c r="R416" s="7">
        <v>87089400</v>
      </c>
      <c r="S416" s="7">
        <v>15</v>
      </c>
      <c r="T416" s="7" t="s">
        <v>186</v>
      </c>
      <c r="U416" s="7" t="s">
        <v>178</v>
      </c>
      <c r="V416" s="6">
        <f t="shared" si="79"/>
        <v>354100.31549999997</v>
      </c>
      <c r="W416" s="6">
        <f t="shared" si="80"/>
        <v>35410.03155</v>
      </c>
      <c r="X416" s="6">
        <f t="shared" si="81"/>
        <v>389510.34704999998</v>
      </c>
      <c r="Y416" s="6">
        <f t="shared" si="82"/>
        <v>80.146161944444444</v>
      </c>
      <c r="Z416" s="6">
        <f t="shared" si="83"/>
        <v>485.73431481481481</v>
      </c>
      <c r="AA416" s="9">
        <f t="shared" si="84"/>
        <v>4860</v>
      </c>
      <c r="AB416" s="10">
        <v>469</v>
      </c>
      <c r="AC416" s="11">
        <f t="shared" si="86"/>
        <v>37588.549951944442</v>
      </c>
      <c r="AD416" s="12">
        <f t="shared" si="85"/>
        <v>4814</v>
      </c>
      <c r="AE416" s="13">
        <f t="shared" si="77"/>
        <v>46</v>
      </c>
    </row>
    <row r="417" spans="1:31">
      <c r="A417" s="6">
        <v>13</v>
      </c>
      <c r="B417" s="6">
        <f t="shared" si="87"/>
        <v>9</v>
      </c>
      <c r="C417" s="6" t="str">
        <f t="shared" si="78"/>
        <v>652466500ALEATHER, HIDE TOP GRAIN, OBSIDIAN BLACK, NNB, BLA9646611447633220.2</v>
      </c>
      <c r="D417" s="6" t="s">
        <v>208</v>
      </c>
      <c r="E417" s="6" t="s">
        <v>163</v>
      </c>
      <c r="F417" s="6"/>
      <c r="G417" s="7" t="s">
        <v>141</v>
      </c>
      <c r="H417" s="7"/>
      <c r="I417" s="7"/>
      <c r="J417" s="7"/>
      <c r="K417" s="7"/>
      <c r="L417" s="7">
        <v>9646611</v>
      </c>
      <c r="M417" s="22">
        <v>44763</v>
      </c>
      <c r="N417" s="8" t="s">
        <v>283</v>
      </c>
      <c r="O417" s="8"/>
      <c r="P417" s="7">
        <v>3220.2</v>
      </c>
      <c r="Q417" s="7">
        <v>8262099.9900000002</v>
      </c>
      <c r="R417" s="7">
        <v>41071200</v>
      </c>
      <c r="S417" s="7">
        <v>10</v>
      </c>
      <c r="T417" s="7" t="s">
        <v>261</v>
      </c>
      <c r="U417" s="7" t="s">
        <v>178</v>
      </c>
      <c r="V417" s="6">
        <f t="shared" si="79"/>
        <v>826209.99900000007</v>
      </c>
      <c r="W417" s="6">
        <f t="shared" si="80"/>
        <v>82620.99990000001</v>
      </c>
      <c r="X417" s="6">
        <f t="shared" si="81"/>
        <v>908830.99890000012</v>
      </c>
      <c r="Y417" s="6">
        <f t="shared" si="82"/>
        <v>282.22812213527118</v>
      </c>
      <c r="Z417" s="6">
        <f t="shared" si="83"/>
        <v>2565.7102012297373</v>
      </c>
      <c r="AA417" s="9">
        <f t="shared" si="84"/>
        <v>3220.2</v>
      </c>
      <c r="AB417" s="10">
        <v>979.21754599999997</v>
      </c>
      <c r="AC417" s="11">
        <f t="shared" si="86"/>
        <v>276362.72916948854</v>
      </c>
      <c r="AD417" s="12">
        <f t="shared" si="85"/>
        <v>3219.7238479999996</v>
      </c>
      <c r="AE417" s="13">
        <f t="shared" si="77"/>
        <v>0.47615200000018376</v>
      </c>
    </row>
    <row r="418" spans="1:31">
      <c r="A418" s="6">
        <v>13</v>
      </c>
      <c r="B418" s="6">
        <f t="shared" si="87"/>
        <v>10</v>
      </c>
      <c r="C418" s="6" t="str">
        <f t="shared" si="78"/>
        <v>653052600AINFLATOR, APP-4.6, 2.2MO STANDARD_MIB, SQUARE_61X4214101449431728</v>
      </c>
      <c r="D418" s="6" t="s">
        <v>208</v>
      </c>
      <c r="E418" s="6" t="s">
        <v>161</v>
      </c>
      <c r="F418" s="6"/>
      <c r="G418" s="7" t="s">
        <v>139</v>
      </c>
      <c r="H418" s="7"/>
      <c r="I418" s="7"/>
      <c r="J418" s="7"/>
      <c r="K418" s="7"/>
      <c r="L418" s="7">
        <v>4214101</v>
      </c>
      <c r="M418" s="22">
        <v>44943</v>
      </c>
      <c r="N418" s="8" t="s">
        <v>184</v>
      </c>
      <c r="O418" s="8"/>
      <c r="P418" s="7">
        <v>1728</v>
      </c>
      <c r="Q418" s="7">
        <v>806536.88</v>
      </c>
      <c r="R418" s="7">
        <v>87089500</v>
      </c>
      <c r="S418" s="7">
        <v>15</v>
      </c>
      <c r="T418" s="7" t="s">
        <v>259</v>
      </c>
      <c r="U418" s="7" t="s">
        <v>200</v>
      </c>
      <c r="V418" s="6">
        <f t="shared" si="79"/>
        <v>120980.53199999999</v>
      </c>
      <c r="W418" s="6">
        <f t="shared" si="80"/>
        <v>12098.0532</v>
      </c>
      <c r="X418" s="6">
        <f t="shared" si="81"/>
        <v>133078.5852</v>
      </c>
      <c r="Y418" s="6">
        <f t="shared" si="82"/>
        <v>77.013070138888892</v>
      </c>
      <c r="Z418" s="6">
        <f t="shared" si="83"/>
        <v>466.74587962962966</v>
      </c>
      <c r="AA418" s="9">
        <f t="shared" si="84"/>
        <v>1728</v>
      </c>
      <c r="AB418" s="10">
        <v>480</v>
      </c>
      <c r="AC418" s="11">
        <f t="shared" si="86"/>
        <v>36966.273666666668</v>
      </c>
      <c r="AD418" s="12">
        <f t="shared" si="85"/>
        <v>1728</v>
      </c>
      <c r="AE418" s="13">
        <f t="shared" si="77"/>
        <v>0</v>
      </c>
    </row>
    <row r="419" spans="1:31">
      <c r="A419" s="6">
        <v>13</v>
      </c>
      <c r="B419" s="6">
        <f t="shared" si="87"/>
        <v>11</v>
      </c>
      <c r="C419" s="6" t="str">
        <f t="shared" si="78"/>
        <v>644345600ASCREW, SELF-TAPPING, PLA PLASTIC, 3.0, CROSS39402614492360000</v>
      </c>
      <c r="D419" s="6" t="s">
        <v>208</v>
      </c>
      <c r="E419" s="6" t="s">
        <v>166</v>
      </c>
      <c r="F419" s="6"/>
      <c r="G419" s="7" t="s">
        <v>144</v>
      </c>
      <c r="H419" s="7"/>
      <c r="I419" s="7"/>
      <c r="J419" s="7"/>
      <c r="K419" s="7"/>
      <c r="L419" s="7">
        <v>3940261</v>
      </c>
      <c r="M419" s="22">
        <v>44923</v>
      </c>
      <c r="N419" s="8" t="s">
        <v>189</v>
      </c>
      <c r="O419" s="8"/>
      <c r="P419" s="7">
        <v>60000</v>
      </c>
      <c r="Q419" s="7">
        <v>46616.75</v>
      </c>
      <c r="R419" s="7">
        <v>87089500</v>
      </c>
      <c r="S419" s="7">
        <v>15</v>
      </c>
      <c r="T419" s="7" t="s">
        <v>183</v>
      </c>
      <c r="U419" s="7" t="s">
        <v>178</v>
      </c>
      <c r="V419" s="6">
        <f t="shared" si="79"/>
        <v>6992.5124999999998</v>
      </c>
      <c r="W419" s="6">
        <f t="shared" si="80"/>
        <v>699.25125000000003</v>
      </c>
      <c r="X419" s="6">
        <f t="shared" si="81"/>
        <v>7691.7637500000001</v>
      </c>
      <c r="Y419" s="6">
        <f t="shared" si="82"/>
        <v>0.12819606250000001</v>
      </c>
      <c r="Z419" s="6">
        <f t="shared" si="83"/>
        <v>0.77694583333333334</v>
      </c>
      <c r="AA419" s="9">
        <f t="shared" si="84"/>
        <v>60000</v>
      </c>
      <c r="AB419" s="10">
        <v>12934</v>
      </c>
      <c r="AC419" s="11">
        <f t="shared" si="86"/>
        <v>1658.0878723750002</v>
      </c>
      <c r="AD419" s="12">
        <f t="shared" si="85"/>
        <v>60000</v>
      </c>
      <c r="AE419" s="13">
        <f t="shared" si="77"/>
        <v>0</v>
      </c>
    </row>
    <row r="420" spans="1:31">
      <c r="A420" s="6">
        <v>13</v>
      </c>
      <c r="B420" s="6">
        <f t="shared" si="87"/>
        <v>12</v>
      </c>
      <c r="C420" s="6" t="str">
        <f t="shared" si="78"/>
        <v>654331700ATHREAD, STITCHING, 1500 BEIGE, M20, PET, T-135 U108984500554000</v>
      </c>
      <c r="D420" s="6" t="s">
        <v>208</v>
      </c>
      <c r="E420" s="6" t="s">
        <v>172</v>
      </c>
      <c r="F420" s="6"/>
      <c r="G420" s="7" t="s">
        <v>150</v>
      </c>
      <c r="H420" s="7"/>
      <c r="I420" s="7"/>
      <c r="J420" s="7"/>
      <c r="K420" s="7"/>
      <c r="L420" s="7">
        <v>10898</v>
      </c>
      <c r="M420" s="22">
        <v>45005</v>
      </c>
      <c r="N420" s="8" t="e">
        <v>#N/A</v>
      </c>
      <c r="O420" s="8"/>
      <c r="P420" s="7">
        <v>54000</v>
      </c>
      <c r="Q420" s="7">
        <v>30846.666666666668</v>
      </c>
      <c r="R420" s="7" t="e">
        <v>#N/A</v>
      </c>
      <c r="S420" s="7">
        <v>15</v>
      </c>
      <c r="T420" s="7" t="e">
        <v>#N/A</v>
      </c>
      <c r="U420" s="7" t="e">
        <v>#N/A</v>
      </c>
      <c r="V420" s="6">
        <f t="shared" si="79"/>
        <v>4627</v>
      </c>
      <c r="W420" s="6">
        <f t="shared" si="80"/>
        <v>462.70000000000005</v>
      </c>
      <c r="X420" s="6">
        <f t="shared" si="81"/>
        <v>5089.7</v>
      </c>
      <c r="Y420" s="6">
        <f t="shared" si="82"/>
        <v>9.4253703703703701E-2</v>
      </c>
      <c r="Z420" s="6">
        <f t="shared" si="83"/>
        <v>0.57123456790123461</v>
      </c>
      <c r="AA420" s="9">
        <f t="shared" si="84"/>
        <v>54000</v>
      </c>
      <c r="AB420" s="10">
        <v>10251</v>
      </c>
      <c r="AC420" s="11">
        <f t="shared" si="86"/>
        <v>966.19471666666664</v>
      </c>
      <c r="AD420" s="12">
        <f t="shared" si="85"/>
        <v>15818</v>
      </c>
      <c r="AE420" s="13">
        <f t="shared" si="77"/>
        <v>38182</v>
      </c>
    </row>
    <row r="421" spans="1:31">
      <c r="A421" s="6">
        <v>13</v>
      </c>
      <c r="B421" s="6">
        <f t="shared" si="87"/>
        <v>13</v>
      </c>
      <c r="C421" s="6" t="str">
        <f t="shared" si="78"/>
        <v>628408700ASCREW, STANDARD, METRIC, M5, HEXALOBULAR INTERNAL52913244501570000</v>
      </c>
      <c r="D421" s="6" t="s">
        <v>208</v>
      </c>
      <c r="E421" s="6" t="s">
        <v>167</v>
      </c>
      <c r="F421" s="6"/>
      <c r="G421" s="7" t="s">
        <v>145</v>
      </c>
      <c r="H421" s="7"/>
      <c r="I421" s="7"/>
      <c r="J421" s="7"/>
      <c r="K421" s="7"/>
      <c r="L421" s="7">
        <v>5291324</v>
      </c>
      <c r="M421" s="22">
        <v>45015</v>
      </c>
      <c r="N421" s="8" t="s">
        <v>189</v>
      </c>
      <c r="O421" s="8"/>
      <c r="P421" s="7">
        <v>70000</v>
      </c>
      <c r="Q421" s="7">
        <v>362051.01</v>
      </c>
      <c r="R421" s="7">
        <v>87089900</v>
      </c>
      <c r="S421" s="7">
        <v>15</v>
      </c>
      <c r="T421" s="7" t="s">
        <v>290</v>
      </c>
      <c r="U421" s="7" t="s">
        <v>178</v>
      </c>
      <c r="V421" s="6">
        <f t="shared" si="79"/>
        <v>54307.6515</v>
      </c>
      <c r="W421" s="6">
        <f t="shared" si="80"/>
        <v>5430.7651500000002</v>
      </c>
      <c r="X421" s="6">
        <f t="shared" si="81"/>
        <v>59738.416649999999</v>
      </c>
      <c r="Y421" s="6">
        <f t="shared" si="82"/>
        <v>0.85340595214285708</v>
      </c>
      <c r="Z421" s="6">
        <f t="shared" si="83"/>
        <v>5.1721572857142855</v>
      </c>
      <c r="AA421" s="9">
        <f t="shared" si="84"/>
        <v>70000</v>
      </c>
      <c r="AB421" s="10">
        <v>10357</v>
      </c>
      <c r="AC421" s="11">
        <f t="shared" si="86"/>
        <v>8838.7254463435711</v>
      </c>
      <c r="AD421" s="12">
        <f t="shared" si="85"/>
        <v>70000</v>
      </c>
      <c r="AE421" s="13">
        <f t="shared" si="77"/>
        <v>0</v>
      </c>
    </row>
    <row r="422" spans="1:31">
      <c r="A422" s="6">
        <v>13</v>
      </c>
      <c r="B422" s="6">
        <f t="shared" si="87"/>
        <v>14</v>
      </c>
      <c r="C422" s="6" t="str">
        <f t="shared" si="78"/>
        <v>651409900ASCREW, STD METRIC M6 HEXALOBULAR INTERNAL, T461068614507130000</v>
      </c>
      <c r="D422" s="6" t="s">
        <v>208</v>
      </c>
      <c r="E422" s="6" t="s">
        <v>168</v>
      </c>
      <c r="F422" s="6"/>
      <c r="G422" s="7" t="s">
        <v>146</v>
      </c>
      <c r="H422" s="7"/>
      <c r="I422" s="7"/>
      <c r="J422" s="7"/>
      <c r="K422" s="7"/>
      <c r="L422" s="7">
        <v>6106861</v>
      </c>
      <c r="M422" s="22">
        <v>45071</v>
      </c>
      <c r="N422" s="8" t="s">
        <v>182</v>
      </c>
      <c r="O422" s="8"/>
      <c r="P422" s="7">
        <v>30000</v>
      </c>
      <c r="Q422" s="7">
        <v>103797.53</v>
      </c>
      <c r="R422" s="7">
        <v>87089500</v>
      </c>
      <c r="S422" s="7">
        <v>15</v>
      </c>
      <c r="T422" s="7" t="s">
        <v>183</v>
      </c>
      <c r="U422" s="7" t="s">
        <v>178</v>
      </c>
      <c r="V422" s="6">
        <f t="shared" si="79"/>
        <v>15569.629499999999</v>
      </c>
      <c r="W422" s="6">
        <f t="shared" si="80"/>
        <v>1556.9629500000001</v>
      </c>
      <c r="X422" s="6">
        <f t="shared" si="81"/>
        <v>17126.59245</v>
      </c>
      <c r="Y422" s="6">
        <f t="shared" si="82"/>
        <v>0.57088641500000004</v>
      </c>
      <c r="Z422" s="6">
        <f t="shared" si="83"/>
        <v>3.4599176666666667</v>
      </c>
      <c r="AA422" s="9">
        <f t="shared" si="84"/>
        <v>30000</v>
      </c>
      <c r="AB422" s="10">
        <v>656</v>
      </c>
      <c r="AC422" s="11">
        <f t="shared" si="86"/>
        <v>374.50148824000001</v>
      </c>
      <c r="AD422" s="12">
        <f t="shared" si="85"/>
        <v>30000</v>
      </c>
      <c r="AE422" s="13">
        <f t="shared" si="77"/>
        <v>0</v>
      </c>
    </row>
    <row r="423" spans="1:31">
      <c r="A423" s="6">
        <v>13</v>
      </c>
      <c r="B423" s="6">
        <f t="shared" si="87"/>
        <v>15</v>
      </c>
      <c r="C423" s="6" t="str">
        <f t="shared" si="78"/>
        <v>664168000AStitching Thread for SW,  YELLOW, LUCID LIME, M2012537452141200000</v>
      </c>
      <c r="D423" s="6" t="s">
        <v>208</v>
      </c>
      <c r="E423" s="6" t="s">
        <v>175</v>
      </c>
      <c r="F423" s="6"/>
      <c r="G423" s="7" t="s">
        <v>153</v>
      </c>
      <c r="H423" s="7"/>
      <c r="I423" s="7"/>
      <c r="J423" s="7"/>
      <c r="K423" s="7"/>
      <c r="L423" s="7">
        <v>12537</v>
      </c>
      <c r="M423" s="22">
        <v>45214</v>
      </c>
      <c r="N423" s="8" t="s">
        <v>180</v>
      </c>
      <c r="O423" s="8"/>
      <c r="P423" s="7">
        <v>1200000</v>
      </c>
      <c r="Q423" s="7">
        <v>567.82000000000005</v>
      </c>
      <c r="R423" s="7">
        <v>54012000</v>
      </c>
      <c r="S423" s="7">
        <v>5</v>
      </c>
      <c r="T423" s="7" t="s">
        <v>373</v>
      </c>
      <c r="U423" s="7" t="s">
        <v>178</v>
      </c>
      <c r="V423" s="6">
        <f t="shared" si="79"/>
        <v>28.391000000000005</v>
      </c>
      <c r="W423" s="6">
        <f t="shared" si="80"/>
        <v>2.8391000000000006</v>
      </c>
      <c r="X423" s="6">
        <f t="shared" si="81"/>
        <v>31.230100000000007</v>
      </c>
      <c r="Y423" s="6">
        <f t="shared" si="82"/>
        <v>2.6025083333333339E-5</v>
      </c>
      <c r="Z423" s="6">
        <f t="shared" si="83"/>
        <v>4.7318333333333339E-4</v>
      </c>
      <c r="AA423" s="9">
        <f t="shared" si="84"/>
        <v>1200000</v>
      </c>
      <c r="AB423" s="10">
        <v>4928</v>
      </c>
      <c r="AC423" s="11">
        <f t="shared" si="86"/>
        <v>0.12825161066666668</v>
      </c>
      <c r="AD423" s="12">
        <f t="shared" si="85"/>
        <v>4928</v>
      </c>
      <c r="AE423" s="13">
        <f t="shared" si="77"/>
        <v>1195072</v>
      </c>
    </row>
    <row r="424" spans="1:31">
      <c r="A424" s="6">
        <v>13</v>
      </c>
      <c r="B424" s="6">
        <f t="shared" si="87"/>
        <v>16</v>
      </c>
      <c r="C424" s="6" t="str">
        <f t="shared" si="78"/>
        <v>608225700ASCREW,STD METRIIC HEXALOBULAR  M5 T25 12MM70403424513230000</v>
      </c>
      <c r="D424" s="6" t="s">
        <v>208</v>
      </c>
      <c r="E424" s="6" t="s">
        <v>169</v>
      </c>
      <c r="F424" s="6"/>
      <c r="G424" s="7" t="s">
        <v>147</v>
      </c>
      <c r="H424" s="7"/>
      <c r="I424" s="7"/>
      <c r="J424" s="7"/>
      <c r="K424" s="7"/>
      <c r="L424" s="7">
        <v>7040342</v>
      </c>
      <c r="M424" s="22">
        <v>45132</v>
      </c>
      <c r="N424" s="8" t="s">
        <v>189</v>
      </c>
      <c r="O424" s="8"/>
      <c r="P424" s="7">
        <v>30000</v>
      </c>
      <c r="Q424" s="7">
        <v>98486.61</v>
      </c>
      <c r="R424" s="7">
        <v>87089400</v>
      </c>
      <c r="S424" s="7">
        <v>15</v>
      </c>
      <c r="T424" s="7" t="s">
        <v>266</v>
      </c>
      <c r="U424" s="7" t="s">
        <v>178</v>
      </c>
      <c r="V424" s="6">
        <f t="shared" si="79"/>
        <v>14772.9915</v>
      </c>
      <c r="W424" s="6">
        <f t="shared" si="80"/>
        <v>1477.2991500000001</v>
      </c>
      <c r="X424" s="6">
        <f t="shared" si="81"/>
        <v>16250.290650000001</v>
      </c>
      <c r="Y424" s="6">
        <f t="shared" si="82"/>
        <v>0.541676355</v>
      </c>
      <c r="Z424" s="6">
        <f t="shared" si="83"/>
        <v>3.2828870000000001</v>
      </c>
      <c r="AA424" s="9">
        <f t="shared" si="84"/>
        <v>30000</v>
      </c>
      <c r="AB424" s="10">
        <v>10828</v>
      </c>
      <c r="AC424" s="11">
        <f t="shared" si="86"/>
        <v>5865.2715719400003</v>
      </c>
      <c r="AD424" s="12">
        <f t="shared" si="85"/>
        <v>30000</v>
      </c>
      <c r="AE424" s="13">
        <f t="shared" si="77"/>
        <v>0</v>
      </c>
    </row>
    <row r="425" spans="1:31">
      <c r="A425" s="6">
        <v>13</v>
      </c>
      <c r="B425" s="6">
        <f t="shared" si="87"/>
        <v>17</v>
      </c>
      <c r="C425" s="6" t="str">
        <f t="shared" si="78"/>
        <v>651166400CSPRING, COIL, UPPER 73271424515055000</v>
      </c>
      <c r="D425" s="6" t="s">
        <v>208</v>
      </c>
      <c r="E425" s="6" t="s">
        <v>170</v>
      </c>
      <c r="F425" s="6"/>
      <c r="G425" s="7" t="s">
        <v>148</v>
      </c>
      <c r="H425" s="7"/>
      <c r="I425" s="7"/>
      <c r="J425" s="7"/>
      <c r="K425" s="7"/>
      <c r="L425" s="7">
        <v>7327142</v>
      </c>
      <c r="M425" s="22">
        <v>45150</v>
      </c>
      <c r="N425" s="8" t="s">
        <v>189</v>
      </c>
      <c r="O425" s="8"/>
      <c r="P425" s="7">
        <v>55000</v>
      </c>
      <c r="Q425" s="7">
        <v>100568.15</v>
      </c>
      <c r="R425" s="7">
        <v>87089500</v>
      </c>
      <c r="S425" s="7">
        <v>15</v>
      </c>
      <c r="T425" s="7" t="s">
        <v>288</v>
      </c>
      <c r="U425" s="7" t="s">
        <v>178</v>
      </c>
      <c r="V425" s="6">
        <f t="shared" si="79"/>
        <v>15085.222499999998</v>
      </c>
      <c r="W425" s="6">
        <f t="shared" si="80"/>
        <v>1508.52225</v>
      </c>
      <c r="X425" s="6">
        <f t="shared" si="81"/>
        <v>16593.744749999998</v>
      </c>
      <c r="Y425" s="6">
        <f t="shared" si="82"/>
        <v>0.30170444999999996</v>
      </c>
      <c r="Z425" s="6">
        <f t="shared" si="83"/>
        <v>1.8285118181818181</v>
      </c>
      <c r="AA425" s="9">
        <f t="shared" si="84"/>
        <v>55000</v>
      </c>
      <c r="AB425" s="10">
        <v>21600</v>
      </c>
      <c r="AC425" s="11">
        <f t="shared" si="86"/>
        <v>6516.8161199999995</v>
      </c>
      <c r="AD425" s="12">
        <f t="shared" si="85"/>
        <v>55000</v>
      </c>
      <c r="AE425" s="13">
        <f t="shared" si="77"/>
        <v>0</v>
      </c>
    </row>
    <row r="426" spans="1:31">
      <c r="A426" s="6">
        <v>13</v>
      </c>
      <c r="B426" s="6">
        <f t="shared" si="87"/>
        <v>18</v>
      </c>
      <c r="C426" s="6" t="str">
        <f t="shared" si="78"/>
        <v>610952600ATHREAD, STEERING WHEEL, LOOPING LEATHER, BLACK 5109574512636000</v>
      </c>
      <c r="D426" s="6" t="s">
        <v>208</v>
      </c>
      <c r="E426" s="6" t="s">
        <v>171</v>
      </c>
      <c r="F426" s="6"/>
      <c r="G426" s="7" t="s">
        <v>149</v>
      </c>
      <c r="H426" s="7"/>
      <c r="I426" s="7"/>
      <c r="J426" s="7"/>
      <c r="K426" s="7"/>
      <c r="L426" s="7">
        <v>10957</v>
      </c>
      <c r="M426" s="22">
        <v>45126</v>
      </c>
      <c r="N426" s="8" t="e">
        <v>#N/A</v>
      </c>
      <c r="O426" s="8"/>
      <c r="P426" s="7">
        <v>36000</v>
      </c>
      <c r="Q426" s="7">
        <v>97898.333333333343</v>
      </c>
      <c r="R426" s="7" t="e">
        <v>#N/A</v>
      </c>
      <c r="S426" s="7">
        <v>15</v>
      </c>
      <c r="T426" s="7" t="e">
        <v>#N/A</v>
      </c>
      <c r="U426" s="7" t="e">
        <v>#N/A</v>
      </c>
      <c r="V426" s="6">
        <f t="shared" si="79"/>
        <v>14684.750000000002</v>
      </c>
      <c r="W426" s="6">
        <f t="shared" si="80"/>
        <v>1468.4750000000004</v>
      </c>
      <c r="X426" s="6">
        <f t="shared" si="81"/>
        <v>16153.225000000002</v>
      </c>
      <c r="Y426" s="6">
        <f t="shared" si="82"/>
        <v>0.44870069444444449</v>
      </c>
      <c r="Z426" s="6">
        <f t="shared" si="83"/>
        <v>2.7193981481481484</v>
      </c>
      <c r="AA426" s="9">
        <f t="shared" si="84"/>
        <v>36000</v>
      </c>
      <c r="AB426" s="10">
        <v>7984</v>
      </c>
      <c r="AC426" s="11">
        <f t="shared" si="86"/>
        <v>3582.426344444445</v>
      </c>
      <c r="AD426" s="12">
        <f t="shared" si="85"/>
        <v>24758</v>
      </c>
      <c r="AE426" s="13">
        <f t="shared" si="77"/>
        <v>11242</v>
      </c>
    </row>
    <row r="427" spans="1:31">
      <c r="A427" s="6">
        <v>13</v>
      </c>
      <c r="B427" s="6">
        <f t="shared" si="87"/>
        <v>19</v>
      </c>
      <c r="C427" s="6" t="str">
        <f t="shared" si="78"/>
        <v>655379600ATHREAD, STITCHING, 1500 BLACK, M20, PET, T-135 U1219545068108000</v>
      </c>
      <c r="D427" s="6" t="s">
        <v>208</v>
      </c>
      <c r="E427" s="6" t="s">
        <v>173</v>
      </c>
      <c r="F427" s="6"/>
      <c r="G427" s="7" t="s">
        <v>151</v>
      </c>
      <c r="H427" s="7"/>
      <c r="I427" s="7"/>
      <c r="J427" s="7"/>
      <c r="K427" s="7"/>
      <c r="L427" s="7" t="s">
        <v>154</v>
      </c>
      <c r="M427" s="22">
        <v>45068</v>
      </c>
      <c r="N427" s="8" t="e">
        <v>#N/A</v>
      </c>
      <c r="O427" s="8"/>
      <c r="P427" s="7">
        <v>108000</v>
      </c>
      <c r="Q427" s="7">
        <v>57093.2</v>
      </c>
      <c r="R427" s="7" t="e">
        <v>#N/A</v>
      </c>
      <c r="S427" s="7">
        <v>5</v>
      </c>
      <c r="T427" s="7" t="e">
        <v>#N/A</v>
      </c>
      <c r="U427" s="7" t="e">
        <v>#N/A</v>
      </c>
      <c r="V427" s="6">
        <f t="shared" si="79"/>
        <v>2854.66</v>
      </c>
      <c r="W427" s="6">
        <f t="shared" si="80"/>
        <v>285.46600000000001</v>
      </c>
      <c r="X427" s="6">
        <f t="shared" si="81"/>
        <v>3140.1259999999997</v>
      </c>
      <c r="Y427" s="6">
        <f t="shared" si="82"/>
        <v>2.9075240740740738E-2</v>
      </c>
      <c r="Z427" s="6">
        <f t="shared" si="83"/>
        <v>0.52864074074074074</v>
      </c>
      <c r="AA427" s="9">
        <f t="shared" si="84"/>
        <v>108000</v>
      </c>
      <c r="AB427" s="10">
        <v>14856</v>
      </c>
      <c r="AC427" s="11">
        <f t="shared" si="86"/>
        <v>431.94177644444443</v>
      </c>
      <c r="AD427" s="12">
        <f t="shared" si="85"/>
        <v>54585</v>
      </c>
      <c r="AE427" s="13">
        <f t="shared" si="77"/>
        <v>53415</v>
      </c>
    </row>
    <row r="428" spans="1:31">
      <c r="A428" s="6">
        <v>13</v>
      </c>
      <c r="B428" s="6">
        <f t="shared" si="87"/>
        <v>20</v>
      </c>
      <c r="C428" s="6" t="str">
        <f t="shared" si="78"/>
        <v>653642900ATHREAD, STITCHING, 1500, LIGHT GREY, M20, PET, T-121954506827000</v>
      </c>
      <c r="D428" s="6" t="s">
        <v>208</v>
      </c>
      <c r="E428" s="6" t="s">
        <v>174</v>
      </c>
      <c r="F428" s="6"/>
      <c r="G428" s="7" t="s">
        <v>152</v>
      </c>
      <c r="H428" s="7"/>
      <c r="I428" s="7"/>
      <c r="J428" s="7"/>
      <c r="K428" s="7"/>
      <c r="L428" s="7" t="s">
        <v>154</v>
      </c>
      <c r="M428" s="22">
        <v>45068</v>
      </c>
      <c r="N428" s="8" t="e">
        <v>#N/A</v>
      </c>
      <c r="O428" s="8"/>
      <c r="P428" s="7">
        <v>27000</v>
      </c>
      <c r="Q428" s="7">
        <v>57093.2</v>
      </c>
      <c r="R428" s="7" t="e">
        <v>#N/A</v>
      </c>
      <c r="S428" s="7">
        <v>5</v>
      </c>
      <c r="T428" s="7" t="e">
        <v>#N/A</v>
      </c>
      <c r="U428" s="7" t="e">
        <v>#N/A</v>
      </c>
      <c r="V428" s="6">
        <f t="shared" si="79"/>
        <v>2854.66</v>
      </c>
      <c r="W428" s="6">
        <f t="shared" si="80"/>
        <v>285.46600000000001</v>
      </c>
      <c r="X428" s="6">
        <f t="shared" si="81"/>
        <v>3140.1259999999997</v>
      </c>
      <c r="Y428" s="6">
        <f t="shared" si="82"/>
        <v>0.11630096296296295</v>
      </c>
      <c r="Z428" s="6">
        <f t="shared" si="83"/>
        <v>2.114562962962963</v>
      </c>
      <c r="AA428" s="9">
        <f t="shared" si="84"/>
        <v>27000</v>
      </c>
      <c r="AB428" s="10">
        <v>4170</v>
      </c>
      <c r="AC428" s="11">
        <f t="shared" si="86"/>
        <v>484.9750155555555</v>
      </c>
      <c r="AD428" s="12">
        <f t="shared" si="85"/>
        <v>12695</v>
      </c>
      <c r="AE428" s="13">
        <f t="shared" si="77"/>
        <v>14305</v>
      </c>
    </row>
    <row r="429" spans="1:31">
      <c r="A429" s="6">
        <v>13</v>
      </c>
      <c r="B429" s="6">
        <f t="shared" si="87"/>
        <v>21</v>
      </c>
      <c r="C429" s="6" t="str">
        <f t="shared" si="78"/>
        <v>655818900BACTUATOR VIBRATION MOTOR ASSY WITH BRACKET BC3 CU73263124515014400</v>
      </c>
      <c r="D429" s="6" t="s">
        <v>208</v>
      </c>
      <c r="E429" s="6" t="s">
        <v>156</v>
      </c>
      <c r="F429" s="6"/>
      <c r="G429" s="7" t="s">
        <v>133</v>
      </c>
      <c r="H429" s="7"/>
      <c r="I429" s="7"/>
      <c r="J429" s="7"/>
      <c r="K429" s="7"/>
      <c r="L429" s="7">
        <v>7326312</v>
      </c>
      <c r="M429" s="22">
        <v>45150</v>
      </c>
      <c r="N429" s="8" t="s">
        <v>189</v>
      </c>
      <c r="O429" s="8"/>
      <c r="P429" s="7">
        <v>14400</v>
      </c>
      <c r="Q429" s="7">
        <v>4786505.62</v>
      </c>
      <c r="R429" s="7">
        <v>85011019</v>
      </c>
      <c r="S429" s="7">
        <v>15</v>
      </c>
      <c r="T429" s="7" t="s">
        <v>254</v>
      </c>
      <c r="U429" s="7" t="s">
        <v>178</v>
      </c>
      <c r="V429" s="6">
        <f t="shared" si="79"/>
        <v>717975.84299999999</v>
      </c>
      <c r="W429" s="6">
        <f t="shared" si="80"/>
        <v>71797.584300000002</v>
      </c>
      <c r="X429" s="6">
        <f t="shared" si="81"/>
        <v>789773.42729999998</v>
      </c>
      <c r="Y429" s="6">
        <f t="shared" si="82"/>
        <v>54.845376895833333</v>
      </c>
      <c r="Z429" s="6">
        <f t="shared" si="83"/>
        <v>332.39622361111111</v>
      </c>
      <c r="AA429" s="9">
        <f t="shared" si="84"/>
        <v>14400</v>
      </c>
      <c r="AB429" s="10">
        <v>5414</v>
      </c>
      <c r="AC429" s="11">
        <f t="shared" si="86"/>
        <v>296932.87051404169</v>
      </c>
      <c r="AD429" s="12">
        <f t="shared" si="85"/>
        <v>14400</v>
      </c>
      <c r="AE429" s="13">
        <f t="shared" si="77"/>
        <v>0</v>
      </c>
    </row>
    <row r="430" spans="1:31" ht="30">
      <c r="A430" s="6">
        <v>13</v>
      </c>
      <c r="B430" s="6">
        <f t="shared" si="87"/>
        <v>22</v>
      </c>
      <c r="C430" s="6" t="str">
        <f t="shared" si="78"/>
        <v>655931500AARMATURE, MONOBLOCK ASW4, HYUNDAI BC3-CUV6904080451242916</v>
      </c>
      <c r="D430" s="6" t="s">
        <v>208</v>
      </c>
      <c r="E430" s="6" t="s">
        <v>157</v>
      </c>
      <c r="F430" s="6"/>
      <c r="G430" s="7" t="s">
        <v>134</v>
      </c>
      <c r="H430" s="7"/>
      <c r="I430" s="7"/>
      <c r="J430" s="7"/>
      <c r="K430" s="7"/>
      <c r="L430" s="7">
        <v>6904080</v>
      </c>
      <c r="M430" s="22">
        <v>45124</v>
      </c>
      <c r="N430" s="8" t="s">
        <v>185</v>
      </c>
      <c r="O430" s="8"/>
      <c r="P430" s="7">
        <v>2916</v>
      </c>
      <c r="Q430" s="7">
        <v>1194082.74</v>
      </c>
      <c r="R430" s="7">
        <v>87089400</v>
      </c>
      <c r="S430" s="7">
        <v>15</v>
      </c>
      <c r="T430" s="7" t="s">
        <v>194</v>
      </c>
      <c r="U430" s="7" t="s">
        <v>178</v>
      </c>
      <c r="V430" s="6">
        <f t="shared" si="79"/>
        <v>179112.41099999999</v>
      </c>
      <c r="W430" s="6">
        <f t="shared" si="80"/>
        <v>17911.241099999999</v>
      </c>
      <c r="X430" s="6">
        <f t="shared" si="81"/>
        <v>197023.65210000001</v>
      </c>
      <c r="Y430" s="6">
        <f t="shared" si="82"/>
        <v>67.566410185185191</v>
      </c>
      <c r="Z430" s="6">
        <f t="shared" si="83"/>
        <v>409.49339506172839</v>
      </c>
      <c r="AA430" s="9">
        <f t="shared" si="84"/>
        <v>2916</v>
      </c>
      <c r="AB430" s="10">
        <v>496</v>
      </c>
      <c r="AC430" s="11">
        <f t="shared" si="86"/>
        <v>33512.939451851853</v>
      </c>
      <c r="AD430" s="12">
        <f t="shared" si="85"/>
        <v>2916</v>
      </c>
      <c r="AE430" s="13">
        <f t="shared" si="77"/>
        <v>0</v>
      </c>
    </row>
    <row r="431" spans="1:31">
      <c r="A431" s="6">
        <v>13</v>
      </c>
      <c r="B431" s="6">
        <f t="shared" si="87"/>
        <v>23</v>
      </c>
      <c r="C431" s="6" t="str">
        <f t="shared" si="78"/>
        <v>639590100BSCREW SELF TAPPING INTERNAL T15, 15.0791007444637100000</v>
      </c>
      <c r="D431" s="6" t="s">
        <v>208</v>
      </c>
      <c r="E431" s="6" t="s">
        <v>165</v>
      </c>
      <c r="F431" s="6"/>
      <c r="G431" s="7" t="s">
        <v>143</v>
      </c>
      <c r="H431" s="7"/>
      <c r="I431" s="7"/>
      <c r="J431" s="7"/>
      <c r="K431" s="7"/>
      <c r="L431" s="7">
        <v>7910074</v>
      </c>
      <c r="M431" s="22">
        <v>44637</v>
      </c>
      <c r="N431" s="8" t="s">
        <v>180</v>
      </c>
      <c r="O431" s="8"/>
      <c r="P431" s="7">
        <v>100000</v>
      </c>
      <c r="Q431" s="7">
        <v>141689.75</v>
      </c>
      <c r="R431" s="7">
        <v>87082900</v>
      </c>
      <c r="S431" s="7">
        <v>15</v>
      </c>
      <c r="T431" s="7" t="s">
        <v>291</v>
      </c>
      <c r="U431" s="7" t="s">
        <v>178</v>
      </c>
      <c r="V431" s="6">
        <f t="shared" si="79"/>
        <v>21253.462499999998</v>
      </c>
      <c r="W431" s="6">
        <f t="shared" si="80"/>
        <v>2125.3462500000001</v>
      </c>
      <c r="X431" s="6">
        <f t="shared" si="81"/>
        <v>23378.808749999997</v>
      </c>
      <c r="Y431" s="6">
        <f t="shared" si="82"/>
        <v>0.23378808749999996</v>
      </c>
      <c r="Z431" s="6">
        <f t="shared" si="83"/>
        <v>1.4168974999999999</v>
      </c>
      <c r="AA431" s="9">
        <f t="shared" si="84"/>
        <v>100000</v>
      </c>
      <c r="AB431" s="10">
        <v>44796</v>
      </c>
      <c r="AC431" s="11">
        <f t="shared" si="86"/>
        <v>10472.771167649998</v>
      </c>
      <c r="AD431" s="12">
        <f t="shared" si="85"/>
        <v>92728</v>
      </c>
      <c r="AE431" s="13">
        <f t="shared" si="77"/>
        <v>7272</v>
      </c>
    </row>
    <row r="432" spans="1:31">
      <c r="A432" s="6">
        <v>13</v>
      </c>
      <c r="B432" s="6">
        <f t="shared" si="87"/>
        <v>24</v>
      </c>
      <c r="C432" s="6" t="str">
        <f t="shared" si="78"/>
        <v>651015300BELEMENT, HEATER, HYBRID 6559903451014900</v>
      </c>
      <c r="D432" s="6" t="s">
        <v>208</v>
      </c>
      <c r="E432" s="6" t="s">
        <v>155</v>
      </c>
      <c r="F432" s="6"/>
      <c r="G432" s="7" t="s">
        <v>137</v>
      </c>
      <c r="H432" s="7"/>
      <c r="I432" s="7"/>
      <c r="J432" s="7"/>
      <c r="K432" s="7"/>
      <c r="L432" s="7">
        <v>6559903</v>
      </c>
      <c r="M432" s="22">
        <v>45101</v>
      </c>
      <c r="N432" s="8" t="s">
        <v>189</v>
      </c>
      <c r="O432" s="8"/>
      <c r="P432" s="7">
        <v>4900</v>
      </c>
      <c r="Q432" s="7">
        <v>2728062.11</v>
      </c>
      <c r="R432" s="7">
        <v>87089400</v>
      </c>
      <c r="S432" s="7">
        <v>15</v>
      </c>
      <c r="T432" s="7" t="s">
        <v>257</v>
      </c>
      <c r="U432" s="7" t="s">
        <v>178</v>
      </c>
      <c r="V432" s="6">
        <f t="shared" si="79"/>
        <v>409209.31649999996</v>
      </c>
      <c r="W432" s="6">
        <f t="shared" si="80"/>
        <v>40920.931649999999</v>
      </c>
      <c r="X432" s="6">
        <f t="shared" si="81"/>
        <v>450130.24814999994</v>
      </c>
      <c r="Y432" s="6">
        <f t="shared" si="82"/>
        <v>91.863315948979576</v>
      </c>
      <c r="Z432" s="6">
        <f t="shared" si="83"/>
        <v>556.74736938775504</v>
      </c>
      <c r="AA432" s="9">
        <f t="shared" si="84"/>
        <v>4900</v>
      </c>
      <c r="AB432" s="10">
        <v>910</v>
      </c>
      <c r="AC432" s="11">
        <f t="shared" si="86"/>
        <v>83595.617513571415</v>
      </c>
      <c r="AD432" s="12">
        <f t="shared" si="85"/>
        <v>4900</v>
      </c>
      <c r="AE432" s="13">
        <f t="shared" si="77"/>
        <v>0</v>
      </c>
    </row>
    <row r="433" spans="1:31">
      <c r="A433" s="6">
        <v>13</v>
      </c>
      <c r="B433" s="6">
        <f t="shared" si="87"/>
        <v>25</v>
      </c>
      <c r="C433" s="6" t="str">
        <f t="shared" si="78"/>
        <v>655931500AARMATURE, MONOBLOCK ASW4, HYUNDAI BC3-CUV7340844451522430</v>
      </c>
      <c r="D433" s="6" t="s">
        <v>208</v>
      </c>
      <c r="E433" s="6" t="s">
        <v>157</v>
      </c>
      <c r="F433" s="6"/>
      <c r="G433" s="7" t="s">
        <v>134</v>
      </c>
      <c r="H433" s="7"/>
      <c r="I433" s="7"/>
      <c r="J433" s="7"/>
      <c r="K433" s="7"/>
      <c r="L433" s="7">
        <v>7340844</v>
      </c>
      <c r="M433" s="22">
        <v>45152</v>
      </c>
      <c r="N433" s="8" t="s">
        <v>184</v>
      </c>
      <c r="O433" s="8"/>
      <c r="P433" s="7">
        <v>2430</v>
      </c>
      <c r="Q433" s="7">
        <v>1021929.14</v>
      </c>
      <c r="R433" s="7">
        <v>87089400</v>
      </c>
      <c r="S433" s="7">
        <v>15</v>
      </c>
      <c r="T433" s="7" t="s">
        <v>186</v>
      </c>
      <c r="U433" s="7" t="s">
        <v>178</v>
      </c>
      <c r="V433" s="6">
        <f t="shared" si="79"/>
        <v>153289.37099999998</v>
      </c>
      <c r="W433" s="6">
        <f t="shared" si="80"/>
        <v>15328.937099999999</v>
      </c>
      <c r="X433" s="6">
        <f t="shared" si="81"/>
        <v>168618.30809999999</v>
      </c>
      <c r="Y433" s="6">
        <f t="shared" si="82"/>
        <v>69.390250246913581</v>
      </c>
      <c r="Z433" s="6">
        <f t="shared" si="83"/>
        <v>420.54697119341563</v>
      </c>
      <c r="AA433" s="9">
        <f t="shared" si="84"/>
        <v>2430</v>
      </c>
      <c r="AB433" s="10">
        <v>2430</v>
      </c>
      <c r="AC433" s="11">
        <f t="shared" si="86"/>
        <v>168618.30809999999</v>
      </c>
      <c r="AD433" s="12">
        <f t="shared" si="85"/>
        <v>2430</v>
      </c>
      <c r="AE433" s="13">
        <f t="shared" si="77"/>
        <v>0</v>
      </c>
    </row>
    <row r="434" spans="1:31">
      <c r="A434" s="6">
        <v>13</v>
      </c>
      <c r="B434" s="6">
        <f t="shared" si="87"/>
        <v>26</v>
      </c>
      <c r="C434" s="6" t="str">
        <f t="shared" si="78"/>
        <v>655931500AARMATURE, MONOBLOCK ASW4, HYUNDAI BC3-CUV7340713451521944</v>
      </c>
      <c r="D434" s="6" t="s">
        <v>208</v>
      </c>
      <c r="E434" s="6" t="s">
        <v>157</v>
      </c>
      <c r="F434" s="6"/>
      <c r="G434" s="7" t="s">
        <v>134</v>
      </c>
      <c r="H434" s="7"/>
      <c r="I434" s="7"/>
      <c r="J434" s="7"/>
      <c r="K434" s="7"/>
      <c r="L434" s="7">
        <v>7340713</v>
      </c>
      <c r="M434" s="22">
        <v>45152</v>
      </c>
      <c r="N434" s="8" t="s">
        <v>184</v>
      </c>
      <c r="O434" s="8"/>
      <c r="P434" s="7">
        <v>1944</v>
      </c>
      <c r="Q434" s="7">
        <v>817695.1</v>
      </c>
      <c r="R434" s="7">
        <v>87089400</v>
      </c>
      <c r="S434" s="7">
        <v>15</v>
      </c>
      <c r="T434" s="7" t="s">
        <v>186</v>
      </c>
      <c r="U434" s="7" t="s">
        <v>178</v>
      </c>
      <c r="V434" s="6">
        <f t="shared" si="79"/>
        <v>122654.26499999998</v>
      </c>
      <c r="W434" s="6">
        <f t="shared" si="80"/>
        <v>12265.4265</v>
      </c>
      <c r="X434" s="6">
        <f t="shared" si="81"/>
        <v>134919.69149999999</v>
      </c>
      <c r="Y434" s="6">
        <f t="shared" si="82"/>
        <v>69.403133487654316</v>
      </c>
      <c r="Z434" s="6">
        <f t="shared" si="83"/>
        <v>420.62505144032923</v>
      </c>
      <c r="AA434" s="9">
        <f t="shared" si="84"/>
        <v>1944</v>
      </c>
      <c r="AB434" s="10">
        <v>1944</v>
      </c>
      <c r="AC434" s="11">
        <f t="shared" si="86"/>
        <v>134919.69149999999</v>
      </c>
      <c r="AD434" s="12">
        <f t="shared" si="85"/>
        <v>1944</v>
      </c>
      <c r="AE434" s="13">
        <f t="shared" si="77"/>
        <v>0</v>
      </c>
    </row>
    <row r="435" spans="1:31" ht="30">
      <c r="A435" s="6">
        <v>13</v>
      </c>
      <c r="B435" s="6">
        <f t="shared" si="87"/>
        <v>27</v>
      </c>
      <c r="C435" s="6" t="str">
        <f t="shared" si="78"/>
        <v>655931500AARMATURE, MONOBLOCK ASW4, HYUNDAI BC3-CUV7445024451595832</v>
      </c>
      <c r="D435" s="6" t="s">
        <v>208</v>
      </c>
      <c r="E435" s="6" t="s">
        <v>157</v>
      </c>
      <c r="F435" s="6"/>
      <c r="G435" s="7" t="s">
        <v>134</v>
      </c>
      <c r="H435" s="7"/>
      <c r="I435" s="7"/>
      <c r="J435" s="7"/>
      <c r="K435" s="7"/>
      <c r="L435" s="7">
        <v>7445024</v>
      </c>
      <c r="M435" s="22">
        <v>45159</v>
      </c>
      <c r="N435" s="8" t="s">
        <v>185</v>
      </c>
      <c r="O435" s="8"/>
      <c r="P435" s="7">
        <v>5832</v>
      </c>
      <c r="Q435" s="7">
        <v>2402740.63</v>
      </c>
      <c r="R435" s="7">
        <v>87089400</v>
      </c>
      <c r="S435" s="7">
        <v>15</v>
      </c>
      <c r="T435" s="7" t="s">
        <v>194</v>
      </c>
      <c r="U435" s="7" t="s">
        <v>178</v>
      </c>
      <c r="V435" s="6">
        <f t="shared" si="79"/>
        <v>360411.09449999995</v>
      </c>
      <c r="W435" s="6">
        <f t="shared" si="80"/>
        <v>36041.109449999996</v>
      </c>
      <c r="X435" s="6">
        <f t="shared" si="81"/>
        <v>396452.20394999994</v>
      </c>
      <c r="Y435" s="6">
        <f t="shared" si="82"/>
        <v>67.978772968106981</v>
      </c>
      <c r="Z435" s="6">
        <f t="shared" si="83"/>
        <v>411.9925634430727</v>
      </c>
      <c r="AA435" s="9">
        <f t="shared" si="84"/>
        <v>5832</v>
      </c>
      <c r="AB435" s="10">
        <v>1350</v>
      </c>
      <c r="AC435" s="11">
        <f t="shared" si="86"/>
        <v>91771.343506944424</v>
      </c>
      <c r="AD435" s="12">
        <f t="shared" si="85"/>
        <v>5832</v>
      </c>
      <c r="AE435" s="13">
        <f t="shared" si="77"/>
        <v>0</v>
      </c>
    </row>
    <row r="436" spans="1:31">
      <c r="A436" s="6">
        <v>13</v>
      </c>
      <c r="B436" s="6">
        <f t="shared" si="87"/>
        <v>28</v>
      </c>
      <c r="C436" s="6" t="str">
        <f t="shared" si="78"/>
        <v>651015100AARMATURE, MONOBLOCK, ASW4, HYUNDAI BC33353058448834860</v>
      </c>
      <c r="D436" s="6" t="s">
        <v>208</v>
      </c>
      <c r="E436" s="6" t="s">
        <v>158</v>
      </c>
      <c r="F436" s="6"/>
      <c r="G436" s="7" t="s">
        <v>135</v>
      </c>
      <c r="H436" s="7"/>
      <c r="I436" s="7"/>
      <c r="J436" s="7"/>
      <c r="K436" s="7"/>
      <c r="L436" s="7">
        <v>3353058</v>
      </c>
      <c r="M436" s="22">
        <v>44883</v>
      </c>
      <c r="N436" s="8" t="s">
        <v>184</v>
      </c>
      <c r="O436" s="8"/>
      <c r="P436" s="7">
        <v>4860</v>
      </c>
      <c r="Q436" s="7">
        <v>2360668.77</v>
      </c>
      <c r="R436" s="7">
        <v>87089400</v>
      </c>
      <c r="S436" s="7">
        <v>15</v>
      </c>
      <c r="T436" s="7" t="s">
        <v>186</v>
      </c>
      <c r="U436" s="7" t="s">
        <v>178</v>
      </c>
      <c r="V436" s="6">
        <f t="shared" si="79"/>
        <v>354100.31549999997</v>
      </c>
      <c r="W436" s="6">
        <f t="shared" si="80"/>
        <v>35410.03155</v>
      </c>
      <c r="X436" s="6">
        <f t="shared" si="81"/>
        <v>389510.34704999998</v>
      </c>
      <c r="Y436" s="6">
        <f t="shared" si="82"/>
        <v>80.146161944444444</v>
      </c>
      <c r="Z436" s="6">
        <f t="shared" si="83"/>
        <v>485.73431481481481</v>
      </c>
      <c r="AA436" s="9">
        <f t="shared" si="84"/>
        <v>4860</v>
      </c>
      <c r="AB436" s="10">
        <v>511</v>
      </c>
      <c r="AC436" s="11">
        <f t="shared" si="86"/>
        <v>40954.68875361111</v>
      </c>
      <c r="AD436" s="12">
        <f t="shared" si="85"/>
        <v>4814</v>
      </c>
      <c r="AE436" s="13">
        <f t="shared" si="77"/>
        <v>46</v>
      </c>
    </row>
    <row r="437" spans="1:31">
      <c r="A437" s="6">
        <v>13</v>
      </c>
      <c r="B437" s="6">
        <f t="shared" si="87"/>
        <v>29</v>
      </c>
      <c r="C437" s="6" t="str">
        <f t="shared" si="78"/>
        <v>644345600ASCREW, SELF-TAPPING, PLA PLASTIC, 3.0, CROSS467246744973120000</v>
      </c>
      <c r="D437" s="6" t="s">
        <v>208</v>
      </c>
      <c r="E437" s="6" t="s">
        <v>166</v>
      </c>
      <c r="F437" s="6"/>
      <c r="G437" s="7" t="s">
        <v>144</v>
      </c>
      <c r="H437" s="7"/>
      <c r="I437" s="7"/>
      <c r="J437" s="7"/>
      <c r="K437" s="7"/>
      <c r="L437" s="7">
        <v>4672467</v>
      </c>
      <c r="M437" s="22">
        <v>44973</v>
      </c>
      <c r="N437" s="8" t="s">
        <v>182</v>
      </c>
      <c r="O437" s="8"/>
      <c r="P437" s="7">
        <v>120000</v>
      </c>
      <c r="Q437" s="7">
        <v>96772.74</v>
      </c>
      <c r="R437" s="7">
        <v>87089500</v>
      </c>
      <c r="S437" s="7">
        <v>15</v>
      </c>
      <c r="T437" s="7" t="s">
        <v>183</v>
      </c>
      <c r="U437" s="7" t="s">
        <v>178</v>
      </c>
      <c r="V437" s="6">
        <f t="shared" si="79"/>
        <v>14515.911</v>
      </c>
      <c r="W437" s="6">
        <f t="shared" si="80"/>
        <v>1451.5911000000001</v>
      </c>
      <c r="X437" s="6">
        <f t="shared" si="81"/>
        <v>15967.5021</v>
      </c>
      <c r="Y437" s="6">
        <f t="shared" si="82"/>
        <v>0.1330625175</v>
      </c>
      <c r="Z437" s="6">
        <f t="shared" si="83"/>
        <v>0.80643950000000009</v>
      </c>
      <c r="AA437" s="9">
        <f t="shared" si="84"/>
        <v>120000</v>
      </c>
      <c r="AB437" s="10">
        <v>1466</v>
      </c>
      <c r="AC437" s="11">
        <f t="shared" si="86"/>
        <v>195.069650655</v>
      </c>
      <c r="AD437" s="12">
        <f t="shared" si="85"/>
        <v>117964</v>
      </c>
      <c r="AE437" s="13">
        <f t="shared" si="77"/>
        <v>2036</v>
      </c>
    </row>
    <row r="438" spans="1:31">
      <c r="A438" s="6">
        <v>13</v>
      </c>
      <c r="B438" s="6">
        <f t="shared" si="87"/>
        <v>30</v>
      </c>
      <c r="C438" s="6" t="str">
        <f t="shared" si="78"/>
        <v>628408700ASCREW, STANDARD, METRIC, M5, HEXALOBULAR INTERNAL74554464515925000</v>
      </c>
      <c r="D438" s="6" t="s">
        <v>208</v>
      </c>
      <c r="E438" s="6" t="s">
        <v>167</v>
      </c>
      <c r="F438" s="6"/>
      <c r="G438" s="7" t="s">
        <v>145</v>
      </c>
      <c r="H438" s="7"/>
      <c r="I438" s="7"/>
      <c r="J438" s="7"/>
      <c r="K438" s="7"/>
      <c r="L438" s="7">
        <v>7455446</v>
      </c>
      <c r="M438" s="22">
        <v>45159</v>
      </c>
      <c r="N438" s="8" t="s">
        <v>180</v>
      </c>
      <c r="O438" s="8"/>
      <c r="P438" s="7">
        <v>25000</v>
      </c>
      <c r="Q438" s="7">
        <v>130897.09</v>
      </c>
      <c r="R438" s="7">
        <v>87089400</v>
      </c>
      <c r="S438" s="7">
        <v>15</v>
      </c>
      <c r="T438" s="7" t="s">
        <v>181</v>
      </c>
      <c r="U438" s="7" t="s">
        <v>178</v>
      </c>
      <c r="V438" s="6">
        <f t="shared" si="79"/>
        <v>19634.5635</v>
      </c>
      <c r="W438" s="6">
        <f t="shared" si="80"/>
        <v>1963.4563500000002</v>
      </c>
      <c r="X438" s="6">
        <f t="shared" si="81"/>
        <v>21598.019850000001</v>
      </c>
      <c r="Y438" s="6">
        <f t="shared" si="82"/>
        <v>0.86392079399999999</v>
      </c>
      <c r="Z438" s="6">
        <f t="shared" si="83"/>
        <v>5.2358836000000002</v>
      </c>
      <c r="AA438" s="9">
        <f t="shared" si="84"/>
        <v>25000</v>
      </c>
      <c r="AB438" s="10">
        <v>11243</v>
      </c>
      <c r="AC438" s="11">
        <f t="shared" si="86"/>
        <v>9713.0614869420006</v>
      </c>
      <c r="AD438" s="12">
        <f t="shared" si="85"/>
        <v>25000</v>
      </c>
      <c r="AE438" s="13">
        <f t="shared" si="77"/>
        <v>0</v>
      </c>
    </row>
    <row r="439" spans="1:31">
      <c r="A439" s="6">
        <v>13</v>
      </c>
      <c r="B439" s="6">
        <f t="shared" si="87"/>
        <v>31</v>
      </c>
      <c r="C439" s="6" t="str">
        <f t="shared" si="78"/>
        <v>651409900ASCREW, STD METRIC M6 HEXALOBULAR INTERNAL, T466871234511030000</v>
      </c>
      <c r="D439" s="6" t="s">
        <v>208</v>
      </c>
      <c r="E439" s="6" t="s">
        <v>168</v>
      </c>
      <c r="F439" s="6"/>
      <c r="G439" s="7" t="s">
        <v>146</v>
      </c>
      <c r="H439" s="7"/>
      <c r="I439" s="7"/>
      <c r="J439" s="7"/>
      <c r="K439" s="7"/>
      <c r="L439" s="7">
        <v>6687123</v>
      </c>
      <c r="M439" s="22">
        <v>45110</v>
      </c>
      <c r="N439" s="8" t="s">
        <v>189</v>
      </c>
      <c r="O439" s="8"/>
      <c r="P439" s="7">
        <v>30000</v>
      </c>
      <c r="Q439" s="7">
        <v>98880.95</v>
      </c>
      <c r="R439" s="7">
        <v>87089500</v>
      </c>
      <c r="S439" s="7">
        <v>15</v>
      </c>
      <c r="T439" s="7" t="s">
        <v>183</v>
      </c>
      <c r="U439" s="7" t="s">
        <v>178</v>
      </c>
      <c r="V439" s="6">
        <f t="shared" si="79"/>
        <v>14832.142499999998</v>
      </c>
      <c r="W439" s="6">
        <f t="shared" si="80"/>
        <v>1483.21425</v>
      </c>
      <c r="X439" s="6">
        <f t="shared" si="81"/>
        <v>16315.356749999999</v>
      </c>
      <c r="Y439" s="6">
        <f t="shared" si="82"/>
        <v>0.54384522499999999</v>
      </c>
      <c r="Z439" s="6">
        <f t="shared" si="83"/>
        <v>3.2960316666666665</v>
      </c>
      <c r="AA439" s="9">
        <f t="shared" si="84"/>
        <v>30000</v>
      </c>
      <c r="AB439" s="10">
        <v>13744</v>
      </c>
      <c r="AC439" s="11">
        <f t="shared" si="86"/>
        <v>7474.6087723999999</v>
      </c>
      <c r="AD439" s="12">
        <f t="shared" si="85"/>
        <v>30000</v>
      </c>
      <c r="AE439" s="13">
        <f t="shared" si="77"/>
        <v>0</v>
      </c>
    </row>
    <row r="440" spans="1:31">
      <c r="A440" s="6">
        <v>13</v>
      </c>
      <c r="B440" s="6">
        <f t="shared" si="87"/>
        <v>32</v>
      </c>
      <c r="C440" s="6" t="str">
        <f t="shared" si="78"/>
        <v>610952600ATHREAD, STEERING WHEEL, LOOPING LEATHER, BLACK 5109574512636000</v>
      </c>
      <c r="D440" s="6" t="s">
        <v>208</v>
      </c>
      <c r="E440" s="6" t="s">
        <v>171</v>
      </c>
      <c r="F440" s="6"/>
      <c r="G440" s="7" t="s">
        <v>149</v>
      </c>
      <c r="H440" s="7"/>
      <c r="I440" s="7"/>
      <c r="J440" s="7"/>
      <c r="K440" s="7"/>
      <c r="L440" s="7">
        <v>10957</v>
      </c>
      <c r="M440" s="22">
        <v>45126</v>
      </c>
      <c r="N440" s="8" t="e">
        <v>#N/A</v>
      </c>
      <c r="O440" s="8"/>
      <c r="P440" s="7">
        <v>36000</v>
      </c>
      <c r="Q440" s="7">
        <v>97898.333333333343</v>
      </c>
      <c r="R440" s="7" t="e">
        <v>#N/A</v>
      </c>
      <c r="S440" s="7">
        <v>15</v>
      </c>
      <c r="T440" s="7" t="e">
        <v>#N/A</v>
      </c>
      <c r="U440" s="7" t="e">
        <v>#N/A</v>
      </c>
      <c r="V440" s="6">
        <f t="shared" si="79"/>
        <v>14684.750000000002</v>
      </c>
      <c r="W440" s="6">
        <f t="shared" si="80"/>
        <v>1468.4750000000004</v>
      </c>
      <c r="X440" s="6">
        <f t="shared" si="81"/>
        <v>16153.225000000002</v>
      </c>
      <c r="Y440" s="6">
        <f t="shared" si="82"/>
        <v>0.44870069444444449</v>
      </c>
      <c r="Z440" s="6">
        <f t="shared" si="83"/>
        <v>2.7193981481481484</v>
      </c>
      <c r="AA440" s="9">
        <f t="shared" si="84"/>
        <v>36000</v>
      </c>
      <c r="AB440" s="10">
        <v>2244</v>
      </c>
      <c r="AC440" s="11">
        <f t="shared" si="86"/>
        <v>1006.8843583333335</v>
      </c>
      <c r="AD440" s="12">
        <f t="shared" si="85"/>
        <v>24758</v>
      </c>
      <c r="AE440" s="13">
        <f t="shared" ref="AE440:AE503" si="88">AA440-AD440</f>
        <v>11242</v>
      </c>
    </row>
    <row r="441" spans="1:31">
      <c r="A441" s="6">
        <v>13</v>
      </c>
      <c r="B441" s="6">
        <f t="shared" si="87"/>
        <v>33</v>
      </c>
      <c r="C441" s="6" t="str">
        <f t="shared" si="78"/>
        <v>654331700ATHREAD, STITCHING, 1500 BEIGE, M20, PET, T-135 U148354497527000</v>
      </c>
      <c r="D441" s="6" t="s">
        <v>208</v>
      </c>
      <c r="E441" s="6" t="s">
        <v>172</v>
      </c>
      <c r="F441" s="6"/>
      <c r="G441" s="7" t="s">
        <v>150</v>
      </c>
      <c r="H441" s="7"/>
      <c r="I441" s="7"/>
      <c r="J441" s="7"/>
      <c r="K441" s="7"/>
      <c r="L441" s="7">
        <v>14835</v>
      </c>
      <c r="M441" s="22">
        <v>44975</v>
      </c>
      <c r="N441" s="8" t="e">
        <v>#N/A</v>
      </c>
      <c r="O441" s="8"/>
      <c r="P441" s="7">
        <v>27000</v>
      </c>
      <c r="Q441" s="7">
        <v>22860</v>
      </c>
      <c r="R441" s="7" t="e">
        <v>#N/A</v>
      </c>
      <c r="S441" s="7">
        <v>5</v>
      </c>
      <c r="T441" s="7" t="e">
        <v>#N/A</v>
      </c>
      <c r="U441" s="7" t="e">
        <v>#N/A</v>
      </c>
      <c r="V441" s="6">
        <f t="shared" si="79"/>
        <v>1143</v>
      </c>
      <c r="W441" s="6">
        <f t="shared" si="80"/>
        <v>114.30000000000001</v>
      </c>
      <c r="X441" s="6">
        <f t="shared" si="81"/>
        <v>1257.3</v>
      </c>
      <c r="Y441" s="6">
        <f t="shared" si="82"/>
        <v>4.6566666666666666E-2</v>
      </c>
      <c r="Z441" s="6">
        <f t="shared" si="83"/>
        <v>0.84666666666666668</v>
      </c>
      <c r="AA441" s="9">
        <f t="shared" si="84"/>
        <v>27000</v>
      </c>
      <c r="AB441" s="10">
        <v>8361</v>
      </c>
      <c r="AC441" s="11">
        <f t="shared" si="86"/>
        <v>389.34390000000002</v>
      </c>
      <c r="AD441" s="12">
        <f t="shared" si="85"/>
        <v>8361</v>
      </c>
      <c r="AE441" s="13">
        <f t="shared" si="88"/>
        <v>18639</v>
      </c>
    </row>
    <row r="442" spans="1:31">
      <c r="A442" s="6">
        <v>14</v>
      </c>
      <c r="B442" s="6">
        <v>1</v>
      </c>
      <c r="C442" s="6" t="str">
        <f t="shared" si="78"/>
        <v>630580800ALABEL, RAW MATERIAL, BLA K12 TPC BUCKLE5160585449362400000</v>
      </c>
      <c r="D442" s="6" t="s">
        <v>209</v>
      </c>
      <c r="E442" s="6" t="s">
        <v>71</v>
      </c>
      <c r="F442" s="6"/>
      <c r="G442" s="7" t="s">
        <v>31</v>
      </c>
      <c r="H442" s="7"/>
      <c r="I442" s="7"/>
      <c r="J442" s="7"/>
      <c r="K442" s="7"/>
      <c r="L442" s="7">
        <v>5160585</v>
      </c>
      <c r="M442" s="22">
        <v>44936</v>
      </c>
      <c r="N442" s="8" t="s">
        <v>196</v>
      </c>
      <c r="O442" s="8" t="s">
        <v>333</v>
      </c>
      <c r="P442" s="7">
        <v>2400000</v>
      </c>
      <c r="Q442" s="7">
        <v>86522.34</v>
      </c>
      <c r="R442" s="7">
        <v>87082900</v>
      </c>
      <c r="S442" s="7">
        <v>15</v>
      </c>
      <c r="T442" s="7" t="s">
        <v>265</v>
      </c>
      <c r="U442" s="7" t="s">
        <v>178</v>
      </c>
      <c r="V442" s="6">
        <f t="shared" si="79"/>
        <v>12978.350999999999</v>
      </c>
      <c r="W442" s="6">
        <f t="shared" si="80"/>
        <v>1297.8351</v>
      </c>
      <c r="X442" s="6">
        <f t="shared" si="81"/>
        <v>14276.186099999999</v>
      </c>
      <c r="Y442" s="6">
        <f t="shared" si="82"/>
        <v>5.9484108749999999E-3</v>
      </c>
      <c r="Z442" s="6">
        <f t="shared" si="83"/>
        <v>3.6050974999999999E-2</v>
      </c>
      <c r="AA442" s="9">
        <f t="shared" si="84"/>
        <v>2400000</v>
      </c>
      <c r="AB442" s="10">
        <v>6144</v>
      </c>
      <c r="AC442" s="11">
        <f t="shared" si="86"/>
        <v>36.547036415999997</v>
      </c>
      <c r="AD442" s="12">
        <f t="shared" si="85"/>
        <v>548546</v>
      </c>
      <c r="AE442" s="13">
        <f t="shared" si="88"/>
        <v>1851454</v>
      </c>
    </row>
    <row r="443" spans="1:31">
      <c r="A443" s="6">
        <v>14</v>
      </c>
      <c r="B443" s="6">
        <f t="shared" ref="B443:B463" si="89">B442+1</f>
        <v>2</v>
      </c>
      <c r="C443" s="6" t="str">
        <f t="shared" si="78"/>
        <v>634240200AHORN CONTACT, CU 521662145010720000</v>
      </c>
      <c r="D443" s="6" t="s">
        <v>209</v>
      </c>
      <c r="E443" s="6" t="s">
        <v>160</v>
      </c>
      <c r="F443" s="6"/>
      <c r="G443" s="7" t="s">
        <v>138</v>
      </c>
      <c r="H443" s="7"/>
      <c r="I443" s="7"/>
      <c r="J443" s="7"/>
      <c r="K443" s="7"/>
      <c r="L443" s="7">
        <v>5216621</v>
      </c>
      <c r="M443" s="22">
        <v>45010</v>
      </c>
      <c r="N443" s="8" t="s">
        <v>189</v>
      </c>
      <c r="O443" s="8"/>
      <c r="P443" s="7">
        <v>720000</v>
      </c>
      <c r="Q443" s="7">
        <v>803516.76</v>
      </c>
      <c r="R443" s="7">
        <v>87089900</v>
      </c>
      <c r="S443" s="7">
        <v>15</v>
      </c>
      <c r="T443" s="7" t="s">
        <v>258</v>
      </c>
      <c r="U443" s="7" t="s">
        <v>178</v>
      </c>
      <c r="V443" s="6">
        <f t="shared" si="79"/>
        <v>120527.514</v>
      </c>
      <c r="W443" s="6">
        <f t="shared" si="80"/>
        <v>12052.751400000001</v>
      </c>
      <c r="X443" s="6">
        <f t="shared" si="81"/>
        <v>132580.2654</v>
      </c>
      <c r="Y443" s="6">
        <f t="shared" si="82"/>
        <v>0.18413925750000001</v>
      </c>
      <c r="Z443" s="6">
        <f t="shared" si="83"/>
        <v>1.1159954999999999</v>
      </c>
      <c r="AA443" s="9">
        <f t="shared" si="84"/>
        <v>720000</v>
      </c>
      <c r="AB443" s="10">
        <v>24576</v>
      </c>
      <c r="AC443" s="11">
        <f t="shared" si="86"/>
        <v>4525.4063923200001</v>
      </c>
      <c r="AD443" s="12">
        <f t="shared" si="85"/>
        <v>707364</v>
      </c>
      <c r="AE443" s="13">
        <f t="shared" si="88"/>
        <v>12636</v>
      </c>
    </row>
    <row r="444" spans="1:31">
      <c r="A444" s="6">
        <v>14</v>
      </c>
      <c r="B444" s="6">
        <f t="shared" si="89"/>
        <v>3</v>
      </c>
      <c r="C444" s="6" t="str">
        <f t="shared" si="78"/>
        <v>651015100AARMATURE, MONOBLOCK, ASW4, HYUNDAI BC33353058448834860</v>
      </c>
      <c r="D444" s="6" t="s">
        <v>209</v>
      </c>
      <c r="E444" s="6" t="s">
        <v>158</v>
      </c>
      <c r="F444" s="6"/>
      <c r="G444" s="7" t="s">
        <v>135</v>
      </c>
      <c r="H444" s="7"/>
      <c r="I444" s="7"/>
      <c r="J444" s="7"/>
      <c r="K444" s="7"/>
      <c r="L444" s="7">
        <v>3353058</v>
      </c>
      <c r="M444" s="22">
        <v>44883</v>
      </c>
      <c r="N444" s="8" t="s">
        <v>184</v>
      </c>
      <c r="O444" s="8"/>
      <c r="P444" s="7">
        <v>4860</v>
      </c>
      <c r="Q444" s="7">
        <v>2360668.77</v>
      </c>
      <c r="R444" s="7">
        <v>87089400</v>
      </c>
      <c r="S444" s="7">
        <v>15</v>
      </c>
      <c r="T444" s="7" t="s">
        <v>186</v>
      </c>
      <c r="U444" s="7" t="s">
        <v>178</v>
      </c>
      <c r="V444" s="6">
        <f t="shared" si="79"/>
        <v>354100.31549999997</v>
      </c>
      <c r="W444" s="6">
        <f t="shared" si="80"/>
        <v>35410.03155</v>
      </c>
      <c r="X444" s="6">
        <f t="shared" si="81"/>
        <v>389510.34704999998</v>
      </c>
      <c r="Y444" s="6">
        <f t="shared" si="82"/>
        <v>80.146161944444444</v>
      </c>
      <c r="Z444" s="6">
        <f t="shared" si="83"/>
        <v>485.73431481481481</v>
      </c>
      <c r="AA444" s="9">
        <f t="shared" si="84"/>
        <v>4860</v>
      </c>
      <c r="AB444" s="10">
        <v>1042</v>
      </c>
      <c r="AC444" s="11">
        <f t="shared" si="86"/>
        <v>83512.300746111112</v>
      </c>
      <c r="AD444" s="12">
        <f t="shared" si="85"/>
        <v>4814</v>
      </c>
      <c r="AE444" s="13">
        <f t="shared" si="88"/>
        <v>46</v>
      </c>
    </row>
    <row r="445" spans="1:31">
      <c r="A445" s="6">
        <v>14</v>
      </c>
      <c r="B445" s="6">
        <f t="shared" si="89"/>
        <v>4</v>
      </c>
      <c r="C445" s="6" t="str">
        <f t="shared" si="78"/>
        <v>652466500ALEATHER, HIDE TOP GRAIN, OBSIDIAN BLACK, NNB, BLA9646611447633220.2</v>
      </c>
      <c r="D445" s="6" t="s">
        <v>209</v>
      </c>
      <c r="E445" s="6" t="s">
        <v>163</v>
      </c>
      <c r="F445" s="6"/>
      <c r="G445" s="7" t="s">
        <v>141</v>
      </c>
      <c r="H445" s="7"/>
      <c r="I445" s="7"/>
      <c r="J445" s="7"/>
      <c r="K445" s="7"/>
      <c r="L445" s="7">
        <v>9646611</v>
      </c>
      <c r="M445" s="22">
        <v>44763</v>
      </c>
      <c r="N445" s="8" t="s">
        <v>283</v>
      </c>
      <c r="O445" s="8"/>
      <c r="P445" s="7">
        <v>3220.2</v>
      </c>
      <c r="Q445" s="7">
        <v>8262099.9900000002</v>
      </c>
      <c r="R445" s="7">
        <v>41071200</v>
      </c>
      <c r="S445" s="7">
        <v>10</v>
      </c>
      <c r="T445" s="7" t="s">
        <v>261</v>
      </c>
      <c r="U445" s="7" t="s">
        <v>178</v>
      </c>
      <c r="V445" s="6">
        <f t="shared" si="79"/>
        <v>826209.99900000007</v>
      </c>
      <c r="W445" s="6">
        <f t="shared" si="80"/>
        <v>82620.99990000001</v>
      </c>
      <c r="X445" s="6">
        <f t="shared" si="81"/>
        <v>908830.99890000012</v>
      </c>
      <c r="Y445" s="6">
        <f t="shared" si="82"/>
        <v>282.22812213527118</v>
      </c>
      <c r="Z445" s="6">
        <f t="shared" si="83"/>
        <v>2565.7102012297373</v>
      </c>
      <c r="AA445" s="9">
        <f t="shared" si="84"/>
        <v>3220.2</v>
      </c>
      <c r="AB445" s="10">
        <v>1237.0363019999998</v>
      </c>
      <c r="AC445" s="11">
        <f t="shared" si="86"/>
        <v>349126.4325266201</v>
      </c>
      <c r="AD445" s="12">
        <f t="shared" si="85"/>
        <v>3219.7238479999996</v>
      </c>
      <c r="AE445" s="13">
        <f t="shared" si="88"/>
        <v>0.47615200000018376</v>
      </c>
    </row>
    <row r="446" spans="1:31">
      <c r="A446" s="6">
        <v>14</v>
      </c>
      <c r="B446" s="6">
        <f t="shared" si="89"/>
        <v>5</v>
      </c>
      <c r="C446" s="6" t="str">
        <f t="shared" si="78"/>
        <v>644345600ASCREW, SELF-TAPPING, PLA PLASTIC, 3.0, CROSS39402614492360000</v>
      </c>
      <c r="D446" s="6" t="s">
        <v>209</v>
      </c>
      <c r="E446" s="6" t="s">
        <v>166</v>
      </c>
      <c r="F446" s="6"/>
      <c r="G446" s="7" t="s">
        <v>144</v>
      </c>
      <c r="H446" s="7"/>
      <c r="I446" s="7"/>
      <c r="J446" s="7"/>
      <c r="K446" s="7"/>
      <c r="L446" s="7">
        <v>3940261</v>
      </c>
      <c r="M446" s="22">
        <v>44923</v>
      </c>
      <c r="N446" s="8" t="s">
        <v>189</v>
      </c>
      <c r="O446" s="8"/>
      <c r="P446" s="7">
        <v>60000</v>
      </c>
      <c r="Q446" s="7">
        <v>46616.75</v>
      </c>
      <c r="R446" s="7">
        <v>87089500</v>
      </c>
      <c r="S446" s="7">
        <v>15</v>
      </c>
      <c r="T446" s="7" t="s">
        <v>183</v>
      </c>
      <c r="U446" s="7" t="s">
        <v>178</v>
      </c>
      <c r="V446" s="6">
        <f t="shared" si="79"/>
        <v>6992.5124999999998</v>
      </c>
      <c r="W446" s="6">
        <f t="shared" si="80"/>
        <v>699.25125000000003</v>
      </c>
      <c r="X446" s="6">
        <f t="shared" si="81"/>
        <v>7691.7637500000001</v>
      </c>
      <c r="Y446" s="6">
        <f t="shared" si="82"/>
        <v>0.12819606250000001</v>
      </c>
      <c r="Z446" s="6">
        <f t="shared" si="83"/>
        <v>0.77694583333333334</v>
      </c>
      <c r="AA446" s="9">
        <f t="shared" si="84"/>
        <v>60000</v>
      </c>
      <c r="AB446" s="10">
        <v>12288</v>
      </c>
      <c r="AC446" s="11">
        <f t="shared" si="86"/>
        <v>1575.273216</v>
      </c>
      <c r="AD446" s="12">
        <f t="shared" si="85"/>
        <v>60000</v>
      </c>
      <c r="AE446" s="13">
        <f t="shared" si="88"/>
        <v>0</v>
      </c>
    </row>
    <row r="447" spans="1:31">
      <c r="A447" s="6">
        <v>14</v>
      </c>
      <c r="B447" s="6">
        <f t="shared" si="89"/>
        <v>6</v>
      </c>
      <c r="C447" s="6" t="str">
        <f t="shared" si="78"/>
        <v>654331700ATHREAD, STITCHING, 1500 BEIGE, M20, PET, T-135 U108984500554000</v>
      </c>
      <c r="D447" s="6" t="s">
        <v>209</v>
      </c>
      <c r="E447" s="6" t="s">
        <v>172</v>
      </c>
      <c r="F447" s="6"/>
      <c r="G447" s="7" t="s">
        <v>150</v>
      </c>
      <c r="H447" s="7"/>
      <c r="I447" s="7"/>
      <c r="J447" s="7"/>
      <c r="K447" s="7"/>
      <c r="L447" s="7">
        <v>10898</v>
      </c>
      <c r="M447" s="22">
        <v>45005</v>
      </c>
      <c r="N447" s="8" t="e">
        <v>#N/A</v>
      </c>
      <c r="O447" s="8"/>
      <c r="P447" s="7">
        <v>54000</v>
      </c>
      <c r="Q447" s="7">
        <v>30846.666666666668</v>
      </c>
      <c r="R447" s="7" t="e">
        <v>#N/A</v>
      </c>
      <c r="S447" s="7">
        <v>15</v>
      </c>
      <c r="T447" s="7" t="e">
        <v>#N/A</v>
      </c>
      <c r="U447" s="7" t="e">
        <v>#N/A</v>
      </c>
      <c r="V447" s="6">
        <f t="shared" si="79"/>
        <v>4627</v>
      </c>
      <c r="W447" s="6">
        <f t="shared" si="80"/>
        <v>462.70000000000005</v>
      </c>
      <c r="X447" s="6">
        <f t="shared" si="81"/>
        <v>5089.7</v>
      </c>
      <c r="Y447" s="6">
        <f t="shared" si="82"/>
        <v>9.4253703703703701E-2</v>
      </c>
      <c r="Z447" s="6">
        <f t="shared" si="83"/>
        <v>0.57123456790123461</v>
      </c>
      <c r="AA447" s="9">
        <f t="shared" si="84"/>
        <v>54000</v>
      </c>
      <c r="AB447" s="10">
        <v>5567</v>
      </c>
      <c r="AC447" s="11">
        <f t="shared" si="86"/>
        <v>524.71036851851852</v>
      </c>
      <c r="AD447" s="12">
        <f t="shared" si="85"/>
        <v>15818</v>
      </c>
      <c r="AE447" s="13">
        <f t="shared" si="88"/>
        <v>38182</v>
      </c>
    </row>
    <row r="448" spans="1:31">
      <c r="A448" s="6">
        <v>14</v>
      </c>
      <c r="B448" s="6">
        <f t="shared" si="89"/>
        <v>7</v>
      </c>
      <c r="C448" s="6" t="str">
        <f t="shared" si="78"/>
        <v>628408700ASCREW, STANDARD, METRIC, M5, HEXALOBULAR INTERNAL52913244501570000</v>
      </c>
      <c r="D448" s="6" t="s">
        <v>209</v>
      </c>
      <c r="E448" s="6" t="s">
        <v>167</v>
      </c>
      <c r="F448" s="6"/>
      <c r="G448" s="7" t="s">
        <v>145</v>
      </c>
      <c r="H448" s="7"/>
      <c r="I448" s="7"/>
      <c r="J448" s="7"/>
      <c r="K448" s="7"/>
      <c r="L448" s="7">
        <v>5291324</v>
      </c>
      <c r="M448" s="22">
        <v>45015</v>
      </c>
      <c r="N448" s="8" t="s">
        <v>189</v>
      </c>
      <c r="O448" s="8"/>
      <c r="P448" s="7">
        <v>70000</v>
      </c>
      <c r="Q448" s="7">
        <v>362051.01</v>
      </c>
      <c r="R448" s="7">
        <v>87089900</v>
      </c>
      <c r="S448" s="7">
        <v>15</v>
      </c>
      <c r="T448" s="7" t="s">
        <v>290</v>
      </c>
      <c r="U448" s="7" t="s">
        <v>178</v>
      </c>
      <c r="V448" s="6">
        <f t="shared" si="79"/>
        <v>54307.6515</v>
      </c>
      <c r="W448" s="6">
        <f t="shared" si="80"/>
        <v>5430.7651500000002</v>
      </c>
      <c r="X448" s="6">
        <f t="shared" si="81"/>
        <v>59738.416649999999</v>
      </c>
      <c r="Y448" s="6">
        <f t="shared" si="82"/>
        <v>0.85340595214285708</v>
      </c>
      <c r="Z448" s="6">
        <f t="shared" si="83"/>
        <v>5.1721572857142855</v>
      </c>
      <c r="AA448" s="9">
        <f t="shared" si="84"/>
        <v>70000</v>
      </c>
      <c r="AB448" s="10">
        <v>18486</v>
      </c>
      <c r="AC448" s="11">
        <f t="shared" si="86"/>
        <v>15776.062431312856</v>
      </c>
      <c r="AD448" s="12">
        <f t="shared" si="85"/>
        <v>70000</v>
      </c>
      <c r="AE448" s="13">
        <f t="shared" si="88"/>
        <v>0</v>
      </c>
    </row>
    <row r="449" spans="1:31">
      <c r="A449" s="6">
        <v>14</v>
      </c>
      <c r="B449" s="6">
        <f t="shared" si="89"/>
        <v>8</v>
      </c>
      <c r="C449" s="6" t="str">
        <f t="shared" si="78"/>
        <v>639590100BSCREW SELF TAPPING INTERNAL T15, 15.0826097344664100000</v>
      </c>
      <c r="D449" s="6" t="s">
        <v>209</v>
      </c>
      <c r="E449" s="6" t="s">
        <v>165</v>
      </c>
      <c r="F449" s="6"/>
      <c r="G449" s="7" t="s">
        <v>143</v>
      </c>
      <c r="H449" s="7"/>
      <c r="I449" s="7"/>
      <c r="J449" s="7"/>
      <c r="K449" s="7"/>
      <c r="L449" s="7">
        <v>8260973</v>
      </c>
      <c r="M449" s="22">
        <v>44664</v>
      </c>
      <c r="N449" s="8" t="s">
        <v>180</v>
      </c>
      <c r="O449" s="8"/>
      <c r="P449" s="7">
        <v>100000</v>
      </c>
      <c r="Q449" s="7">
        <v>105125</v>
      </c>
      <c r="R449" s="7">
        <v>87089400</v>
      </c>
      <c r="S449" s="7">
        <v>15</v>
      </c>
      <c r="T449" s="7" t="s">
        <v>262</v>
      </c>
      <c r="U449" s="7" t="s">
        <v>178</v>
      </c>
      <c r="V449" s="6">
        <f t="shared" si="79"/>
        <v>15768.75</v>
      </c>
      <c r="W449" s="6">
        <f t="shared" si="80"/>
        <v>1576.875</v>
      </c>
      <c r="X449" s="6">
        <f t="shared" si="81"/>
        <v>17345.625</v>
      </c>
      <c r="Y449" s="6">
        <f t="shared" si="82"/>
        <v>0.17345625000000001</v>
      </c>
      <c r="Z449" s="6">
        <f t="shared" si="83"/>
        <v>1.05125</v>
      </c>
      <c r="AA449" s="9">
        <f t="shared" si="84"/>
        <v>100000</v>
      </c>
      <c r="AB449" s="10">
        <v>11994</v>
      </c>
      <c r="AC449" s="11">
        <f t="shared" si="86"/>
        <v>2080.4342624999999</v>
      </c>
      <c r="AD449" s="12">
        <f t="shared" si="85"/>
        <v>100000</v>
      </c>
      <c r="AE449" s="13">
        <f t="shared" si="88"/>
        <v>0</v>
      </c>
    </row>
    <row r="450" spans="1:31">
      <c r="A450" s="6">
        <v>14</v>
      </c>
      <c r="B450" s="6">
        <f t="shared" si="89"/>
        <v>9</v>
      </c>
      <c r="C450" s="6" t="str">
        <f t="shared" ref="C450:C513" si="90">E450&amp;G450&amp;L450&amp;M450&amp;P450</f>
        <v>651409900ASCREW, STD METRIC M6 HEXALOBULAR INTERNAL, T461068614507130000</v>
      </c>
      <c r="D450" s="6" t="s">
        <v>209</v>
      </c>
      <c r="E450" s="6" t="s">
        <v>168</v>
      </c>
      <c r="F450" s="6"/>
      <c r="G450" s="7" t="s">
        <v>146</v>
      </c>
      <c r="H450" s="7"/>
      <c r="I450" s="7"/>
      <c r="J450" s="7"/>
      <c r="K450" s="7"/>
      <c r="L450" s="7">
        <v>6106861</v>
      </c>
      <c r="M450" s="22">
        <v>45071</v>
      </c>
      <c r="N450" s="8" t="s">
        <v>182</v>
      </c>
      <c r="O450" s="8"/>
      <c r="P450" s="7">
        <v>30000</v>
      </c>
      <c r="Q450" s="7">
        <v>103797.53</v>
      </c>
      <c r="R450" s="7">
        <v>87089500</v>
      </c>
      <c r="S450" s="7">
        <v>15</v>
      </c>
      <c r="T450" s="7" t="s">
        <v>183</v>
      </c>
      <c r="U450" s="7" t="s">
        <v>178</v>
      </c>
      <c r="V450" s="6">
        <f t="shared" ref="V450:V513" si="91">Q450*S450%</f>
        <v>15569.629499999999</v>
      </c>
      <c r="W450" s="6">
        <f t="shared" ref="W450:W513" si="92">V450*0.1</f>
        <v>1556.9629500000001</v>
      </c>
      <c r="X450" s="6">
        <f t="shared" ref="X450:X513" si="93">V450+W450</f>
        <v>17126.59245</v>
      </c>
      <c r="Y450" s="6">
        <f t="shared" ref="Y450:Y513" si="94">X450/P450</f>
        <v>0.57088641500000004</v>
      </c>
      <c r="Z450" s="6">
        <f t="shared" ref="Z450:Z513" si="95">Q450/P450</f>
        <v>3.4599176666666667</v>
      </c>
      <c r="AA450" s="9">
        <f t="shared" ref="AA450:AA513" si="96">P450</f>
        <v>30000</v>
      </c>
      <c r="AB450" s="10">
        <v>12288</v>
      </c>
      <c r="AC450" s="11">
        <f t="shared" si="86"/>
        <v>7015.0522675200009</v>
      </c>
      <c r="AD450" s="12">
        <f t="shared" ref="AD450:AD513" si="97">SUMIF($C$2:$C$2284,C450,$AB$2:$AB$2284)</f>
        <v>30000</v>
      </c>
      <c r="AE450" s="13">
        <f t="shared" si="88"/>
        <v>0</v>
      </c>
    </row>
    <row r="451" spans="1:31">
      <c r="A451" s="6">
        <v>14</v>
      </c>
      <c r="B451" s="6">
        <f t="shared" si="89"/>
        <v>10</v>
      </c>
      <c r="C451" s="6" t="str">
        <f t="shared" si="90"/>
        <v>664168000AStitching Thread for SW,  YELLOW, LUCID LIME, M2012357452141200000</v>
      </c>
      <c r="D451" s="6" t="s">
        <v>209</v>
      </c>
      <c r="E451" s="6" t="s">
        <v>175</v>
      </c>
      <c r="F451" s="6"/>
      <c r="G451" s="7" t="s">
        <v>153</v>
      </c>
      <c r="H451" s="7"/>
      <c r="I451" s="7"/>
      <c r="J451" s="7"/>
      <c r="K451" s="7"/>
      <c r="L451" s="7">
        <v>12357</v>
      </c>
      <c r="M451" s="22">
        <v>45214</v>
      </c>
      <c r="N451" s="8" t="e">
        <v>#N/A</v>
      </c>
      <c r="O451" s="8"/>
      <c r="P451" s="7">
        <v>1200000</v>
      </c>
      <c r="Q451" s="7">
        <v>567.82000000000005</v>
      </c>
      <c r="R451" s="7" t="e">
        <v>#N/A</v>
      </c>
      <c r="S451" s="7">
        <v>5</v>
      </c>
      <c r="T451" s="7" t="e">
        <v>#N/A</v>
      </c>
      <c r="U451" s="7" t="e">
        <v>#N/A</v>
      </c>
      <c r="V451" s="6">
        <f t="shared" si="91"/>
        <v>28.391000000000005</v>
      </c>
      <c r="W451" s="6">
        <f t="shared" si="92"/>
        <v>2.8391000000000006</v>
      </c>
      <c r="X451" s="6">
        <f t="shared" si="93"/>
        <v>31.230100000000007</v>
      </c>
      <c r="Y451" s="6">
        <f t="shared" si="94"/>
        <v>2.6025083333333339E-5</v>
      </c>
      <c r="Z451" s="6">
        <f t="shared" si="95"/>
        <v>4.7318333333333339E-4</v>
      </c>
      <c r="AA451" s="9">
        <f t="shared" si="96"/>
        <v>1200000</v>
      </c>
      <c r="AB451" s="10">
        <v>5346</v>
      </c>
      <c r="AC451" s="11">
        <f t="shared" ref="AC451:AC514" si="98">AB451*Y451</f>
        <v>0.13913009550000002</v>
      </c>
      <c r="AD451" s="12">
        <f t="shared" si="97"/>
        <v>5346</v>
      </c>
      <c r="AE451" s="13">
        <f t="shared" si="88"/>
        <v>1194654</v>
      </c>
    </row>
    <row r="452" spans="1:31">
      <c r="A452" s="6">
        <v>14</v>
      </c>
      <c r="B452" s="6">
        <f t="shared" si="89"/>
        <v>11</v>
      </c>
      <c r="C452" s="6" t="str">
        <f t="shared" si="90"/>
        <v>655818900BACTUATOR VIBRATION MOTOR ASSY WITH BRACKET BC3 CU6803465451174800</v>
      </c>
      <c r="D452" s="6" t="s">
        <v>209</v>
      </c>
      <c r="E452" s="6" t="s">
        <v>156</v>
      </c>
      <c r="F452" s="6"/>
      <c r="G452" s="7" t="s">
        <v>133</v>
      </c>
      <c r="H452" s="7"/>
      <c r="I452" s="7"/>
      <c r="J452" s="7"/>
      <c r="K452" s="7"/>
      <c r="L452" s="7">
        <v>6803465</v>
      </c>
      <c r="M452" s="22">
        <v>45117</v>
      </c>
      <c r="N452" s="8" t="s">
        <v>189</v>
      </c>
      <c r="O452" s="8"/>
      <c r="P452" s="7">
        <v>4800</v>
      </c>
      <c r="Q452" s="7">
        <v>1592095.67</v>
      </c>
      <c r="R452" s="7">
        <v>85011019</v>
      </c>
      <c r="S452" s="7">
        <v>15</v>
      </c>
      <c r="T452" s="7" t="s">
        <v>254</v>
      </c>
      <c r="U452" s="7" t="s">
        <v>178</v>
      </c>
      <c r="V452" s="6">
        <f t="shared" si="91"/>
        <v>238814.35049999997</v>
      </c>
      <c r="W452" s="6">
        <f t="shared" si="92"/>
        <v>23881.43505</v>
      </c>
      <c r="X452" s="6">
        <f t="shared" si="93"/>
        <v>262695.78554999997</v>
      </c>
      <c r="Y452" s="6">
        <f t="shared" si="94"/>
        <v>54.728288656249994</v>
      </c>
      <c r="Z452" s="6">
        <f t="shared" si="95"/>
        <v>331.68659791666664</v>
      </c>
      <c r="AA452" s="9">
        <f t="shared" si="96"/>
        <v>4800</v>
      </c>
      <c r="AB452" s="10">
        <v>878</v>
      </c>
      <c r="AC452" s="11">
        <f t="shared" si="98"/>
        <v>48051.437440187496</v>
      </c>
      <c r="AD452" s="12">
        <f t="shared" si="97"/>
        <v>4800</v>
      </c>
      <c r="AE452" s="13">
        <f t="shared" si="88"/>
        <v>0</v>
      </c>
    </row>
    <row r="453" spans="1:31">
      <c r="A453" s="6">
        <v>14</v>
      </c>
      <c r="B453" s="6">
        <f t="shared" si="89"/>
        <v>12</v>
      </c>
      <c r="C453" s="6" t="str">
        <f t="shared" si="90"/>
        <v>655931500AARMATURE, MONOBLOCK ASW4, HYUNDAI BC3-CUV8890639452536480</v>
      </c>
      <c r="D453" s="6" t="s">
        <v>209</v>
      </c>
      <c r="E453" s="6" t="s">
        <v>157</v>
      </c>
      <c r="F453" s="6"/>
      <c r="G453" s="7" t="s">
        <v>134</v>
      </c>
      <c r="H453" s="7"/>
      <c r="I453" s="7"/>
      <c r="J453" s="7"/>
      <c r="K453" s="7"/>
      <c r="L453" s="7">
        <v>8890639</v>
      </c>
      <c r="M453" s="22">
        <v>45253</v>
      </c>
      <c r="N453" s="8" t="s">
        <v>184</v>
      </c>
      <c r="O453" s="8"/>
      <c r="P453" s="7">
        <v>6480</v>
      </c>
      <c r="Q453" s="7">
        <v>2603219.19</v>
      </c>
      <c r="R453" s="7">
        <v>87089400</v>
      </c>
      <c r="S453" s="7">
        <v>15</v>
      </c>
      <c r="T453" s="7" t="s">
        <v>186</v>
      </c>
      <c r="U453" s="7" t="s">
        <v>178</v>
      </c>
      <c r="V453" s="6">
        <f t="shared" si="91"/>
        <v>390482.87849999999</v>
      </c>
      <c r="W453" s="6">
        <f t="shared" si="92"/>
        <v>39048.287850000001</v>
      </c>
      <c r="X453" s="6">
        <f t="shared" si="93"/>
        <v>429531.16635000001</v>
      </c>
      <c r="Y453" s="6">
        <f t="shared" si="94"/>
        <v>66.28567381944444</v>
      </c>
      <c r="Z453" s="6">
        <f t="shared" si="95"/>
        <v>401.7313564814815</v>
      </c>
      <c r="AA453" s="9">
        <f t="shared" si="96"/>
        <v>6480</v>
      </c>
      <c r="AB453" s="10">
        <v>2700</v>
      </c>
      <c r="AC453" s="11">
        <f t="shared" si="98"/>
        <v>178971.31931249998</v>
      </c>
      <c r="AD453" s="12">
        <f t="shared" si="97"/>
        <v>6480</v>
      </c>
      <c r="AE453" s="13">
        <f t="shared" si="88"/>
        <v>0</v>
      </c>
    </row>
    <row r="454" spans="1:31">
      <c r="A454" s="6">
        <v>14</v>
      </c>
      <c r="B454" s="6">
        <f t="shared" si="89"/>
        <v>13</v>
      </c>
      <c r="C454" s="6" t="str">
        <f t="shared" si="90"/>
        <v>651015300BELEMENT, HEATER, HYBRID 6559903451014900</v>
      </c>
      <c r="D454" s="6" t="s">
        <v>209</v>
      </c>
      <c r="E454" s="6" t="s">
        <v>155</v>
      </c>
      <c r="F454" s="6"/>
      <c r="G454" s="7" t="s">
        <v>137</v>
      </c>
      <c r="H454" s="7"/>
      <c r="I454" s="7"/>
      <c r="J454" s="7"/>
      <c r="K454" s="7"/>
      <c r="L454" s="7">
        <v>6559903</v>
      </c>
      <c r="M454" s="22">
        <v>45101</v>
      </c>
      <c r="N454" s="8" t="s">
        <v>189</v>
      </c>
      <c r="O454" s="8"/>
      <c r="P454" s="7">
        <v>4900</v>
      </c>
      <c r="Q454" s="7">
        <v>2728062.11</v>
      </c>
      <c r="R454" s="7">
        <v>87089400</v>
      </c>
      <c r="S454" s="7">
        <v>15</v>
      </c>
      <c r="T454" s="7" t="s">
        <v>257</v>
      </c>
      <c r="U454" s="7" t="s">
        <v>178</v>
      </c>
      <c r="V454" s="6">
        <f t="shared" si="91"/>
        <v>409209.31649999996</v>
      </c>
      <c r="W454" s="6">
        <f t="shared" si="92"/>
        <v>40920.931649999999</v>
      </c>
      <c r="X454" s="6">
        <f t="shared" si="93"/>
        <v>450130.24814999994</v>
      </c>
      <c r="Y454" s="6">
        <f t="shared" si="94"/>
        <v>91.863315948979576</v>
      </c>
      <c r="Z454" s="6">
        <f t="shared" si="95"/>
        <v>556.74736938775504</v>
      </c>
      <c r="AA454" s="9">
        <f t="shared" si="96"/>
        <v>4900</v>
      </c>
      <c r="AB454" s="10">
        <v>2291</v>
      </c>
      <c r="AC454" s="11">
        <f t="shared" si="98"/>
        <v>210458.85683911221</v>
      </c>
      <c r="AD454" s="12">
        <f t="shared" si="97"/>
        <v>4900</v>
      </c>
      <c r="AE454" s="13">
        <f t="shared" si="88"/>
        <v>0</v>
      </c>
    </row>
    <row r="455" spans="1:31">
      <c r="A455" s="6">
        <v>14</v>
      </c>
      <c r="B455" s="6">
        <f t="shared" si="89"/>
        <v>14</v>
      </c>
      <c r="C455" s="6" t="str">
        <f t="shared" si="90"/>
        <v>656011400ALEATHER, HIDE TOP GRAIN, GREY, FOSSIL GREY, T9Y,7374452451543703.92</v>
      </c>
      <c r="D455" s="6" t="s">
        <v>209</v>
      </c>
      <c r="E455" s="6" t="s">
        <v>162</v>
      </c>
      <c r="F455" s="6"/>
      <c r="G455" s="7" t="s">
        <v>140</v>
      </c>
      <c r="H455" s="7"/>
      <c r="I455" s="7"/>
      <c r="J455" s="7"/>
      <c r="K455" s="7"/>
      <c r="L455" s="7">
        <v>7374452</v>
      </c>
      <c r="M455" s="22">
        <v>45154</v>
      </c>
      <c r="N455" s="8" t="s">
        <v>190</v>
      </c>
      <c r="O455" s="8"/>
      <c r="P455" s="7">
        <v>3703.9199999999996</v>
      </c>
      <c r="Q455" s="7">
        <v>8436783.4900000002</v>
      </c>
      <c r="R455" s="7">
        <v>41071200</v>
      </c>
      <c r="S455" s="7">
        <v>0</v>
      </c>
      <c r="T455" s="7" t="s">
        <v>293</v>
      </c>
      <c r="U455" s="7" t="s">
        <v>178</v>
      </c>
      <c r="V455" s="6">
        <f t="shared" si="91"/>
        <v>0</v>
      </c>
      <c r="W455" s="6">
        <f t="shared" si="92"/>
        <v>0</v>
      </c>
      <c r="X455" s="6">
        <f t="shared" si="93"/>
        <v>0</v>
      </c>
      <c r="Y455" s="6">
        <f t="shared" si="94"/>
        <v>0</v>
      </c>
      <c r="Z455" s="6">
        <f t="shared" si="95"/>
        <v>2277.7985188664984</v>
      </c>
      <c r="AA455" s="9">
        <f t="shared" si="96"/>
        <v>3703.9199999999996</v>
      </c>
      <c r="AB455" s="10">
        <v>94.358630000000005</v>
      </c>
      <c r="AC455" s="11">
        <f t="shared" si="98"/>
        <v>0</v>
      </c>
      <c r="AD455" s="12">
        <f t="shared" si="97"/>
        <v>634.38362100000006</v>
      </c>
      <c r="AE455" s="13">
        <f t="shared" si="88"/>
        <v>3069.5363789999997</v>
      </c>
    </row>
    <row r="456" spans="1:31">
      <c r="A456" s="6">
        <v>14</v>
      </c>
      <c r="B456" s="6">
        <f t="shared" si="89"/>
        <v>15</v>
      </c>
      <c r="C456" s="6" t="str">
        <f t="shared" si="90"/>
        <v>608225700ASCREW,STD METRIIC HEXALOBULAR  M5 T25 12MM70403424513230000</v>
      </c>
      <c r="D456" s="6" t="s">
        <v>209</v>
      </c>
      <c r="E456" s="6" t="s">
        <v>169</v>
      </c>
      <c r="F456" s="6"/>
      <c r="G456" s="7" t="s">
        <v>147</v>
      </c>
      <c r="H456" s="7"/>
      <c r="I456" s="7"/>
      <c r="J456" s="7"/>
      <c r="K456" s="7"/>
      <c r="L456" s="7">
        <v>7040342</v>
      </c>
      <c r="M456" s="22">
        <v>45132</v>
      </c>
      <c r="N456" s="8" t="s">
        <v>189</v>
      </c>
      <c r="O456" s="8"/>
      <c r="P456" s="7">
        <v>30000</v>
      </c>
      <c r="Q456" s="7">
        <v>98486.61</v>
      </c>
      <c r="R456" s="7">
        <v>87089400</v>
      </c>
      <c r="S456" s="7">
        <v>15</v>
      </c>
      <c r="T456" s="7" t="s">
        <v>266</v>
      </c>
      <c r="U456" s="7" t="s">
        <v>178</v>
      </c>
      <c r="V456" s="6">
        <f t="shared" si="91"/>
        <v>14772.9915</v>
      </c>
      <c r="W456" s="6">
        <f t="shared" si="92"/>
        <v>1477.2991500000001</v>
      </c>
      <c r="X456" s="6">
        <f t="shared" si="93"/>
        <v>16250.290650000001</v>
      </c>
      <c r="Y456" s="6">
        <f t="shared" si="94"/>
        <v>0.541676355</v>
      </c>
      <c r="Z456" s="6">
        <f t="shared" si="95"/>
        <v>3.2828870000000001</v>
      </c>
      <c r="AA456" s="9">
        <f t="shared" si="96"/>
        <v>30000</v>
      </c>
      <c r="AB456" s="10">
        <v>9852</v>
      </c>
      <c r="AC456" s="11">
        <f t="shared" si="98"/>
        <v>5336.5954494600001</v>
      </c>
      <c r="AD456" s="12">
        <f t="shared" si="97"/>
        <v>30000</v>
      </c>
      <c r="AE456" s="13">
        <f t="shared" si="88"/>
        <v>0</v>
      </c>
    </row>
    <row r="457" spans="1:31">
      <c r="A457" s="6">
        <v>14</v>
      </c>
      <c r="B457" s="6">
        <f t="shared" si="89"/>
        <v>16</v>
      </c>
      <c r="C457" s="6" t="str">
        <f t="shared" si="90"/>
        <v>651166400CSPRING, COIL, UPPER 73271424515055000</v>
      </c>
      <c r="D457" s="6" t="s">
        <v>209</v>
      </c>
      <c r="E457" s="6" t="s">
        <v>170</v>
      </c>
      <c r="F457" s="6"/>
      <c r="G457" s="7" t="s">
        <v>148</v>
      </c>
      <c r="H457" s="7"/>
      <c r="I457" s="7"/>
      <c r="J457" s="7"/>
      <c r="K457" s="7"/>
      <c r="L457" s="7">
        <v>7327142</v>
      </c>
      <c r="M457" s="22">
        <v>45150</v>
      </c>
      <c r="N457" s="8" t="s">
        <v>189</v>
      </c>
      <c r="O457" s="8"/>
      <c r="P457" s="7">
        <v>55000</v>
      </c>
      <c r="Q457" s="7">
        <v>100568.15</v>
      </c>
      <c r="R457" s="7">
        <v>87089500</v>
      </c>
      <c r="S457" s="7">
        <v>15</v>
      </c>
      <c r="T457" s="7" t="s">
        <v>288</v>
      </c>
      <c r="U457" s="7" t="s">
        <v>178</v>
      </c>
      <c r="V457" s="6">
        <f t="shared" si="91"/>
        <v>15085.222499999998</v>
      </c>
      <c r="W457" s="6">
        <f t="shared" si="92"/>
        <v>1508.52225</v>
      </c>
      <c r="X457" s="6">
        <f t="shared" si="93"/>
        <v>16593.744749999998</v>
      </c>
      <c r="Y457" s="6">
        <f t="shared" si="94"/>
        <v>0.30170444999999996</v>
      </c>
      <c r="Z457" s="6">
        <f t="shared" si="95"/>
        <v>1.8285118181818181</v>
      </c>
      <c r="AA457" s="9">
        <f t="shared" si="96"/>
        <v>55000</v>
      </c>
      <c r="AB457" s="10">
        <v>18483</v>
      </c>
      <c r="AC457" s="11">
        <f t="shared" si="98"/>
        <v>5576.4033493499992</v>
      </c>
      <c r="AD457" s="12">
        <f t="shared" si="97"/>
        <v>55000</v>
      </c>
      <c r="AE457" s="13">
        <f t="shared" si="88"/>
        <v>0</v>
      </c>
    </row>
    <row r="458" spans="1:31">
      <c r="A458" s="6">
        <v>14</v>
      </c>
      <c r="B458" s="6">
        <f t="shared" si="89"/>
        <v>17</v>
      </c>
      <c r="C458" s="6" t="str">
        <f t="shared" si="90"/>
        <v>610952600ATHREAD, STEERING WHEEL, LOOPING LEATHER, BLACK 5109574512636000</v>
      </c>
      <c r="D458" s="6" t="s">
        <v>209</v>
      </c>
      <c r="E458" s="6" t="s">
        <v>171</v>
      </c>
      <c r="F458" s="6"/>
      <c r="G458" s="7" t="s">
        <v>149</v>
      </c>
      <c r="H458" s="7"/>
      <c r="I458" s="7"/>
      <c r="J458" s="7"/>
      <c r="K458" s="7"/>
      <c r="L458" s="7">
        <v>10957</v>
      </c>
      <c r="M458" s="22">
        <v>45126</v>
      </c>
      <c r="N458" s="8" t="e">
        <v>#N/A</v>
      </c>
      <c r="O458" s="8"/>
      <c r="P458" s="7">
        <v>36000</v>
      </c>
      <c r="Q458" s="7">
        <v>97898.333333333343</v>
      </c>
      <c r="R458" s="7" t="e">
        <v>#N/A</v>
      </c>
      <c r="S458" s="7">
        <v>15</v>
      </c>
      <c r="T458" s="7" t="e">
        <v>#N/A</v>
      </c>
      <c r="U458" s="7" t="e">
        <v>#N/A</v>
      </c>
      <c r="V458" s="6">
        <f t="shared" si="91"/>
        <v>14684.750000000002</v>
      </c>
      <c r="W458" s="6">
        <f t="shared" si="92"/>
        <v>1468.4750000000004</v>
      </c>
      <c r="X458" s="6">
        <f t="shared" si="93"/>
        <v>16153.225000000002</v>
      </c>
      <c r="Y458" s="6">
        <f t="shared" si="94"/>
        <v>0.44870069444444449</v>
      </c>
      <c r="Z458" s="6">
        <f t="shared" si="95"/>
        <v>2.7193981481481484</v>
      </c>
      <c r="AA458" s="9">
        <f t="shared" si="96"/>
        <v>36000</v>
      </c>
      <c r="AB458" s="10">
        <v>14530</v>
      </c>
      <c r="AC458" s="11">
        <f t="shared" si="98"/>
        <v>6519.6210902777784</v>
      </c>
      <c r="AD458" s="12">
        <f t="shared" si="97"/>
        <v>24758</v>
      </c>
      <c r="AE458" s="13">
        <f t="shared" si="88"/>
        <v>11242</v>
      </c>
    </row>
    <row r="459" spans="1:31">
      <c r="A459" s="6">
        <v>14</v>
      </c>
      <c r="B459" s="6">
        <f t="shared" si="89"/>
        <v>18</v>
      </c>
      <c r="C459" s="6" t="str">
        <f t="shared" si="90"/>
        <v>655379600ATHREAD, STITCHING, 1500 BLACK, M20, PET, T-135 U1219545068108000</v>
      </c>
      <c r="D459" s="6" t="s">
        <v>209</v>
      </c>
      <c r="E459" s="6" t="s">
        <v>173</v>
      </c>
      <c r="F459" s="6"/>
      <c r="G459" s="7" t="s">
        <v>151</v>
      </c>
      <c r="H459" s="7"/>
      <c r="I459" s="7"/>
      <c r="J459" s="7"/>
      <c r="K459" s="7"/>
      <c r="L459" s="7" t="s">
        <v>154</v>
      </c>
      <c r="M459" s="22">
        <v>45068</v>
      </c>
      <c r="N459" s="8" t="e">
        <v>#N/A</v>
      </c>
      <c r="O459" s="8"/>
      <c r="P459" s="7">
        <v>108000</v>
      </c>
      <c r="Q459" s="7">
        <v>57093.2</v>
      </c>
      <c r="R459" s="7" t="e">
        <v>#N/A</v>
      </c>
      <c r="S459" s="7">
        <v>5</v>
      </c>
      <c r="T459" s="7" t="e">
        <v>#N/A</v>
      </c>
      <c r="U459" s="7" t="e">
        <v>#N/A</v>
      </c>
      <c r="V459" s="6">
        <f t="shared" si="91"/>
        <v>2854.66</v>
      </c>
      <c r="W459" s="6">
        <f t="shared" si="92"/>
        <v>285.46600000000001</v>
      </c>
      <c r="X459" s="6">
        <f t="shared" si="93"/>
        <v>3140.1259999999997</v>
      </c>
      <c r="Y459" s="6">
        <f t="shared" si="94"/>
        <v>2.9075240740740738E-2</v>
      </c>
      <c r="Z459" s="6">
        <f t="shared" si="95"/>
        <v>0.52864074074074074</v>
      </c>
      <c r="AA459" s="9">
        <f t="shared" si="96"/>
        <v>108000</v>
      </c>
      <c r="AB459" s="10">
        <v>39729</v>
      </c>
      <c r="AC459" s="11">
        <f t="shared" si="98"/>
        <v>1155.1302393888889</v>
      </c>
      <c r="AD459" s="12">
        <f t="shared" si="97"/>
        <v>54585</v>
      </c>
      <c r="AE459" s="13">
        <f t="shared" si="88"/>
        <v>53415</v>
      </c>
    </row>
    <row r="460" spans="1:31">
      <c r="A460" s="6">
        <v>14</v>
      </c>
      <c r="B460" s="6">
        <f t="shared" si="89"/>
        <v>19</v>
      </c>
      <c r="C460" s="6" t="str">
        <f t="shared" si="90"/>
        <v>653642900ATHREAD, STITCHING, 1500, LIGHT GREY, M20, PET, T-121954506827000</v>
      </c>
      <c r="D460" s="6" t="s">
        <v>209</v>
      </c>
      <c r="E460" s="6" t="s">
        <v>174</v>
      </c>
      <c r="F460" s="6"/>
      <c r="G460" s="7" t="s">
        <v>152</v>
      </c>
      <c r="H460" s="7"/>
      <c r="I460" s="7"/>
      <c r="J460" s="7"/>
      <c r="K460" s="7"/>
      <c r="L460" s="7" t="s">
        <v>154</v>
      </c>
      <c r="M460" s="22">
        <v>45068</v>
      </c>
      <c r="N460" s="8" t="e">
        <v>#N/A</v>
      </c>
      <c r="O460" s="8"/>
      <c r="P460" s="7">
        <v>27000</v>
      </c>
      <c r="Q460" s="7">
        <v>57093.2</v>
      </c>
      <c r="R460" s="7" t="e">
        <v>#N/A</v>
      </c>
      <c r="S460" s="7">
        <v>5</v>
      </c>
      <c r="T460" s="7" t="e">
        <v>#N/A</v>
      </c>
      <c r="U460" s="7" t="e">
        <v>#N/A</v>
      </c>
      <c r="V460" s="6">
        <f t="shared" si="91"/>
        <v>2854.66</v>
      </c>
      <c r="W460" s="6">
        <f t="shared" si="92"/>
        <v>285.46600000000001</v>
      </c>
      <c r="X460" s="6">
        <f t="shared" si="93"/>
        <v>3140.1259999999997</v>
      </c>
      <c r="Y460" s="6">
        <f t="shared" si="94"/>
        <v>0.11630096296296295</v>
      </c>
      <c r="Z460" s="6">
        <f t="shared" si="95"/>
        <v>2.114562962962963</v>
      </c>
      <c r="AA460" s="9">
        <f t="shared" si="96"/>
        <v>27000</v>
      </c>
      <c r="AB460" s="10">
        <v>8525</v>
      </c>
      <c r="AC460" s="11">
        <f t="shared" si="98"/>
        <v>991.46570925925914</v>
      </c>
      <c r="AD460" s="12">
        <f t="shared" si="97"/>
        <v>12695</v>
      </c>
      <c r="AE460" s="13">
        <f t="shared" si="88"/>
        <v>14305</v>
      </c>
    </row>
    <row r="461" spans="1:31">
      <c r="A461" s="6">
        <v>14</v>
      </c>
      <c r="B461" s="6">
        <f t="shared" si="89"/>
        <v>20</v>
      </c>
      <c r="C461" s="6" t="str">
        <f t="shared" si="90"/>
        <v>655818900BACTUATOR VIBRATION MOTOR ASSY WITH BRACKET BC3 CU73263124515014400</v>
      </c>
      <c r="D461" s="6" t="s">
        <v>209</v>
      </c>
      <c r="E461" s="6" t="s">
        <v>156</v>
      </c>
      <c r="F461" s="6"/>
      <c r="G461" s="7" t="s">
        <v>133</v>
      </c>
      <c r="H461" s="7"/>
      <c r="I461" s="7"/>
      <c r="J461" s="7"/>
      <c r="K461" s="7"/>
      <c r="L461" s="7">
        <v>7326312</v>
      </c>
      <c r="M461" s="22">
        <v>45150</v>
      </c>
      <c r="N461" s="8" t="s">
        <v>189</v>
      </c>
      <c r="O461" s="8"/>
      <c r="P461" s="7">
        <v>14400</v>
      </c>
      <c r="Q461" s="7">
        <v>4786505.62</v>
      </c>
      <c r="R461" s="7">
        <v>85011019</v>
      </c>
      <c r="S461" s="7">
        <v>15</v>
      </c>
      <c r="T461" s="7" t="s">
        <v>254</v>
      </c>
      <c r="U461" s="7" t="s">
        <v>178</v>
      </c>
      <c r="V461" s="6">
        <f t="shared" si="91"/>
        <v>717975.84299999999</v>
      </c>
      <c r="W461" s="6">
        <f t="shared" si="92"/>
        <v>71797.584300000002</v>
      </c>
      <c r="X461" s="6">
        <f t="shared" si="93"/>
        <v>789773.42729999998</v>
      </c>
      <c r="Y461" s="6">
        <f t="shared" si="94"/>
        <v>54.845376895833333</v>
      </c>
      <c r="Z461" s="6">
        <f t="shared" si="95"/>
        <v>332.39622361111111</v>
      </c>
      <c r="AA461" s="9">
        <f t="shared" si="96"/>
        <v>14400</v>
      </c>
      <c r="AB461" s="10">
        <v>4048</v>
      </c>
      <c r="AC461" s="11">
        <f t="shared" si="98"/>
        <v>222014.08567433333</v>
      </c>
      <c r="AD461" s="12">
        <f t="shared" si="97"/>
        <v>14400</v>
      </c>
      <c r="AE461" s="13">
        <f t="shared" si="88"/>
        <v>0</v>
      </c>
    </row>
    <row r="462" spans="1:31" ht="30">
      <c r="A462" s="6">
        <v>14</v>
      </c>
      <c r="B462" s="6">
        <f t="shared" si="89"/>
        <v>21</v>
      </c>
      <c r="C462" s="6" t="str">
        <f t="shared" si="90"/>
        <v>655931500AARMATURE, MONOBLOCK ASW4, HYUNDAI BC3-CUV6904080451242916</v>
      </c>
      <c r="D462" s="6" t="s">
        <v>209</v>
      </c>
      <c r="E462" s="6" t="s">
        <v>157</v>
      </c>
      <c r="F462" s="6"/>
      <c r="G462" s="7" t="s">
        <v>134</v>
      </c>
      <c r="H462" s="7"/>
      <c r="I462" s="7"/>
      <c r="J462" s="7"/>
      <c r="K462" s="7"/>
      <c r="L462" s="7">
        <v>6904080</v>
      </c>
      <c r="M462" s="22">
        <v>45124</v>
      </c>
      <c r="N462" s="8" t="s">
        <v>185</v>
      </c>
      <c r="O462" s="8"/>
      <c r="P462" s="7">
        <v>2916</v>
      </c>
      <c r="Q462" s="7">
        <v>1194082.74</v>
      </c>
      <c r="R462" s="7">
        <v>87089400</v>
      </c>
      <c r="S462" s="7">
        <v>15</v>
      </c>
      <c r="T462" s="7" t="s">
        <v>194</v>
      </c>
      <c r="U462" s="7" t="s">
        <v>178</v>
      </c>
      <c r="V462" s="6">
        <f t="shared" si="91"/>
        <v>179112.41099999999</v>
      </c>
      <c r="W462" s="6">
        <f t="shared" si="92"/>
        <v>17911.241099999999</v>
      </c>
      <c r="X462" s="6">
        <f t="shared" si="93"/>
        <v>197023.65210000001</v>
      </c>
      <c r="Y462" s="6">
        <f t="shared" si="94"/>
        <v>67.566410185185191</v>
      </c>
      <c r="Z462" s="6">
        <f t="shared" si="95"/>
        <v>409.49339506172839</v>
      </c>
      <c r="AA462" s="9">
        <f t="shared" si="96"/>
        <v>2916</v>
      </c>
      <c r="AB462" s="10">
        <v>2420</v>
      </c>
      <c r="AC462" s="11">
        <f t="shared" si="98"/>
        <v>163510.71264814815</v>
      </c>
      <c r="AD462" s="12">
        <f t="shared" si="97"/>
        <v>2916</v>
      </c>
      <c r="AE462" s="13">
        <f t="shared" si="88"/>
        <v>0</v>
      </c>
    </row>
    <row r="463" spans="1:31">
      <c r="A463" s="6">
        <v>14</v>
      </c>
      <c r="B463" s="6">
        <f t="shared" si="89"/>
        <v>22</v>
      </c>
      <c r="C463" s="6" t="str">
        <f t="shared" si="90"/>
        <v>639590100BSCREW SELF TAPPING INTERNAL T15, 15.0791007444637100000</v>
      </c>
      <c r="D463" s="6" t="s">
        <v>209</v>
      </c>
      <c r="E463" s="6" t="s">
        <v>165</v>
      </c>
      <c r="F463" s="6"/>
      <c r="G463" s="7" t="s">
        <v>143</v>
      </c>
      <c r="H463" s="7"/>
      <c r="I463" s="7"/>
      <c r="J463" s="7"/>
      <c r="K463" s="7"/>
      <c r="L463" s="7">
        <v>7910074</v>
      </c>
      <c r="M463" s="22">
        <v>44637</v>
      </c>
      <c r="N463" s="8" t="s">
        <v>180</v>
      </c>
      <c r="O463" s="8"/>
      <c r="P463" s="7">
        <v>100000</v>
      </c>
      <c r="Q463" s="7">
        <v>141689.75</v>
      </c>
      <c r="R463" s="7">
        <v>87082900</v>
      </c>
      <c r="S463" s="7">
        <v>15</v>
      </c>
      <c r="T463" s="7" t="s">
        <v>291</v>
      </c>
      <c r="U463" s="7" t="s">
        <v>178</v>
      </c>
      <c r="V463" s="6">
        <f t="shared" si="91"/>
        <v>21253.462499999998</v>
      </c>
      <c r="W463" s="6">
        <f t="shared" si="92"/>
        <v>2125.3462500000001</v>
      </c>
      <c r="X463" s="6">
        <f t="shared" si="93"/>
        <v>23378.808749999997</v>
      </c>
      <c r="Y463" s="6">
        <f t="shared" si="94"/>
        <v>0.23378808749999996</v>
      </c>
      <c r="Z463" s="6">
        <f t="shared" si="95"/>
        <v>1.4168974999999999</v>
      </c>
      <c r="AA463" s="9">
        <f t="shared" si="96"/>
        <v>100000</v>
      </c>
      <c r="AB463" s="10">
        <v>30918</v>
      </c>
      <c r="AC463" s="11">
        <f t="shared" si="98"/>
        <v>7228.2600893249992</v>
      </c>
      <c r="AD463" s="12">
        <f t="shared" si="97"/>
        <v>92728</v>
      </c>
      <c r="AE463" s="13">
        <f t="shared" si="88"/>
        <v>7272</v>
      </c>
    </row>
    <row r="464" spans="1:31">
      <c r="A464" s="6">
        <v>15</v>
      </c>
      <c r="B464" s="6">
        <v>1</v>
      </c>
      <c r="C464" s="6" t="str">
        <f t="shared" si="90"/>
        <v>630580800ALABEL, RAW MATERIAL, BLA K12 TPC BUCKLE5160585449362400000</v>
      </c>
      <c r="D464" s="6" t="s">
        <v>220</v>
      </c>
      <c r="E464" s="6" t="s">
        <v>71</v>
      </c>
      <c r="F464" s="6"/>
      <c r="G464" s="7" t="s">
        <v>31</v>
      </c>
      <c r="H464" s="7"/>
      <c r="I464" s="7"/>
      <c r="J464" s="7"/>
      <c r="K464" s="7"/>
      <c r="L464" s="7">
        <v>5160585</v>
      </c>
      <c r="M464" s="22">
        <v>44936</v>
      </c>
      <c r="N464" s="8" t="s">
        <v>196</v>
      </c>
      <c r="O464" s="8" t="s">
        <v>333</v>
      </c>
      <c r="P464" s="7">
        <v>2400000</v>
      </c>
      <c r="Q464" s="7">
        <v>86522.34</v>
      </c>
      <c r="R464" s="7">
        <v>87082900</v>
      </c>
      <c r="S464" s="7">
        <v>15</v>
      </c>
      <c r="T464" s="7" t="s">
        <v>265</v>
      </c>
      <c r="U464" s="7" t="s">
        <v>178</v>
      </c>
      <c r="V464" s="6">
        <f t="shared" si="91"/>
        <v>12978.350999999999</v>
      </c>
      <c r="W464" s="6">
        <f t="shared" si="92"/>
        <v>1297.8351</v>
      </c>
      <c r="X464" s="6">
        <f t="shared" si="93"/>
        <v>14276.186099999999</v>
      </c>
      <c r="Y464" s="6">
        <f t="shared" si="94"/>
        <v>5.9484108749999999E-3</v>
      </c>
      <c r="Z464" s="6">
        <f t="shared" si="95"/>
        <v>3.6050974999999999E-2</v>
      </c>
      <c r="AA464" s="9">
        <f t="shared" si="96"/>
        <v>2400000</v>
      </c>
      <c r="AB464" s="10">
        <v>0</v>
      </c>
      <c r="AC464" s="11">
        <f t="shared" si="98"/>
        <v>0</v>
      </c>
      <c r="AD464" s="12">
        <f t="shared" si="97"/>
        <v>548546</v>
      </c>
      <c r="AE464" s="13">
        <f t="shared" si="88"/>
        <v>1851454</v>
      </c>
    </row>
    <row r="465" spans="1:31">
      <c r="A465" s="6">
        <v>15</v>
      </c>
      <c r="B465" s="6">
        <f t="shared" ref="B465:B490" si="99">B464+1</f>
        <v>2</v>
      </c>
      <c r="C465" s="6" t="str">
        <f t="shared" si="90"/>
        <v>630580800ALABEL, RAW MATERIAL, BLA K12 TPC BUCKLE5160585449362400000</v>
      </c>
      <c r="D465" s="6" t="s">
        <v>220</v>
      </c>
      <c r="E465" s="6" t="s">
        <v>71</v>
      </c>
      <c r="F465" s="6"/>
      <c r="G465" s="7" t="s">
        <v>31</v>
      </c>
      <c r="H465" s="7"/>
      <c r="I465" s="7"/>
      <c r="J465" s="7"/>
      <c r="K465" s="7"/>
      <c r="L465" s="7">
        <v>5160585</v>
      </c>
      <c r="M465" s="22">
        <v>44936</v>
      </c>
      <c r="N465" s="8" t="s">
        <v>196</v>
      </c>
      <c r="O465" s="8" t="s">
        <v>333</v>
      </c>
      <c r="P465" s="7">
        <v>2400000</v>
      </c>
      <c r="Q465" s="7">
        <v>86522.34</v>
      </c>
      <c r="R465" s="7">
        <v>87082900</v>
      </c>
      <c r="S465" s="7">
        <v>15</v>
      </c>
      <c r="T465" s="7" t="s">
        <v>265</v>
      </c>
      <c r="U465" s="7" t="s">
        <v>178</v>
      </c>
      <c r="V465" s="6">
        <f t="shared" si="91"/>
        <v>12978.350999999999</v>
      </c>
      <c r="W465" s="6">
        <f t="shared" si="92"/>
        <v>1297.8351</v>
      </c>
      <c r="X465" s="6">
        <f t="shared" si="93"/>
        <v>14276.186099999999</v>
      </c>
      <c r="Y465" s="6">
        <f t="shared" si="94"/>
        <v>5.9484108749999999E-3</v>
      </c>
      <c r="Z465" s="6">
        <f t="shared" si="95"/>
        <v>3.6050974999999999E-2</v>
      </c>
      <c r="AA465" s="9">
        <f t="shared" si="96"/>
        <v>2400000</v>
      </c>
      <c r="AB465" s="10">
        <v>7200</v>
      </c>
      <c r="AC465" s="11">
        <f t="shared" si="98"/>
        <v>42.828558299999997</v>
      </c>
      <c r="AD465" s="12">
        <f t="shared" si="97"/>
        <v>548546</v>
      </c>
      <c r="AE465" s="13">
        <f t="shared" si="88"/>
        <v>1851454</v>
      </c>
    </row>
    <row r="466" spans="1:31">
      <c r="A466" s="6">
        <v>15</v>
      </c>
      <c r="B466" s="6">
        <f t="shared" si="99"/>
        <v>3</v>
      </c>
      <c r="C466" s="6" t="str">
        <f t="shared" si="90"/>
        <v>634240200AHORN CONTACT, CU 521662145010720000</v>
      </c>
      <c r="D466" s="6" t="s">
        <v>220</v>
      </c>
      <c r="E466" s="6" t="s">
        <v>160</v>
      </c>
      <c r="F466" s="6"/>
      <c r="G466" s="7" t="s">
        <v>138</v>
      </c>
      <c r="H466" s="7"/>
      <c r="I466" s="7"/>
      <c r="J466" s="7"/>
      <c r="K466" s="7"/>
      <c r="L466" s="7">
        <v>5216621</v>
      </c>
      <c r="M466" s="22">
        <v>45010</v>
      </c>
      <c r="N466" s="8" t="s">
        <v>189</v>
      </c>
      <c r="O466" s="8"/>
      <c r="P466" s="7">
        <v>720000</v>
      </c>
      <c r="Q466" s="7">
        <v>803516.76</v>
      </c>
      <c r="R466" s="7">
        <v>87089900</v>
      </c>
      <c r="S466" s="7">
        <v>15</v>
      </c>
      <c r="T466" s="7" t="s">
        <v>258</v>
      </c>
      <c r="U466" s="7" t="s">
        <v>178</v>
      </c>
      <c r="V466" s="6">
        <f t="shared" si="91"/>
        <v>120527.514</v>
      </c>
      <c r="W466" s="6">
        <f t="shared" si="92"/>
        <v>12052.751400000001</v>
      </c>
      <c r="X466" s="6">
        <f t="shared" si="93"/>
        <v>132580.2654</v>
      </c>
      <c r="Y466" s="6">
        <f t="shared" si="94"/>
        <v>0.18413925750000001</v>
      </c>
      <c r="Z466" s="6">
        <f t="shared" si="95"/>
        <v>1.1159954999999999</v>
      </c>
      <c r="AA466" s="9">
        <f t="shared" si="96"/>
        <v>720000</v>
      </c>
      <c r="AB466" s="10">
        <v>28800</v>
      </c>
      <c r="AC466" s="11">
        <f t="shared" si="98"/>
        <v>5303.2106160000003</v>
      </c>
      <c r="AD466" s="12">
        <f t="shared" si="97"/>
        <v>707364</v>
      </c>
      <c r="AE466" s="13">
        <f t="shared" si="88"/>
        <v>12636</v>
      </c>
    </row>
    <row r="467" spans="1:31">
      <c r="A467" s="6">
        <v>15</v>
      </c>
      <c r="B467" s="6">
        <f t="shared" si="99"/>
        <v>4</v>
      </c>
      <c r="C467" s="6" t="str">
        <f t="shared" si="90"/>
        <v>608067201ANUT, ISO, M5 351094044894800000</v>
      </c>
      <c r="D467" s="6" t="s">
        <v>220</v>
      </c>
      <c r="E467" s="6" t="s">
        <v>164</v>
      </c>
      <c r="F467" s="6"/>
      <c r="G467" s="7" t="s">
        <v>142</v>
      </c>
      <c r="H467" s="7"/>
      <c r="I467" s="7"/>
      <c r="J467" s="7"/>
      <c r="K467" s="7"/>
      <c r="L467" s="7">
        <v>3510940</v>
      </c>
      <c r="M467" s="22">
        <v>44894</v>
      </c>
      <c r="N467" s="8" t="s">
        <v>189</v>
      </c>
      <c r="O467" s="8" t="s">
        <v>332</v>
      </c>
      <c r="P467" s="7">
        <v>800000</v>
      </c>
      <c r="Q467" s="7">
        <v>1498489.13</v>
      </c>
      <c r="R467" s="7">
        <v>87089500</v>
      </c>
      <c r="S467" s="7">
        <v>15</v>
      </c>
      <c r="T467" s="7" t="s">
        <v>183</v>
      </c>
      <c r="U467" s="7" t="s">
        <v>178</v>
      </c>
      <c r="V467" s="6">
        <f t="shared" si="91"/>
        <v>224773.36949999997</v>
      </c>
      <c r="W467" s="6">
        <f t="shared" si="92"/>
        <v>22477.336949999997</v>
      </c>
      <c r="X467" s="6">
        <f t="shared" si="93"/>
        <v>247250.70644999997</v>
      </c>
      <c r="Y467" s="6">
        <f t="shared" si="94"/>
        <v>0.30906338306249997</v>
      </c>
      <c r="Z467" s="6">
        <f t="shared" si="95"/>
        <v>1.8731114124999999</v>
      </c>
      <c r="AA467" s="9">
        <f t="shared" si="96"/>
        <v>800000</v>
      </c>
      <c r="AB467" s="10">
        <v>3840</v>
      </c>
      <c r="AC467" s="11">
        <f t="shared" si="98"/>
        <v>1186.8033909599999</v>
      </c>
      <c r="AD467" s="12">
        <f t="shared" si="97"/>
        <v>70960</v>
      </c>
      <c r="AE467" s="13">
        <f t="shared" si="88"/>
        <v>729040</v>
      </c>
    </row>
    <row r="468" spans="1:31">
      <c r="A468" s="6">
        <v>15</v>
      </c>
      <c r="B468" s="6">
        <f t="shared" si="99"/>
        <v>5</v>
      </c>
      <c r="C468" s="6" t="str">
        <f t="shared" si="90"/>
        <v>650557200GCUSHION, FOLDED, C AND S HONDA 2JX3322516448811800</v>
      </c>
      <c r="D468" s="6" t="s">
        <v>220</v>
      </c>
      <c r="E468" s="6" t="s">
        <v>159</v>
      </c>
      <c r="F468" s="6"/>
      <c r="G468" s="7" t="s">
        <v>136</v>
      </c>
      <c r="H468" s="7"/>
      <c r="I468" s="7"/>
      <c r="J468" s="7"/>
      <c r="K468" s="7"/>
      <c r="L468" s="7">
        <v>3322516</v>
      </c>
      <c r="M468" s="22">
        <v>44881</v>
      </c>
      <c r="N468" s="8" t="s">
        <v>184</v>
      </c>
      <c r="O468" s="8"/>
      <c r="P468" s="7">
        <v>1800</v>
      </c>
      <c r="Q468" s="7">
        <v>2319294.85</v>
      </c>
      <c r="R468" s="7">
        <v>87089500</v>
      </c>
      <c r="S468" s="7">
        <v>5</v>
      </c>
      <c r="T468" s="7" t="s">
        <v>267</v>
      </c>
      <c r="U468" s="7" t="s">
        <v>178</v>
      </c>
      <c r="V468" s="6">
        <f t="shared" si="91"/>
        <v>115964.74250000001</v>
      </c>
      <c r="W468" s="6">
        <f t="shared" si="92"/>
        <v>11596.474250000001</v>
      </c>
      <c r="X468" s="6">
        <f t="shared" si="93"/>
        <v>127561.21675000001</v>
      </c>
      <c r="Y468" s="6">
        <f t="shared" si="94"/>
        <v>70.867342638888886</v>
      </c>
      <c r="Z468" s="6">
        <f t="shared" si="95"/>
        <v>1288.4971388888889</v>
      </c>
      <c r="AA468" s="9">
        <f t="shared" si="96"/>
        <v>1800</v>
      </c>
      <c r="AB468" s="10">
        <v>960</v>
      </c>
      <c r="AC468" s="11">
        <f t="shared" si="98"/>
        <v>68032.64893333333</v>
      </c>
      <c r="AD468" s="12">
        <f t="shared" si="97"/>
        <v>1800</v>
      </c>
      <c r="AE468" s="13">
        <f t="shared" si="88"/>
        <v>0</v>
      </c>
    </row>
    <row r="469" spans="1:31">
      <c r="A469" s="6">
        <v>15</v>
      </c>
      <c r="B469" s="6">
        <f t="shared" si="99"/>
        <v>6</v>
      </c>
      <c r="C469" s="6" t="str">
        <f t="shared" si="90"/>
        <v>652466500ALEATHER, HIDE TOP GRAIN, OBSIDIAN BLACK, NNB, BLA9107371452672674.86</v>
      </c>
      <c r="D469" s="6" t="s">
        <v>220</v>
      </c>
      <c r="E469" s="6" t="s">
        <v>163</v>
      </c>
      <c r="F469" s="6"/>
      <c r="G469" s="7" t="s">
        <v>141</v>
      </c>
      <c r="H469" s="7"/>
      <c r="I469" s="7"/>
      <c r="J469" s="7"/>
      <c r="K469" s="7"/>
      <c r="L469" s="7">
        <v>9107371</v>
      </c>
      <c r="M469" s="22">
        <v>45267</v>
      </c>
      <c r="N469" s="8" t="e">
        <v>#N/A</v>
      </c>
      <c r="O469" s="8"/>
      <c r="P469" s="7">
        <v>2674.86</v>
      </c>
      <c r="Q469" s="7">
        <v>6188373.2800000003</v>
      </c>
      <c r="R469" s="7" t="e">
        <v>#N/A</v>
      </c>
      <c r="S469" s="7">
        <v>0</v>
      </c>
      <c r="T469" s="7" t="e">
        <v>#N/A</v>
      </c>
      <c r="U469" s="7" t="e">
        <v>#N/A</v>
      </c>
      <c r="V469" s="6">
        <f t="shared" si="91"/>
        <v>0</v>
      </c>
      <c r="W469" s="6">
        <f t="shared" si="92"/>
        <v>0</v>
      </c>
      <c r="X469" s="6">
        <f t="shared" si="93"/>
        <v>0</v>
      </c>
      <c r="Y469" s="6">
        <f t="shared" si="94"/>
        <v>0</v>
      </c>
      <c r="Z469" s="6">
        <f t="shared" si="95"/>
        <v>2313.5316539931064</v>
      </c>
      <c r="AA469" s="9">
        <f t="shared" si="96"/>
        <v>2674.86</v>
      </c>
      <c r="AB469" s="10">
        <v>1568.8600000000001</v>
      </c>
      <c r="AC469" s="11">
        <f t="shared" si="98"/>
        <v>0</v>
      </c>
      <c r="AD469" s="12">
        <f t="shared" si="97"/>
        <v>2674.86</v>
      </c>
      <c r="AE469" s="13">
        <f t="shared" si="88"/>
        <v>0</v>
      </c>
    </row>
    <row r="470" spans="1:31">
      <c r="A470" s="6">
        <v>15</v>
      </c>
      <c r="B470" s="6">
        <f t="shared" si="99"/>
        <v>7</v>
      </c>
      <c r="C470" s="6" t="str">
        <f t="shared" si="90"/>
        <v>653052600AINFLATOR, APP-4.6, 2.2MO STANDARD_MIB, SQUARE_61X4214101449431728</v>
      </c>
      <c r="D470" s="6" t="s">
        <v>220</v>
      </c>
      <c r="E470" s="6" t="s">
        <v>161</v>
      </c>
      <c r="F470" s="6"/>
      <c r="G470" s="7" t="s">
        <v>139</v>
      </c>
      <c r="H470" s="7"/>
      <c r="I470" s="7"/>
      <c r="J470" s="7"/>
      <c r="K470" s="7"/>
      <c r="L470" s="7">
        <v>4214101</v>
      </c>
      <c r="M470" s="22">
        <v>44943</v>
      </c>
      <c r="N470" s="8" t="s">
        <v>184</v>
      </c>
      <c r="O470" s="8"/>
      <c r="P470" s="7">
        <v>1728</v>
      </c>
      <c r="Q470" s="7">
        <v>820936.51</v>
      </c>
      <c r="R470" s="7">
        <v>87089500</v>
      </c>
      <c r="S470" s="7">
        <v>15</v>
      </c>
      <c r="T470" s="7" t="s">
        <v>259</v>
      </c>
      <c r="U470" s="7" t="s">
        <v>200</v>
      </c>
      <c r="V470" s="6">
        <f t="shared" si="91"/>
        <v>123140.47649999999</v>
      </c>
      <c r="W470" s="6">
        <f t="shared" si="92"/>
        <v>12314.04765</v>
      </c>
      <c r="X470" s="6">
        <f t="shared" si="93"/>
        <v>135454.52414999998</v>
      </c>
      <c r="Y470" s="6">
        <f t="shared" si="94"/>
        <v>78.388034809027772</v>
      </c>
      <c r="Z470" s="6">
        <f t="shared" si="95"/>
        <v>475.07899884259263</v>
      </c>
      <c r="AA470" s="9">
        <f t="shared" si="96"/>
        <v>1728</v>
      </c>
      <c r="AB470" s="10">
        <v>288</v>
      </c>
      <c r="AC470" s="11">
        <f t="shared" si="98"/>
        <v>22575.754024999998</v>
      </c>
      <c r="AD470" s="12">
        <f t="shared" si="97"/>
        <v>1728</v>
      </c>
      <c r="AE470" s="13">
        <f t="shared" si="88"/>
        <v>0</v>
      </c>
    </row>
    <row r="471" spans="1:31">
      <c r="A471" s="6">
        <v>15</v>
      </c>
      <c r="B471" s="6">
        <f t="shared" si="99"/>
        <v>8</v>
      </c>
      <c r="C471" s="6" t="str">
        <f t="shared" si="90"/>
        <v>651015300BELEMENT, HEATER, HYBRID 6559903451014900</v>
      </c>
      <c r="D471" s="6" t="s">
        <v>220</v>
      </c>
      <c r="E471" s="6" t="s">
        <v>155</v>
      </c>
      <c r="F471" s="6"/>
      <c r="G471" s="7" t="s">
        <v>137</v>
      </c>
      <c r="H471" s="7"/>
      <c r="I471" s="7"/>
      <c r="J471" s="7"/>
      <c r="K471" s="7"/>
      <c r="L471" s="7">
        <v>6559903</v>
      </c>
      <c r="M471" s="22">
        <v>45101</v>
      </c>
      <c r="N471" s="8" t="s">
        <v>189</v>
      </c>
      <c r="O471" s="8"/>
      <c r="P471" s="7">
        <v>4900</v>
      </c>
      <c r="Q471" s="7">
        <v>2728062.11</v>
      </c>
      <c r="R471" s="7">
        <v>87089400</v>
      </c>
      <c r="S471" s="7">
        <v>15</v>
      </c>
      <c r="T471" s="7" t="s">
        <v>257</v>
      </c>
      <c r="U471" s="7" t="s">
        <v>178</v>
      </c>
      <c r="V471" s="6">
        <f t="shared" si="91"/>
        <v>409209.31649999996</v>
      </c>
      <c r="W471" s="6">
        <f t="shared" si="92"/>
        <v>40920.931649999999</v>
      </c>
      <c r="X471" s="6">
        <f t="shared" si="93"/>
        <v>450130.24814999994</v>
      </c>
      <c r="Y471" s="6">
        <f t="shared" si="94"/>
        <v>91.863315948979576</v>
      </c>
      <c r="Z471" s="6">
        <f t="shared" si="95"/>
        <v>556.74736938775504</v>
      </c>
      <c r="AA471" s="9">
        <f t="shared" si="96"/>
        <v>4900</v>
      </c>
      <c r="AB471" s="10">
        <v>440</v>
      </c>
      <c r="AC471" s="11">
        <f t="shared" si="98"/>
        <v>40419.859017551011</v>
      </c>
      <c r="AD471" s="12">
        <f t="shared" si="97"/>
        <v>4900</v>
      </c>
      <c r="AE471" s="13">
        <f t="shared" si="88"/>
        <v>0</v>
      </c>
    </row>
    <row r="472" spans="1:31">
      <c r="A472" s="6">
        <v>15</v>
      </c>
      <c r="B472" s="6">
        <f t="shared" si="99"/>
        <v>9</v>
      </c>
      <c r="C472" s="6" t="str">
        <f t="shared" si="90"/>
        <v>608225700ASCREW,STD METRIIC HEXALOBULAR  M5 T25 12MM70403424513230000</v>
      </c>
      <c r="D472" s="6" t="s">
        <v>220</v>
      </c>
      <c r="E472" s="6" t="s">
        <v>169</v>
      </c>
      <c r="F472" s="6"/>
      <c r="G472" s="7" t="s">
        <v>147</v>
      </c>
      <c r="H472" s="7"/>
      <c r="I472" s="7"/>
      <c r="J472" s="7"/>
      <c r="K472" s="7"/>
      <c r="L472" s="7">
        <v>7040342</v>
      </c>
      <c r="M472" s="22">
        <v>45132</v>
      </c>
      <c r="N472" s="8" t="s">
        <v>189</v>
      </c>
      <c r="O472" s="8"/>
      <c r="P472" s="7">
        <v>30000</v>
      </c>
      <c r="Q472" s="7">
        <v>98486.61</v>
      </c>
      <c r="R472" s="7">
        <v>87089400</v>
      </c>
      <c r="S472" s="7">
        <v>15</v>
      </c>
      <c r="T472" s="7" t="s">
        <v>266</v>
      </c>
      <c r="U472" s="7" t="s">
        <v>178</v>
      </c>
      <c r="V472" s="6">
        <f t="shared" si="91"/>
        <v>14772.9915</v>
      </c>
      <c r="W472" s="6">
        <f t="shared" si="92"/>
        <v>1477.2991500000001</v>
      </c>
      <c r="X472" s="6">
        <f t="shared" si="93"/>
        <v>16250.290650000001</v>
      </c>
      <c r="Y472" s="6">
        <f t="shared" si="94"/>
        <v>0.541676355</v>
      </c>
      <c r="Z472" s="6">
        <f t="shared" si="95"/>
        <v>3.2828870000000001</v>
      </c>
      <c r="AA472" s="9">
        <f t="shared" si="96"/>
        <v>30000</v>
      </c>
      <c r="AB472" s="10">
        <v>8632</v>
      </c>
      <c r="AC472" s="11">
        <f t="shared" si="98"/>
        <v>4675.75029636</v>
      </c>
      <c r="AD472" s="12">
        <f t="shared" si="97"/>
        <v>30000</v>
      </c>
      <c r="AE472" s="13">
        <f t="shared" si="88"/>
        <v>0</v>
      </c>
    </row>
    <row r="473" spans="1:31">
      <c r="A473" s="6">
        <v>15</v>
      </c>
      <c r="B473" s="6">
        <f t="shared" si="99"/>
        <v>10</v>
      </c>
      <c r="C473" s="6" t="str">
        <f t="shared" si="90"/>
        <v>651166400CSPRING, COIL, UPPER 96737754476445000</v>
      </c>
      <c r="D473" s="6" t="s">
        <v>220</v>
      </c>
      <c r="E473" s="6" t="s">
        <v>170</v>
      </c>
      <c r="F473" s="6"/>
      <c r="G473" s="7" t="s">
        <v>148</v>
      </c>
      <c r="H473" s="7"/>
      <c r="I473" s="7"/>
      <c r="J473" s="7"/>
      <c r="K473" s="7"/>
      <c r="L473" s="7">
        <v>9673775</v>
      </c>
      <c r="M473" s="22">
        <v>44764</v>
      </c>
      <c r="N473" s="8" t="s">
        <v>180</v>
      </c>
      <c r="O473" s="8"/>
      <c r="P473" s="7">
        <v>45000</v>
      </c>
      <c r="Q473" s="7">
        <v>66305.789999999994</v>
      </c>
      <c r="R473" s="7">
        <v>87089500</v>
      </c>
      <c r="S473" s="7">
        <v>15</v>
      </c>
      <c r="T473" s="7" t="s">
        <v>280</v>
      </c>
      <c r="U473" s="7" t="s">
        <v>178</v>
      </c>
      <c r="V473" s="6">
        <f t="shared" si="91"/>
        <v>9945.8684999999987</v>
      </c>
      <c r="W473" s="6">
        <f t="shared" si="92"/>
        <v>994.58684999999991</v>
      </c>
      <c r="X473" s="6">
        <f t="shared" si="93"/>
        <v>10940.455349999998</v>
      </c>
      <c r="Y473" s="6">
        <f t="shared" si="94"/>
        <v>0.24312122999999997</v>
      </c>
      <c r="Z473" s="6">
        <f t="shared" si="95"/>
        <v>1.4734619999999998</v>
      </c>
      <c r="AA473" s="9">
        <f t="shared" si="96"/>
        <v>45000</v>
      </c>
      <c r="AB473" s="10">
        <v>8760</v>
      </c>
      <c r="AC473" s="11">
        <f t="shared" si="98"/>
        <v>2129.7419747999998</v>
      </c>
      <c r="AD473" s="12">
        <f t="shared" si="97"/>
        <v>45000</v>
      </c>
      <c r="AE473" s="13">
        <f t="shared" si="88"/>
        <v>0</v>
      </c>
    </row>
    <row r="474" spans="1:31">
      <c r="A474" s="6">
        <v>15</v>
      </c>
      <c r="B474" s="6">
        <f t="shared" si="99"/>
        <v>11</v>
      </c>
      <c r="C474" s="6" t="str">
        <f t="shared" si="90"/>
        <v>655818900BACTUATOR VIBRATION MOTOR ASSY WITH BRACKET BC3 CU73263124515014400</v>
      </c>
      <c r="D474" s="6" t="s">
        <v>220</v>
      </c>
      <c r="E474" s="6" t="s">
        <v>156</v>
      </c>
      <c r="F474" s="6"/>
      <c r="G474" s="7" t="s">
        <v>133</v>
      </c>
      <c r="H474" s="7"/>
      <c r="I474" s="7"/>
      <c r="J474" s="7"/>
      <c r="K474" s="7"/>
      <c r="L474" s="7">
        <v>7326312</v>
      </c>
      <c r="M474" s="22">
        <v>45150</v>
      </c>
      <c r="N474" s="8" t="s">
        <v>189</v>
      </c>
      <c r="O474" s="8"/>
      <c r="P474" s="7">
        <v>14400</v>
      </c>
      <c r="Q474" s="7">
        <v>4786505.62</v>
      </c>
      <c r="R474" s="7">
        <v>85011019</v>
      </c>
      <c r="S474" s="7">
        <v>15</v>
      </c>
      <c r="T474" s="7" t="s">
        <v>254</v>
      </c>
      <c r="U474" s="7" t="s">
        <v>178</v>
      </c>
      <c r="V474" s="6">
        <f t="shared" si="91"/>
        <v>717975.84299999999</v>
      </c>
      <c r="W474" s="6">
        <f t="shared" si="92"/>
        <v>71797.584300000002</v>
      </c>
      <c r="X474" s="6">
        <f t="shared" si="93"/>
        <v>789773.42729999998</v>
      </c>
      <c r="Y474" s="6">
        <f t="shared" si="94"/>
        <v>54.845376895833333</v>
      </c>
      <c r="Z474" s="6">
        <f t="shared" si="95"/>
        <v>332.39622361111111</v>
      </c>
      <c r="AA474" s="9">
        <f t="shared" si="96"/>
        <v>14400</v>
      </c>
      <c r="AB474" s="10">
        <v>4938</v>
      </c>
      <c r="AC474" s="11">
        <f t="shared" si="98"/>
        <v>270826.47111162503</v>
      </c>
      <c r="AD474" s="12">
        <f t="shared" si="97"/>
        <v>14400</v>
      </c>
      <c r="AE474" s="13">
        <f t="shared" si="88"/>
        <v>0</v>
      </c>
    </row>
    <row r="475" spans="1:31">
      <c r="A475" s="6">
        <v>15</v>
      </c>
      <c r="B475" s="6">
        <f t="shared" si="99"/>
        <v>12</v>
      </c>
      <c r="C475" s="6" t="str">
        <f t="shared" si="90"/>
        <v>639590100BSCREW SELF TAPPING INTERNAL T15, 15.01020145256120000</v>
      </c>
      <c r="D475" s="6" t="s">
        <v>220</v>
      </c>
      <c r="E475" s="6" t="s">
        <v>165</v>
      </c>
      <c r="F475" s="6"/>
      <c r="G475" s="7" t="s">
        <v>143</v>
      </c>
      <c r="H475" s="7"/>
      <c r="I475" s="7"/>
      <c r="J475" s="7"/>
      <c r="K475" s="7"/>
      <c r="L475" s="7">
        <v>10201</v>
      </c>
      <c r="M475" s="22">
        <v>45256</v>
      </c>
      <c r="N475" s="8" t="e">
        <v>#N/A</v>
      </c>
      <c r="O475" s="8"/>
      <c r="P475" s="7">
        <v>120000</v>
      </c>
      <c r="Q475" s="7">
        <v>163630.84</v>
      </c>
      <c r="R475" s="7" t="e">
        <v>#N/A</v>
      </c>
      <c r="S475" s="7">
        <v>15</v>
      </c>
      <c r="T475" s="7" t="e">
        <v>#N/A</v>
      </c>
      <c r="U475" s="7" t="e">
        <v>#N/A</v>
      </c>
      <c r="V475" s="6">
        <f t="shared" si="91"/>
        <v>24544.626</v>
      </c>
      <c r="W475" s="6">
        <f t="shared" si="92"/>
        <v>2454.4626000000003</v>
      </c>
      <c r="X475" s="6">
        <f t="shared" si="93"/>
        <v>26999.088599999999</v>
      </c>
      <c r="Y475" s="6">
        <f t="shared" si="94"/>
        <v>0.22499240500000001</v>
      </c>
      <c r="Z475" s="6">
        <f t="shared" si="95"/>
        <v>1.3635903333333332</v>
      </c>
      <c r="AA475" s="9">
        <f t="shared" si="96"/>
        <v>120000</v>
      </c>
      <c r="AB475" s="10">
        <v>22662</v>
      </c>
      <c r="AC475" s="11">
        <f t="shared" si="98"/>
        <v>5098.7778821100001</v>
      </c>
      <c r="AD475" s="12">
        <f t="shared" si="97"/>
        <v>120000</v>
      </c>
      <c r="AE475" s="13">
        <f t="shared" si="88"/>
        <v>0</v>
      </c>
    </row>
    <row r="476" spans="1:31">
      <c r="A476" s="6">
        <v>15</v>
      </c>
      <c r="B476" s="6">
        <f t="shared" si="99"/>
        <v>13</v>
      </c>
      <c r="C476" s="6" t="str">
        <f t="shared" si="90"/>
        <v>655931500AARMATURE, MONOBLOCK ASW4, HYUNDAI BC3-CUV9671239453066480</v>
      </c>
      <c r="D476" s="6" t="s">
        <v>220</v>
      </c>
      <c r="E476" s="6" t="s">
        <v>157</v>
      </c>
      <c r="F476" s="6"/>
      <c r="G476" s="7" t="s">
        <v>134</v>
      </c>
      <c r="H476" s="7"/>
      <c r="I476" s="7"/>
      <c r="J476" s="7"/>
      <c r="K476" s="7"/>
      <c r="L476" s="7">
        <v>9671239</v>
      </c>
      <c r="M476" s="22">
        <v>45306</v>
      </c>
      <c r="N476" s="8" t="e">
        <v>#N/A</v>
      </c>
      <c r="O476" s="8"/>
      <c r="P476" s="7">
        <v>6480</v>
      </c>
      <c r="Q476" s="7">
        <v>2696157.95</v>
      </c>
      <c r="R476" s="7" t="e">
        <v>#N/A</v>
      </c>
      <c r="S476" s="7">
        <v>15</v>
      </c>
      <c r="T476" s="7" t="e">
        <v>#N/A</v>
      </c>
      <c r="U476" s="7" t="e">
        <v>#N/A</v>
      </c>
      <c r="V476" s="6">
        <f t="shared" si="91"/>
        <v>404423.6925</v>
      </c>
      <c r="W476" s="6">
        <f t="shared" si="92"/>
        <v>40442.369250000003</v>
      </c>
      <c r="X476" s="6">
        <f t="shared" si="93"/>
        <v>444866.06174999999</v>
      </c>
      <c r="Y476" s="6">
        <f t="shared" si="94"/>
        <v>68.652170023148145</v>
      </c>
      <c r="Z476" s="6">
        <f t="shared" si="95"/>
        <v>416.07375771604939</v>
      </c>
      <c r="AA476" s="9">
        <f t="shared" si="96"/>
        <v>6480</v>
      </c>
      <c r="AB476" s="10">
        <v>2502</v>
      </c>
      <c r="AC476" s="11">
        <f t="shared" si="98"/>
        <v>171767.72939791667</v>
      </c>
      <c r="AD476" s="12">
        <f t="shared" si="97"/>
        <v>6480</v>
      </c>
      <c r="AE476" s="13">
        <f t="shared" si="88"/>
        <v>0</v>
      </c>
    </row>
    <row r="477" spans="1:31">
      <c r="A477" s="6">
        <v>15</v>
      </c>
      <c r="B477" s="6">
        <f t="shared" si="99"/>
        <v>14</v>
      </c>
      <c r="C477" s="6" t="str">
        <f t="shared" si="90"/>
        <v>644345600ASCREW, SELF-TAPPING, PLA PLASTIC, 3.0, CROSS467246744973120000</v>
      </c>
      <c r="D477" s="6" t="s">
        <v>220</v>
      </c>
      <c r="E477" s="6" t="s">
        <v>166</v>
      </c>
      <c r="F477" s="6"/>
      <c r="G477" s="7" t="s">
        <v>144</v>
      </c>
      <c r="H477" s="7"/>
      <c r="I477" s="7"/>
      <c r="J477" s="7"/>
      <c r="K477" s="7"/>
      <c r="L477" s="7">
        <v>4672467</v>
      </c>
      <c r="M477" s="22">
        <v>44973</v>
      </c>
      <c r="N477" s="8" t="s">
        <v>182</v>
      </c>
      <c r="O477" s="8"/>
      <c r="P477" s="7">
        <v>120000</v>
      </c>
      <c r="Q477" s="7">
        <v>96772.74</v>
      </c>
      <c r="R477" s="7">
        <v>87089500</v>
      </c>
      <c r="S477" s="7">
        <v>15</v>
      </c>
      <c r="T477" s="7" t="s">
        <v>183</v>
      </c>
      <c r="U477" s="7" t="s">
        <v>178</v>
      </c>
      <c r="V477" s="6">
        <f t="shared" si="91"/>
        <v>14515.911</v>
      </c>
      <c r="W477" s="6">
        <f t="shared" si="92"/>
        <v>1451.5911000000001</v>
      </c>
      <c r="X477" s="6">
        <f t="shared" si="93"/>
        <v>15967.5021</v>
      </c>
      <c r="Y477" s="6">
        <f t="shared" si="94"/>
        <v>0.1330625175</v>
      </c>
      <c r="Z477" s="6">
        <f t="shared" si="95"/>
        <v>0.80643950000000009</v>
      </c>
      <c r="AA477" s="9">
        <f t="shared" si="96"/>
        <v>120000</v>
      </c>
      <c r="AB477" s="10">
        <v>14400</v>
      </c>
      <c r="AC477" s="11">
        <f t="shared" si="98"/>
        <v>1916.1002520000002</v>
      </c>
      <c r="AD477" s="12">
        <f t="shared" si="97"/>
        <v>117964</v>
      </c>
      <c r="AE477" s="13">
        <f t="shared" si="88"/>
        <v>2036</v>
      </c>
    </row>
    <row r="478" spans="1:31">
      <c r="A478" s="6">
        <v>15</v>
      </c>
      <c r="B478" s="6">
        <f t="shared" si="99"/>
        <v>15</v>
      </c>
      <c r="C478" s="6" t="str">
        <f t="shared" si="90"/>
        <v>628408700ASCREW, STANDARD, METRIC, M5, HEXALOBULAR INTERNAL74554464515925000</v>
      </c>
      <c r="D478" s="6" t="s">
        <v>220</v>
      </c>
      <c r="E478" s="6" t="s">
        <v>167</v>
      </c>
      <c r="F478" s="6"/>
      <c r="G478" s="7" t="s">
        <v>145</v>
      </c>
      <c r="H478" s="7"/>
      <c r="I478" s="7"/>
      <c r="J478" s="7"/>
      <c r="K478" s="7"/>
      <c r="L478" s="7">
        <v>7455446</v>
      </c>
      <c r="M478" s="22">
        <v>45159</v>
      </c>
      <c r="N478" s="8" t="s">
        <v>180</v>
      </c>
      <c r="O478" s="8"/>
      <c r="P478" s="7">
        <v>25000</v>
      </c>
      <c r="Q478" s="7">
        <v>130897.09</v>
      </c>
      <c r="R478" s="7">
        <v>87089400</v>
      </c>
      <c r="S478" s="7">
        <v>15</v>
      </c>
      <c r="T478" s="7" t="s">
        <v>181</v>
      </c>
      <c r="U478" s="7" t="s">
        <v>178</v>
      </c>
      <c r="V478" s="6">
        <f t="shared" si="91"/>
        <v>19634.5635</v>
      </c>
      <c r="W478" s="6">
        <f t="shared" si="92"/>
        <v>1963.4563500000002</v>
      </c>
      <c r="X478" s="6">
        <f t="shared" si="93"/>
        <v>21598.019850000001</v>
      </c>
      <c r="Y478" s="6">
        <f t="shared" si="94"/>
        <v>0.86392079399999999</v>
      </c>
      <c r="Z478" s="6">
        <f t="shared" si="95"/>
        <v>5.2358836000000002</v>
      </c>
      <c r="AA478" s="9">
        <f t="shared" si="96"/>
        <v>25000</v>
      </c>
      <c r="AB478" s="10">
        <v>13757</v>
      </c>
      <c r="AC478" s="11">
        <f t="shared" si="98"/>
        <v>11884.958363058</v>
      </c>
      <c r="AD478" s="12">
        <f t="shared" si="97"/>
        <v>25000</v>
      </c>
      <c r="AE478" s="13">
        <f t="shared" si="88"/>
        <v>0</v>
      </c>
    </row>
    <row r="479" spans="1:31">
      <c r="A479" s="6">
        <v>15</v>
      </c>
      <c r="B479" s="6">
        <f t="shared" si="99"/>
        <v>16</v>
      </c>
      <c r="C479" s="6" t="str">
        <f t="shared" si="90"/>
        <v>651409900ASCREW, STD METRIC M6 HEXALOBULAR INTERNAL, T466871234511030000</v>
      </c>
      <c r="D479" s="6" t="s">
        <v>220</v>
      </c>
      <c r="E479" s="6" t="s">
        <v>168</v>
      </c>
      <c r="F479" s="6"/>
      <c r="G479" s="7" t="s">
        <v>146</v>
      </c>
      <c r="H479" s="7"/>
      <c r="I479" s="7"/>
      <c r="J479" s="7"/>
      <c r="K479" s="7"/>
      <c r="L479" s="7">
        <v>6687123</v>
      </c>
      <c r="M479" s="22">
        <v>45110</v>
      </c>
      <c r="N479" s="8" t="s">
        <v>189</v>
      </c>
      <c r="O479" s="8"/>
      <c r="P479" s="7">
        <v>30000</v>
      </c>
      <c r="Q479" s="7">
        <v>98880.95</v>
      </c>
      <c r="R479" s="7">
        <v>87089500</v>
      </c>
      <c r="S479" s="7">
        <v>15</v>
      </c>
      <c r="T479" s="7" t="s">
        <v>183</v>
      </c>
      <c r="U479" s="7" t="s">
        <v>178</v>
      </c>
      <c r="V479" s="6">
        <f t="shared" si="91"/>
        <v>14832.142499999998</v>
      </c>
      <c r="W479" s="6">
        <f t="shared" si="92"/>
        <v>1483.21425</v>
      </c>
      <c r="X479" s="6">
        <f t="shared" si="93"/>
        <v>16315.356749999999</v>
      </c>
      <c r="Y479" s="6">
        <f t="shared" si="94"/>
        <v>0.54384522499999999</v>
      </c>
      <c r="Z479" s="6">
        <f t="shared" si="95"/>
        <v>3.2960316666666665</v>
      </c>
      <c r="AA479" s="9">
        <f t="shared" si="96"/>
        <v>30000</v>
      </c>
      <c r="AB479" s="10">
        <v>14400</v>
      </c>
      <c r="AC479" s="11">
        <f t="shared" si="98"/>
        <v>7831.3712399999995</v>
      </c>
      <c r="AD479" s="12">
        <f t="shared" si="97"/>
        <v>30000</v>
      </c>
      <c r="AE479" s="13">
        <f t="shared" si="88"/>
        <v>0</v>
      </c>
    </row>
    <row r="480" spans="1:31">
      <c r="A480" s="6">
        <v>15</v>
      </c>
      <c r="B480" s="6">
        <f t="shared" si="99"/>
        <v>17</v>
      </c>
      <c r="C480" s="6" t="str">
        <f t="shared" si="90"/>
        <v>652466500ALEATHER, HIDE TOP GRAIN, OBSIDIAN BLACK, NNB, BLA4153391449382144.6</v>
      </c>
      <c r="D480" s="6" t="s">
        <v>220</v>
      </c>
      <c r="E480" s="6" t="s">
        <v>163</v>
      </c>
      <c r="F480" s="6"/>
      <c r="G480" s="7" t="s">
        <v>141</v>
      </c>
      <c r="H480" s="7"/>
      <c r="I480" s="7"/>
      <c r="J480" s="7"/>
      <c r="K480" s="7"/>
      <c r="L480" s="7">
        <v>4153391</v>
      </c>
      <c r="M480" s="22">
        <v>44938</v>
      </c>
      <c r="N480" s="8" t="s">
        <v>190</v>
      </c>
      <c r="O480" s="8"/>
      <c r="P480" s="7">
        <v>2144.6</v>
      </c>
      <c r="Q480" s="7">
        <v>5171904</v>
      </c>
      <c r="R480" s="7">
        <v>41071200</v>
      </c>
      <c r="S480" s="7">
        <v>0</v>
      </c>
      <c r="T480" s="7" t="s">
        <v>279</v>
      </c>
      <c r="U480" s="7" t="s">
        <v>178</v>
      </c>
      <c r="V480" s="6">
        <f t="shared" si="91"/>
        <v>0</v>
      </c>
      <c r="W480" s="6">
        <f t="shared" si="92"/>
        <v>0</v>
      </c>
      <c r="X480" s="6">
        <f t="shared" si="93"/>
        <v>0</v>
      </c>
      <c r="Y480" s="6">
        <f t="shared" si="94"/>
        <v>0</v>
      </c>
      <c r="Z480" s="6">
        <f t="shared" si="95"/>
        <v>2411.5937704000748</v>
      </c>
      <c r="AA480" s="9">
        <f t="shared" si="96"/>
        <v>2144.6</v>
      </c>
      <c r="AB480" s="10">
        <v>0</v>
      </c>
      <c r="AC480" s="11">
        <f t="shared" si="98"/>
        <v>0</v>
      </c>
      <c r="AD480" s="12">
        <f t="shared" si="97"/>
        <v>2117.624914</v>
      </c>
      <c r="AE480" s="13">
        <f t="shared" si="88"/>
        <v>26.975085999999919</v>
      </c>
    </row>
    <row r="481" spans="1:31">
      <c r="A481" s="6">
        <v>15</v>
      </c>
      <c r="B481" s="6">
        <f t="shared" si="99"/>
        <v>18</v>
      </c>
      <c r="C481" s="6" t="str">
        <f t="shared" si="90"/>
        <v>651166400CSPRING, COIL, UPPER 97724674527845000</v>
      </c>
      <c r="D481" s="6" t="s">
        <v>220</v>
      </c>
      <c r="E481" s="6" t="s">
        <v>170</v>
      </c>
      <c r="F481" s="6"/>
      <c r="G481" s="7" t="s">
        <v>148</v>
      </c>
      <c r="H481" s="7"/>
      <c r="I481" s="7"/>
      <c r="J481" s="7"/>
      <c r="K481" s="7"/>
      <c r="L481" s="7">
        <v>9772467</v>
      </c>
      <c r="M481" s="22">
        <v>45278</v>
      </c>
      <c r="N481" s="8" t="e">
        <v>#N/A</v>
      </c>
      <c r="O481" s="8"/>
      <c r="P481" s="7">
        <v>45000</v>
      </c>
      <c r="Q481" s="7">
        <v>81521.94</v>
      </c>
      <c r="R481" s="7" t="e">
        <v>#N/A</v>
      </c>
      <c r="S481" s="7">
        <v>15</v>
      </c>
      <c r="T481" s="7" t="e">
        <v>#N/A</v>
      </c>
      <c r="U481" s="7" t="e">
        <v>#N/A</v>
      </c>
      <c r="V481" s="6">
        <f t="shared" si="91"/>
        <v>12228.290999999999</v>
      </c>
      <c r="W481" s="6">
        <f t="shared" si="92"/>
        <v>1222.8290999999999</v>
      </c>
      <c r="X481" s="6">
        <f t="shared" si="93"/>
        <v>13451.1201</v>
      </c>
      <c r="Y481" s="6">
        <f t="shared" si="94"/>
        <v>0.29891378000000002</v>
      </c>
      <c r="Z481" s="6">
        <f t="shared" si="95"/>
        <v>1.8115986666666668</v>
      </c>
      <c r="AA481" s="9">
        <f t="shared" si="96"/>
        <v>45000</v>
      </c>
      <c r="AB481" s="10">
        <v>12840</v>
      </c>
      <c r="AC481" s="11">
        <f t="shared" si="98"/>
        <v>3838.0529352000003</v>
      </c>
      <c r="AD481" s="12">
        <f t="shared" si="97"/>
        <v>45000</v>
      </c>
      <c r="AE481" s="13">
        <f t="shared" si="88"/>
        <v>0</v>
      </c>
    </row>
    <row r="482" spans="1:31">
      <c r="A482" s="6">
        <v>15</v>
      </c>
      <c r="B482" s="6">
        <f t="shared" si="99"/>
        <v>19</v>
      </c>
      <c r="C482" s="6" t="str">
        <f t="shared" si="90"/>
        <v>652466500ALEATHER, HIDE TOP GRAIN, OBSIDIAN BLACK, NNB, BLA5703451450435478.49</v>
      </c>
      <c r="D482" s="6" t="s">
        <v>220</v>
      </c>
      <c r="E482" s="6" t="s">
        <v>163</v>
      </c>
      <c r="F482" s="6"/>
      <c r="G482" s="7" t="s">
        <v>141</v>
      </c>
      <c r="H482" s="7"/>
      <c r="I482" s="7"/>
      <c r="J482" s="7"/>
      <c r="K482" s="7"/>
      <c r="L482" s="7">
        <v>5703451</v>
      </c>
      <c r="M482" s="22">
        <v>45043</v>
      </c>
      <c r="N482" s="8" t="s">
        <v>184</v>
      </c>
      <c r="O482" s="8"/>
      <c r="P482" s="7">
        <v>5478.4900000000007</v>
      </c>
      <c r="Q482" s="7">
        <v>14099606.499999998</v>
      </c>
      <c r="R482" s="7">
        <v>41071200</v>
      </c>
      <c r="S482" s="7">
        <v>0</v>
      </c>
      <c r="T482" s="7" t="s">
        <v>261</v>
      </c>
      <c r="U482" s="7" t="s">
        <v>178</v>
      </c>
      <c r="V482" s="6">
        <f t="shared" si="91"/>
        <v>0</v>
      </c>
      <c r="W482" s="6">
        <f t="shared" si="92"/>
        <v>0</v>
      </c>
      <c r="X482" s="6">
        <f t="shared" si="93"/>
        <v>0</v>
      </c>
      <c r="Y482" s="6">
        <f t="shared" si="94"/>
        <v>0</v>
      </c>
      <c r="Z482" s="6">
        <f t="shared" si="95"/>
        <v>2573.6300513462643</v>
      </c>
      <c r="AA482" s="9">
        <f t="shared" si="96"/>
        <v>5478.4900000000007</v>
      </c>
      <c r="AB482" s="10">
        <v>148</v>
      </c>
      <c r="AC482" s="11">
        <f t="shared" si="98"/>
        <v>0</v>
      </c>
      <c r="AD482" s="12">
        <f t="shared" si="97"/>
        <v>5478.4900000000007</v>
      </c>
      <c r="AE482" s="13">
        <f t="shared" si="88"/>
        <v>0</v>
      </c>
    </row>
    <row r="483" spans="1:31">
      <c r="A483" s="6">
        <v>15</v>
      </c>
      <c r="B483" s="6">
        <f t="shared" si="99"/>
        <v>20</v>
      </c>
      <c r="C483" s="6" t="str">
        <f t="shared" si="90"/>
        <v>655818900BACTUATOR VIBRATION MOTOR ASSY WITH BRACKET BC3 CU8332973452169600</v>
      </c>
      <c r="D483" s="6" t="s">
        <v>220</v>
      </c>
      <c r="E483" s="6" t="s">
        <v>156</v>
      </c>
      <c r="F483" s="6"/>
      <c r="G483" s="7" t="s">
        <v>133</v>
      </c>
      <c r="H483" s="7"/>
      <c r="I483" s="7"/>
      <c r="J483" s="7"/>
      <c r="K483" s="7"/>
      <c r="L483" s="7">
        <v>8332973</v>
      </c>
      <c r="M483" s="22">
        <v>45216</v>
      </c>
      <c r="N483" s="8" t="e">
        <v>#N/A</v>
      </c>
      <c r="O483" s="8"/>
      <c r="P483" s="7">
        <v>9600</v>
      </c>
      <c r="Q483" s="7">
        <v>3204748.52</v>
      </c>
      <c r="R483" s="7" t="e">
        <v>#N/A</v>
      </c>
      <c r="S483" s="7">
        <v>15</v>
      </c>
      <c r="T483" s="7" t="e">
        <v>#N/A</v>
      </c>
      <c r="U483" s="7" t="e">
        <v>#N/A</v>
      </c>
      <c r="V483" s="6">
        <f t="shared" si="91"/>
        <v>480712.27799999999</v>
      </c>
      <c r="W483" s="6">
        <f t="shared" si="92"/>
        <v>48071.227800000001</v>
      </c>
      <c r="X483" s="6">
        <f t="shared" si="93"/>
        <v>528783.50580000004</v>
      </c>
      <c r="Y483" s="6">
        <f t="shared" si="94"/>
        <v>55.081615187500006</v>
      </c>
      <c r="Z483" s="6">
        <f t="shared" si="95"/>
        <v>333.82797083333332</v>
      </c>
      <c r="AA483" s="9">
        <f t="shared" si="96"/>
        <v>9600</v>
      </c>
      <c r="AB483" s="10">
        <v>2262</v>
      </c>
      <c r="AC483" s="11">
        <f t="shared" si="98"/>
        <v>124594.61355412501</v>
      </c>
      <c r="AD483" s="12">
        <f t="shared" si="97"/>
        <v>9600</v>
      </c>
      <c r="AE483" s="13">
        <f t="shared" si="88"/>
        <v>0</v>
      </c>
    </row>
    <row r="484" spans="1:31">
      <c r="A484" s="6">
        <v>15</v>
      </c>
      <c r="B484" s="6">
        <f t="shared" si="99"/>
        <v>21</v>
      </c>
      <c r="C484" s="6" t="str">
        <f t="shared" si="90"/>
        <v>655931500AARMATURE, MONOBLOCK ASW4, HYUNDAI BC3-CUV8007665451954050</v>
      </c>
      <c r="D484" s="6" t="s">
        <v>220</v>
      </c>
      <c r="E484" s="6" t="s">
        <v>157</v>
      </c>
      <c r="F484" s="6"/>
      <c r="G484" s="7" t="s">
        <v>134</v>
      </c>
      <c r="H484" s="7"/>
      <c r="I484" s="7"/>
      <c r="J484" s="7"/>
      <c r="K484" s="7"/>
      <c r="L484" s="7">
        <v>8007665</v>
      </c>
      <c r="M484" s="22">
        <v>45195</v>
      </c>
      <c r="N484" s="8" t="s">
        <v>184</v>
      </c>
      <c r="O484" s="8"/>
      <c r="P484" s="7">
        <v>4050</v>
      </c>
      <c r="Q484" s="7">
        <v>1727818.2</v>
      </c>
      <c r="R484" s="7">
        <v>87089400</v>
      </c>
      <c r="S484" s="7">
        <v>15</v>
      </c>
      <c r="T484" s="7" t="s">
        <v>186</v>
      </c>
      <c r="U484" s="7" t="s">
        <v>178</v>
      </c>
      <c r="V484" s="6">
        <f t="shared" si="91"/>
        <v>259172.72999999998</v>
      </c>
      <c r="W484" s="6">
        <f t="shared" si="92"/>
        <v>25917.273000000001</v>
      </c>
      <c r="X484" s="6">
        <f t="shared" si="93"/>
        <v>285090.00299999997</v>
      </c>
      <c r="Y484" s="6">
        <f t="shared" si="94"/>
        <v>70.392593333333323</v>
      </c>
      <c r="Z484" s="6">
        <f t="shared" si="95"/>
        <v>426.62177777777777</v>
      </c>
      <c r="AA484" s="9">
        <f t="shared" si="96"/>
        <v>4050</v>
      </c>
      <c r="AB484" s="10">
        <v>4050</v>
      </c>
      <c r="AC484" s="11">
        <f t="shared" si="98"/>
        <v>285090.00299999997</v>
      </c>
      <c r="AD484" s="12">
        <f t="shared" si="97"/>
        <v>4050</v>
      </c>
      <c r="AE484" s="13">
        <f t="shared" si="88"/>
        <v>0</v>
      </c>
    </row>
    <row r="485" spans="1:31">
      <c r="A485" s="6">
        <v>15</v>
      </c>
      <c r="B485" s="6">
        <f t="shared" si="99"/>
        <v>22</v>
      </c>
      <c r="C485" s="6" t="str">
        <f t="shared" si="90"/>
        <v>651015300BELEMENT, HEATER, HYBRID 7282540451485600</v>
      </c>
      <c r="D485" s="6" t="s">
        <v>220</v>
      </c>
      <c r="E485" s="6" t="s">
        <v>155</v>
      </c>
      <c r="F485" s="6"/>
      <c r="G485" s="7" t="s">
        <v>137</v>
      </c>
      <c r="H485" s="7"/>
      <c r="I485" s="7"/>
      <c r="J485" s="7"/>
      <c r="K485" s="7"/>
      <c r="L485" s="7">
        <v>7282540</v>
      </c>
      <c r="M485" s="22">
        <v>45148</v>
      </c>
      <c r="N485" s="8" t="s">
        <v>189</v>
      </c>
      <c r="O485" s="8"/>
      <c r="P485" s="7">
        <v>5600</v>
      </c>
      <c r="Q485" s="7">
        <v>3062840.63</v>
      </c>
      <c r="R485" s="7">
        <v>87089400</v>
      </c>
      <c r="S485" s="7">
        <v>15</v>
      </c>
      <c r="T485" s="7" t="s">
        <v>294</v>
      </c>
      <c r="U485" s="7" t="s">
        <v>178</v>
      </c>
      <c r="V485" s="6">
        <f t="shared" si="91"/>
        <v>459426.09449999995</v>
      </c>
      <c r="W485" s="6">
        <f t="shared" si="92"/>
        <v>45942.609449999996</v>
      </c>
      <c r="X485" s="6">
        <f t="shared" si="93"/>
        <v>505368.70394999994</v>
      </c>
      <c r="Y485" s="6">
        <f t="shared" si="94"/>
        <v>90.244411419642844</v>
      </c>
      <c r="Z485" s="6">
        <f t="shared" si="95"/>
        <v>546.93582678571431</v>
      </c>
      <c r="AA485" s="9">
        <f t="shared" si="96"/>
        <v>5600</v>
      </c>
      <c r="AB485" s="10">
        <v>2034</v>
      </c>
      <c r="AC485" s="11">
        <f t="shared" si="98"/>
        <v>183557.13282755355</v>
      </c>
      <c r="AD485" s="12">
        <f t="shared" si="97"/>
        <v>5600</v>
      </c>
      <c r="AE485" s="13">
        <f t="shared" si="88"/>
        <v>0</v>
      </c>
    </row>
    <row r="486" spans="1:31">
      <c r="A486" s="6">
        <v>15</v>
      </c>
      <c r="B486" s="6">
        <f t="shared" si="99"/>
        <v>23</v>
      </c>
      <c r="C486" s="6" t="str">
        <f t="shared" si="90"/>
        <v>653052600AINFLATOR, APP-4.6, 2.2MO STANDARD_MIB, SQUARE_61X6164172450751728</v>
      </c>
      <c r="D486" s="6" t="s">
        <v>220</v>
      </c>
      <c r="E486" s="6" t="s">
        <v>161</v>
      </c>
      <c r="F486" s="6"/>
      <c r="G486" s="7" t="s">
        <v>139</v>
      </c>
      <c r="H486" s="7"/>
      <c r="I486" s="7"/>
      <c r="J486" s="7"/>
      <c r="K486" s="7"/>
      <c r="L486" s="7">
        <v>6164172</v>
      </c>
      <c r="M486" s="22">
        <v>45075</v>
      </c>
      <c r="N486" s="8" t="s">
        <v>184</v>
      </c>
      <c r="O486" s="8"/>
      <c r="P486" s="7">
        <v>1728</v>
      </c>
      <c r="Q486" s="7">
        <v>905080.82</v>
      </c>
      <c r="R486" s="7">
        <v>87089500</v>
      </c>
      <c r="S486" s="7">
        <v>15</v>
      </c>
      <c r="T486" s="7" t="s">
        <v>259</v>
      </c>
      <c r="U486" s="7" t="s">
        <v>200</v>
      </c>
      <c r="V486" s="6">
        <f t="shared" si="91"/>
        <v>135762.12299999999</v>
      </c>
      <c r="W486" s="6">
        <f t="shared" si="92"/>
        <v>13576.212299999999</v>
      </c>
      <c r="X486" s="6">
        <f t="shared" si="93"/>
        <v>149338.33529999998</v>
      </c>
      <c r="Y486" s="6">
        <f t="shared" si="94"/>
        <v>86.422647743055549</v>
      </c>
      <c r="Z486" s="6">
        <f t="shared" si="95"/>
        <v>523.77362268518516</v>
      </c>
      <c r="AA486" s="9">
        <f t="shared" si="96"/>
        <v>1728</v>
      </c>
      <c r="AB486" s="10">
        <v>672</v>
      </c>
      <c r="AC486" s="11">
        <f t="shared" si="98"/>
        <v>58076.019283333328</v>
      </c>
      <c r="AD486" s="12">
        <f t="shared" si="97"/>
        <v>1632</v>
      </c>
      <c r="AE486" s="13">
        <f t="shared" si="88"/>
        <v>96</v>
      </c>
    </row>
    <row r="487" spans="1:31">
      <c r="A487" s="6">
        <v>15</v>
      </c>
      <c r="B487" s="6">
        <f t="shared" si="99"/>
        <v>24</v>
      </c>
      <c r="C487" s="6" t="str">
        <f t="shared" si="90"/>
        <v>639590100BSCREW SELF TAPPING INTERNAL T15, 15.01076345369120000</v>
      </c>
      <c r="D487" s="6" t="s">
        <v>220</v>
      </c>
      <c r="E487" s="6" t="s">
        <v>165</v>
      </c>
      <c r="F487" s="6"/>
      <c r="G487" s="7" t="s">
        <v>143</v>
      </c>
      <c r="H487" s="7"/>
      <c r="I487" s="7"/>
      <c r="J487" s="7"/>
      <c r="K487" s="7"/>
      <c r="L487" s="7">
        <v>10763</v>
      </c>
      <c r="M487" s="22">
        <v>45369</v>
      </c>
      <c r="N487" s="8" t="e">
        <v>#N/A</v>
      </c>
      <c r="O487" s="8"/>
      <c r="P487" s="7">
        <v>120000</v>
      </c>
      <c r="Q487" s="7">
        <v>161852.57999999999</v>
      </c>
      <c r="R487" s="7" t="e">
        <v>#N/A</v>
      </c>
      <c r="S487" s="7">
        <v>15</v>
      </c>
      <c r="T487" s="7" t="e">
        <v>#N/A</v>
      </c>
      <c r="U487" s="7" t="e">
        <v>#N/A</v>
      </c>
      <c r="V487" s="6">
        <f t="shared" si="91"/>
        <v>24277.886999999999</v>
      </c>
      <c r="W487" s="6">
        <f t="shared" si="92"/>
        <v>2427.7887000000001</v>
      </c>
      <c r="X487" s="6">
        <f t="shared" si="93"/>
        <v>26705.6757</v>
      </c>
      <c r="Y487" s="6">
        <f t="shared" si="94"/>
        <v>0.22254729749999999</v>
      </c>
      <c r="Z487" s="6">
        <f t="shared" si="95"/>
        <v>1.3487714999999998</v>
      </c>
      <c r="AA487" s="9">
        <f t="shared" si="96"/>
        <v>120000</v>
      </c>
      <c r="AB487" s="10">
        <v>16074</v>
      </c>
      <c r="AC487" s="11">
        <f t="shared" si="98"/>
        <v>3577.225260015</v>
      </c>
      <c r="AD487" s="12">
        <f t="shared" si="97"/>
        <v>120000</v>
      </c>
      <c r="AE487" s="13">
        <f t="shared" si="88"/>
        <v>0</v>
      </c>
    </row>
    <row r="488" spans="1:31">
      <c r="A488" s="6">
        <v>15</v>
      </c>
      <c r="B488" s="6">
        <f t="shared" si="99"/>
        <v>25</v>
      </c>
      <c r="C488" s="6" t="str">
        <f t="shared" si="90"/>
        <v>628408700ASCREW, STANDARD, METRIC, M5, HEXALOBULAR INTERNAL83740634521845000</v>
      </c>
      <c r="D488" s="6" t="s">
        <v>220</v>
      </c>
      <c r="E488" s="6" t="s">
        <v>167</v>
      </c>
      <c r="F488" s="6"/>
      <c r="G488" s="7" t="s">
        <v>145</v>
      </c>
      <c r="H488" s="7"/>
      <c r="I488" s="7"/>
      <c r="J488" s="7"/>
      <c r="K488" s="7"/>
      <c r="L488" s="7">
        <v>8374063</v>
      </c>
      <c r="M488" s="22">
        <v>45218</v>
      </c>
      <c r="N488" s="8" t="e">
        <v>#N/A</v>
      </c>
      <c r="O488" s="8"/>
      <c r="P488" s="7">
        <v>45000</v>
      </c>
      <c r="Q488" s="7">
        <v>230008.94</v>
      </c>
      <c r="R488" s="7" t="e">
        <v>#N/A</v>
      </c>
      <c r="S488" s="7">
        <v>15</v>
      </c>
      <c r="T488" s="7" t="e">
        <v>#N/A</v>
      </c>
      <c r="U488" s="7" t="e">
        <v>#N/A</v>
      </c>
      <c r="V488" s="6">
        <f t="shared" si="91"/>
        <v>34501.341</v>
      </c>
      <c r="W488" s="6">
        <f t="shared" si="92"/>
        <v>3450.1341000000002</v>
      </c>
      <c r="X488" s="6">
        <f t="shared" si="93"/>
        <v>37951.475100000003</v>
      </c>
      <c r="Y488" s="6">
        <f t="shared" si="94"/>
        <v>0.84336611333333344</v>
      </c>
      <c r="Z488" s="6">
        <f t="shared" si="95"/>
        <v>5.1113097777777776</v>
      </c>
      <c r="AA488" s="9">
        <f t="shared" si="96"/>
        <v>45000</v>
      </c>
      <c r="AB488" s="10">
        <v>7843</v>
      </c>
      <c r="AC488" s="11">
        <f t="shared" si="98"/>
        <v>6614.5204268733341</v>
      </c>
      <c r="AD488" s="12">
        <f t="shared" si="97"/>
        <v>45000</v>
      </c>
      <c r="AE488" s="13">
        <f t="shared" si="88"/>
        <v>0</v>
      </c>
    </row>
    <row r="489" spans="1:31">
      <c r="A489" s="6">
        <v>15</v>
      </c>
      <c r="B489" s="6">
        <f t="shared" si="99"/>
        <v>26</v>
      </c>
      <c r="C489" s="6" t="str">
        <f t="shared" si="90"/>
        <v>608225700ASCREW,STD METRIIC HEXALOBULAR  M5 T25 12MM98001224477225000</v>
      </c>
      <c r="D489" s="6" t="s">
        <v>220</v>
      </c>
      <c r="E489" s="6" t="s">
        <v>169</v>
      </c>
      <c r="F489" s="6"/>
      <c r="G489" s="7" t="s">
        <v>147</v>
      </c>
      <c r="H489" s="7"/>
      <c r="I489" s="7"/>
      <c r="J489" s="7"/>
      <c r="K489" s="7"/>
      <c r="L489" s="7">
        <v>9800122</v>
      </c>
      <c r="M489" s="22">
        <v>44772</v>
      </c>
      <c r="N489" s="8" t="s">
        <v>180</v>
      </c>
      <c r="O489" s="8"/>
      <c r="P489" s="7">
        <v>25000</v>
      </c>
      <c r="Q489" s="7">
        <v>80029.240000000005</v>
      </c>
      <c r="R489" s="7">
        <v>87089400</v>
      </c>
      <c r="S489" s="7">
        <v>15</v>
      </c>
      <c r="T489" s="7" t="s">
        <v>295</v>
      </c>
      <c r="U489" s="7" t="s">
        <v>178</v>
      </c>
      <c r="V489" s="6">
        <f t="shared" si="91"/>
        <v>12004.386</v>
      </c>
      <c r="W489" s="6">
        <f t="shared" si="92"/>
        <v>1200.4386000000002</v>
      </c>
      <c r="X489" s="6">
        <f t="shared" si="93"/>
        <v>13204.8246</v>
      </c>
      <c r="Y489" s="6">
        <f t="shared" si="94"/>
        <v>0.52819298400000003</v>
      </c>
      <c r="Z489" s="6">
        <f t="shared" si="95"/>
        <v>3.2011696000000001</v>
      </c>
      <c r="AA489" s="9">
        <f t="shared" si="96"/>
        <v>25000</v>
      </c>
      <c r="AB489" s="10">
        <v>5768</v>
      </c>
      <c r="AC489" s="11">
        <f t="shared" si="98"/>
        <v>3046.6171317120002</v>
      </c>
      <c r="AD489" s="12">
        <f t="shared" si="97"/>
        <v>25000</v>
      </c>
      <c r="AE489" s="13">
        <f t="shared" si="88"/>
        <v>0</v>
      </c>
    </row>
    <row r="490" spans="1:31">
      <c r="A490" s="6">
        <v>15</v>
      </c>
      <c r="B490" s="6">
        <f t="shared" si="99"/>
        <v>27</v>
      </c>
      <c r="C490" s="6" t="str">
        <f t="shared" si="90"/>
        <v>655931500AARMATURE, MONOBLOCK ASW4, HYUNDAI BC3-CUV8890638452531620</v>
      </c>
      <c r="D490" s="6" t="s">
        <v>220</v>
      </c>
      <c r="E490" s="6" t="s">
        <v>157</v>
      </c>
      <c r="F490" s="6"/>
      <c r="G490" s="7" t="s">
        <v>134</v>
      </c>
      <c r="H490" s="7"/>
      <c r="I490" s="7"/>
      <c r="J490" s="7"/>
      <c r="K490" s="7"/>
      <c r="L490" s="7">
        <v>8890638</v>
      </c>
      <c r="M490" s="22">
        <v>45253</v>
      </c>
      <c r="N490" s="8" t="s">
        <v>184</v>
      </c>
      <c r="O490" s="8"/>
      <c r="P490" s="7">
        <v>1620</v>
      </c>
      <c r="Q490" s="7">
        <v>668949.47</v>
      </c>
      <c r="R490" s="7">
        <v>87089400</v>
      </c>
      <c r="S490" s="7">
        <v>15</v>
      </c>
      <c r="T490" s="7" t="s">
        <v>186</v>
      </c>
      <c r="U490" s="7" t="s">
        <v>178</v>
      </c>
      <c r="V490" s="6">
        <f t="shared" si="91"/>
        <v>100342.42049999999</v>
      </c>
      <c r="W490" s="6">
        <f t="shared" si="92"/>
        <v>10034.242050000001</v>
      </c>
      <c r="X490" s="6">
        <f t="shared" si="93"/>
        <v>110376.66254999999</v>
      </c>
      <c r="Y490" s="6">
        <f t="shared" si="94"/>
        <v>68.13374231481481</v>
      </c>
      <c r="Z490" s="6">
        <f t="shared" si="95"/>
        <v>412.93177160493826</v>
      </c>
      <c r="AA490" s="9">
        <f t="shared" si="96"/>
        <v>1620</v>
      </c>
      <c r="AB490" s="10">
        <v>648</v>
      </c>
      <c r="AC490" s="11">
        <f t="shared" si="98"/>
        <v>44150.66502</v>
      </c>
      <c r="AD490" s="12">
        <f t="shared" si="97"/>
        <v>1620</v>
      </c>
      <c r="AE490" s="13">
        <f t="shared" si="88"/>
        <v>0</v>
      </c>
    </row>
    <row r="491" spans="1:31">
      <c r="A491" s="6">
        <v>16</v>
      </c>
      <c r="B491" s="6">
        <v>1</v>
      </c>
      <c r="C491" s="6" t="str">
        <f t="shared" si="90"/>
        <v>630580800ALABEL, RAW MATERIAL, BLA K12 TPC BUCKLE5160585449362400000</v>
      </c>
      <c r="D491" s="6" t="s">
        <v>221</v>
      </c>
      <c r="E491" s="6" t="s">
        <v>71</v>
      </c>
      <c r="F491" s="6"/>
      <c r="G491" s="7" t="s">
        <v>31</v>
      </c>
      <c r="H491" s="7"/>
      <c r="I491" s="7"/>
      <c r="J491" s="7"/>
      <c r="K491" s="7"/>
      <c r="L491" s="7">
        <v>5160585</v>
      </c>
      <c r="M491" s="22">
        <v>44936</v>
      </c>
      <c r="N491" s="8" t="s">
        <v>196</v>
      </c>
      <c r="O491" s="8" t="s">
        <v>333</v>
      </c>
      <c r="P491" s="7">
        <v>2400000</v>
      </c>
      <c r="Q491" s="7">
        <v>86522.34</v>
      </c>
      <c r="R491" s="7">
        <v>87082900</v>
      </c>
      <c r="S491" s="7">
        <v>15</v>
      </c>
      <c r="T491" s="7" t="s">
        <v>265</v>
      </c>
      <c r="U491" s="7" t="s">
        <v>178</v>
      </c>
      <c r="V491" s="6">
        <f t="shared" si="91"/>
        <v>12978.350999999999</v>
      </c>
      <c r="W491" s="6">
        <f t="shared" si="92"/>
        <v>1297.8351</v>
      </c>
      <c r="X491" s="6">
        <f t="shared" si="93"/>
        <v>14276.186099999999</v>
      </c>
      <c r="Y491" s="6">
        <f t="shared" si="94"/>
        <v>5.9484108749999999E-3</v>
      </c>
      <c r="Z491" s="6">
        <f t="shared" si="95"/>
        <v>3.6050974999999999E-2</v>
      </c>
      <c r="AA491" s="9">
        <f t="shared" si="96"/>
        <v>2400000</v>
      </c>
      <c r="AB491" s="10">
        <v>9698</v>
      </c>
      <c r="AC491" s="11">
        <f t="shared" si="98"/>
        <v>57.687688665749995</v>
      </c>
      <c r="AD491" s="12">
        <f t="shared" si="97"/>
        <v>548546</v>
      </c>
      <c r="AE491" s="13">
        <f t="shared" si="88"/>
        <v>1851454</v>
      </c>
    </row>
    <row r="492" spans="1:31">
      <c r="A492" s="6">
        <v>16</v>
      </c>
      <c r="B492" s="6">
        <f t="shared" ref="B492:B555" si="100">B491+1</f>
        <v>2</v>
      </c>
      <c r="C492" s="6" t="str">
        <f t="shared" si="90"/>
        <v>634240200AHORN CONTACT, CU 521662145010720000</v>
      </c>
      <c r="D492" s="6" t="s">
        <v>221</v>
      </c>
      <c r="E492" s="6" t="s">
        <v>160</v>
      </c>
      <c r="F492" s="6"/>
      <c r="G492" s="7" t="s">
        <v>138</v>
      </c>
      <c r="H492" s="7"/>
      <c r="I492" s="7"/>
      <c r="J492" s="7"/>
      <c r="K492" s="7"/>
      <c r="L492" s="7">
        <v>5216621</v>
      </c>
      <c r="M492" s="22">
        <v>45010</v>
      </c>
      <c r="N492" s="8" t="s">
        <v>189</v>
      </c>
      <c r="O492" s="8"/>
      <c r="P492" s="7">
        <v>720000</v>
      </c>
      <c r="Q492" s="7">
        <v>803516.76</v>
      </c>
      <c r="R492" s="7">
        <v>87089900</v>
      </c>
      <c r="S492" s="7">
        <v>15</v>
      </c>
      <c r="T492" s="7" t="s">
        <v>258</v>
      </c>
      <c r="U492" s="7" t="s">
        <v>178</v>
      </c>
      <c r="V492" s="6">
        <f t="shared" si="91"/>
        <v>120527.514</v>
      </c>
      <c r="W492" s="6">
        <f t="shared" si="92"/>
        <v>12052.751400000001</v>
      </c>
      <c r="X492" s="6">
        <f t="shared" si="93"/>
        <v>132580.2654</v>
      </c>
      <c r="Y492" s="6">
        <f t="shared" si="94"/>
        <v>0.18413925750000001</v>
      </c>
      <c r="Z492" s="6">
        <f t="shared" si="95"/>
        <v>1.1159954999999999</v>
      </c>
      <c r="AA492" s="9">
        <f t="shared" si="96"/>
        <v>720000</v>
      </c>
      <c r="AB492" s="10">
        <v>40232</v>
      </c>
      <c r="AC492" s="11">
        <f t="shared" si="98"/>
        <v>7408.2906077400003</v>
      </c>
      <c r="AD492" s="12">
        <f t="shared" si="97"/>
        <v>707364</v>
      </c>
      <c r="AE492" s="13">
        <f t="shared" si="88"/>
        <v>12636</v>
      </c>
    </row>
    <row r="493" spans="1:31">
      <c r="A493" s="6">
        <v>16</v>
      </c>
      <c r="B493" s="6">
        <f t="shared" si="100"/>
        <v>3</v>
      </c>
      <c r="C493" s="6" t="str">
        <f t="shared" si="90"/>
        <v>652466500ALEATHER, HIDE TOP GRAIN, OBSIDIAN BLACK, NNB, BLA5703451450435478.49</v>
      </c>
      <c r="D493" s="6" t="s">
        <v>221</v>
      </c>
      <c r="E493" s="6" t="s">
        <v>163</v>
      </c>
      <c r="F493" s="6"/>
      <c r="G493" s="7" t="s">
        <v>141</v>
      </c>
      <c r="H493" s="7"/>
      <c r="I493" s="7"/>
      <c r="J493" s="7"/>
      <c r="K493" s="7"/>
      <c r="L493" s="7">
        <v>5703451</v>
      </c>
      <c r="M493" s="22">
        <v>45043</v>
      </c>
      <c r="N493" s="8" t="s">
        <v>184</v>
      </c>
      <c r="O493" s="8"/>
      <c r="P493" s="7">
        <v>5478.4900000000007</v>
      </c>
      <c r="Q493" s="7">
        <v>14099606.499999998</v>
      </c>
      <c r="R493" s="7">
        <v>41071200</v>
      </c>
      <c r="S493" s="7">
        <v>0</v>
      </c>
      <c r="T493" s="7" t="s">
        <v>261</v>
      </c>
      <c r="U493" s="7" t="s">
        <v>178</v>
      </c>
      <c r="V493" s="6">
        <f t="shared" si="91"/>
        <v>0</v>
      </c>
      <c r="W493" s="6">
        <f t="shared" si="92"/>
        <v>0</v>
      </c>
      <c r="X493" s="6">
        <f t="shared" si="93"/>
        <v>0</v>
      </c>
      <c r="Y493" s="6">
        <f t="shared" si="94"/>
        <v>0</v>
      </c>
      <c r="Z493" s="6">
        <f t="shared" si="95"/>
        <v>2573.6300513462643</v>
      </c>
      <c r="AA493" s="9">
        <f t="shared" si="96"/>
        <v>5478.4900000000007</v>
      </c>
      <c r="AB493" s="10">
        <v>1004</v>
      </c>
      <c r="AC493" s="11">
        <f t="shared" si="98"/>
        <v>0</v>
      </c>
      <c r="AD493" s="12">
        <f t="shared" si="97"/>
        <v>5478.4900000000007</v>
      </c>
      <c r="AE493" s="13">
        <f t="shared" si="88"/>
        <v>0</v>
      </c>
    </row>
    <row r="494" spans="1:31">
      <c r="A494" s="6">
        <v>16</v>
      </c>
      <c r="B494" s="6">
        <f t="shared" si="100"/>
        <v>4</v>
      </c>
      <c r="C494" s="6" t="str">
        <f t="shared" si="90"/>
        <v>644345600ASCREW, SELF-TAPPING, PLA PLASTIC, 3.0, CROSS467246744973120000</v>
      </c>
      <c r="D494" s="6" t="s">
        <v>221</v>
      </c>
      <c r="E494" s="6" t="s">
        <v>166</v>
      </c>
      <c r="F494" s="6"/>
      <c r="G494" s="7" t="s">
        <v>144</v>
      </c>
      <c r="H494" s="7"/>
      <c r="I494" s="7"/>
      <c r="J494" s="7"/>
      <c r="K494" s="7"/>
      <c r="L494" s="7">
        <v>4672467</v>
      </c>
      <c r="M494" s="22">
        <v>44973</v>
      </c>
      <c r="N494" s="8" t="s">
        <v>182</v>
      </c>
      <c r="O494" s="8"/>
      <c r="P494" s="7">
        <v>120000</v>
      </c>
      <c r="Q494" s="7">
        <v>96772.74</v>
      </c>
      <c r="R494" s="7">
        <v>87089500</v>
      </c>
      <c r="S494" s="7">
        <v>15</v>
      </c>
      <c r="T494" s="7" t="s">
        <v>183</v>
      </c>
      <c r="U494" s="7" t="s">
        <v>178</v>
      </c>
      <c r="V494" s="6">
        <f t="shared" si="91"/>
        <v>14515.911</v>
      </c>
      <c r="W494" s="6">
        <f t="shared" si="92"/>
        <v>1451.5911000000001</v>
      </c>
      <c r="X494" s="6">
        <f t="shared" si="93"/>
        <v>15967.5021</v>
      </c>
      <c r="Y494" s="6">
        <f t="shared" si="94"/>
        <v>0.1330625175</v>
      </c>
      <c r="Z494" s="6">
        <f t="shared" si="95"/>
        <v>0.80643950000000009</v>
      </c>
      <c r="AA494" s="9">
        <f t="shared" si="96"/>
        <v>120000</v>
      </c>
      <c r="AB494" s="10">
        <v>19396</v>
      </c>
      <c r="AC494" s="11">
        <f t="shared" si="98"/>
        <v>2580.8805894299999</v>
      </c>
      <c r="AD494" s="12">
        <f t="shared" si="97"/>
        <v>117964</v>
      </c>
      <c r="AE494" s="13">
        <f t="shared" si="88"/>
        <v>2036</v>
      </c>
    </row>
    <row r="495" spans="1:31">
      <c r="A495" s="6">
        <v>16</v>
      </c>
      <c r="B495" s="6">
        <f t="shared" si="100"/>
        <v>5</v>
      </c>
      <c r="C495" s="6" t="str">
        <f t="shared" si="90"/>
        <v>651409900ASCREW, STD METRIC M6 HEXALOBULAR INTERNAL, T466871234511030000</v>
      </c>
      <c r="D495" s="6" t="s">
        <v>221</v>
      </c>
      <c r="E495" s="6" t="s">
        <v>168</v>
      </c>
      <c r="F495" s="6"/>
      <c r="G495" s="7" t="s">
        <v>146</v>
      </c>
      <c r="H495" s="7"/>
      <c r="I495" s="7"/>
      <c r="J495" s="7"/>
      <c r="K495" s="7"/>
      <c r="L495" s="7">
        <v>6687123</v>
      </c>
      <c r="M495" s="22">
        <v>45110</v>
      </c>
      <c r="N495" s="8" t="s">
        <v>189</v>
      </c>
      <c r="O495" s="8"/>
      <c r="P495" s="7">
        <v>30000</v>
      </c>
      <c r="Q495" s="7">
        <v>98880.95</v>
      </c>
      <c r="R495" s="7">
        <v>87089500</v>
      </c>
      <c r="S495" s="7">
        <v>15</v>
      </c>
      <c r="T495" s="7" t="s">
        <v>183</v>
      </c>
      <c r="U495" s="7" t="s">
        <v>178</v>
      </c>
      <c r="V495" s="6">
        <f t="shared" si="91"/>
        <v>14832.142499999998</v>
      </c>
      <c r="W495" s="6">
        <f t="shared" si="92"/>
        <v>1483.21425</v>
      </c>
      <c r="X495" s="6">
        <f t="shared" si="93"/>
        <v>16315.356749999999</v>
      </c>
      <c r="Y495" s="6">
        <f t="shared" si="94"/>
        <v>0.54384522499999999</v>
      </c>
      <c r="Z495" s="6">
        <f t="shared" si="95"/>
        <v>3.2960316666666665</v>
      </c>
      <c r="AA495" s="9">
        <f t="shared" si="96"/>
        <v>30000</v>
      </c>
      <c r="AB495" s="10">
        <v>1856</v>
      </c>
      <c r="AC495" s="11">
        <f t="shared" si="98"/>
        <v>1009.3767376</v>
      </c>
      <c r="AD495" s="12">
        <f t="shared" si="97"/>
        <v>30000</v>
      </c>
      <c r="AE495" s="13">
        <f t="shared" si="88"/>
        <v>0</v>
      </c>
    </row>
    <row r="496" spans="1:31">
      <c r="A496" s="6">
        <v>16</v>
      </c>
      <c r="B496" s="6">
        <f t="shared" si="100"/>
        <v>6</v>
      </c>
      <c r="C496" s="6" t="str">
        <f t="shared" si="90"/>
        <v>655818900BACTUATOR VIBRATION MOTOR ASSY WITH BRACKET BC3 CU8332973452169600</v>
      </c>
      <c r="D496" s="6" t="s">
        <v>221</v>
      </c>
      <c r="E496" s="6" t="s">
        <v>156</v>
      </c>
      <c r="F496" s="6"/>
      <c r="G496" s="7" t="s">
        <v>133</v>
      </c>
      <c r="H496" s="7"/>
      <c r="I496" s="7"/>
      <c r="J496" s="7"/>
      <c r="K496" s="7"/>
      <c r="L496" s="7">
        <v>8332973</v>
      </c>
      <c r="M496" s="22">
        <v>45216</v>
      </c>
      <c r="N496" s="8" t="e">
        <v>#N/A</v>
      </c>
      <c r="O496" s="8"/>
      <c r="P496" s="7">
        <v>9600</v>
      </c>
      <c r="Q496" s="7">
        <v>3204748.52</v>
      </c>
      <c r="R496" s="7" t="e">
        <v>#N/A</v>
      </c>
      <c r="S496" s="7">
        <v>15</v>
      </c>
      <c r="T496" s="7" t="e">
        <v>#N/A</v>
      </c>
      <c r="U496" s="7" t="e">
        <v>#N/A</v>
      </c>
      <c r="V496" s="6">
        <f t="shared" si="91"/>
        <v>480712.27799999999</v>
      </c>
      <c r="W496" s="6">
        <f t="shared" si="92"/>
        <v>48071.227800000001</v>
      </c>
      <c r="X496" s="6">
        <f t="shared" si="93"/>
        <v>528783.50580000004</v>
      </c>
      <c r="Y496" s="6">
        <f t="shared" si="94"/>
        <v>55.081615187500006</v>
      </c>
      <c r="Z496" s="6">
        <f t="shared" si="95"/>
        <v>333.82797083333332</v>
      </c>
      <c r="AA496" s="9">
        <f t="shared" si="96"/>
        <v>9600</v>
      </c>
      <c r="AB496" s="10">
        <v>7338</v>
      </c>
      <c r="AC496" s="11">
        <f t="shared" si="98"/>
        <v>404188.89224587503</v>
      </c>
      <c r="AD496" s="12">
        <f t="shared" si="97"/>
        <v>9600</v>
      </c>
      <c r="AE496" s="13">
        <f t="shared" si="88"/>
        <v>0</v>
      </c>
    </row>
    <row r="497" spans="1:31">
      <c r="A497" s="6">
        <v>16</v>
      </c>
      <c r="B497" s="6">
        <f t="shared" si="100"/>
        <v>7</v>
      </c>
      <c r="C497" s="6" t="str">
        <f t="shared" si="90"/>
        <v>651015300BELEMENT, HEATER, HYBRID 7282540451485600</v>
      </c>
      <c r="D497" s="6" t="s">
        <v>221</v>
      </c>
      <c r="E497" s="6" t="s">
        <v>155</v>
      </c>
      <c r="F497" s="6"/>
      <c r="G497" s="7" t="s">
        <v>137</v>
      </c>
      <c r="H497" s="7"/>
      <c r="I497" s="7"/>
      <c r="J497" s="7"/>
      <c r="K497" s="7"/>
      <c r="L497" s="7">
        <v>7282540</v>
      </c>
      <c r="M497" s="22">
        <v>45148</v>
      </c>
      <c r="N497" s="8" t="s">
        <v>189</v>
      </c>
      <c r="O497" s="8"/>
      <c r="P497" s="7">
        <v>5600</v>
      </c>
      <c r="Q497" s="7">
        <v>3062840.63</v>
      </c>
      <c r="R497" s="7">
        <v>87089400</v>
      </c>
      <c r="S497" s="7">
        <v>15</v>
      </c>
      <c r="T497" s="7" t="s">
        <v>294</v>
      </c>
      <c r="U497" s="7" t="s">
        <v>178</v>
      </c>
      <c r="V497" s="6">
        <f t="shared" si="91"/>
        <v>459426.09449999995</v>
      </c>
      <c r="W497" s="6">
        <f t="shared" si="92"/>
        <v>45942.609449999996</v>
      </c>
      <c r="X497" s="6">
        <f t="shared" si="93"/>
        <v>505368.70394999994</v>
      </c>
      <c r="Y497" s="6">
        <f t="shared" si="94"/>
        <v>90.244411419642844</v>
      </c>
      <c r="Z497" s="6">
        <f t="shared" si="95"/>
        <v>546.93582678571431</v>
      </c>
      <c r="AA497" s="9">
        <f t="shared" si="96"/>
        <v>5600</v>
      </c>
      <c r="AB497" s="10">
        <v>3566</v>
      </c>
      <c r="AC497" s="11">
        <f t="shared" si="98"/>
        <v>321811.57112244639</v>
      </c>
      <c r="AD497" s="12">
        <f t="shared" si="97"/>
        <v>5600</v>
      </c>
      <c r="AE497" s="13">
        <f t="shared" si="88"/>
        <v>0</v>
      </c>
    </row>
    <row r="498" spans="1:31">
      <c r="A498" s="6">
        <v>16</v>
      </c>
      <c r="B498" s="6">
        <f t="shared" si="100"/>
        <v>8</v>
      </c>
      <c r="C498" s="6" t="str">
        <f t="shared" si="90"/>
        <v>639590100BSCREW SELF TAPPING INTERNAL T15, 15.01076345369120000</v>
      </c>
      <c r="D498" s="6" t="s">
        <v>221</v>
      </c>
      <c r="E498" s="6" t="s">
        <v>165</v>
      </c>
      <c r="F498" s="6"/>
      <c r="G498" s="7" t="s">
        <v>143</v>
      </c>
      <c r="H498" s="7"/>
      <c r="I498" s="7"/>
      <c r="J498" s="7"/>
      <c r="K498" s="7"/>
      <c r="L498" s="7">
        <v>10763</v>
      </c>
      <c r="M498" s="22">
        <v>45369</v>
      </c>
      <c r="N498" s="8" t="e">
        <v>#N/A</v>
      </c>
      <c r="O498" s="8"/>
      <c r="P498" s="7">
        <v>120000</v>
      </c>
      <c r="Q498" s="7">
        <v>161852.57999999999</v>
      </c>
      <c r="R498" s="7" t="e">
        <v>#N/A</v>
      </c>
      <c r="S498" s="7">
        <v>15</v>
      </c>
      <c r="T498" s="7" t="e">
        <v>#N/A</v>
      </c>
      <c r="U498" s="7" t="e">
        <v>#N/A</v>
      </c>
      <c r="V498" s="6">
        <f t="shared" si="91"/>
        <v>24277.886999999999</v>
      </c>
      <c r="W498" s="6">
        <f t="shared" si="92"/>
        <v>2427.7887000000001</v>
      </c>
      <c r="X498" s="6">
        <f t="shared" si="93"/>
        <v>26705.6757</v>
      </c>
      <c r="Y498" s="6">
        <f t="shared" si="94"/>
        <v>0.22254729749999999</v>
      </c>
      <c r="Z498" s="6">
        <f t="shared" si="95"/>
        <v>1.3487714999999998</v>
      </c>
      <c r="AA498" s="9">
        <f t="shared" si="96"/>
        <v>120000</v>
      </c>
      <c r="AB498" s="10">
        <v>69560</v>
      </c>
      <c r="AC498" s="11">
        <f t="shared" si="98"/>
        <v>15480.390014099999</v>
      </c>
      <c r="AD498" s="12">
        <f t="shared" si="97"/>
        <v>120000</v>
      </c>
      <c r="AE498" s="13">
        <f t="shared" si="88"/>
        <v>0</v>
      </c>
    </row>
    <row r="499" spans="1:31">
      <c r="A499" s="6">
        <v>16</v>
      </c>
      <c r="B499" s="6">
        <f t="shared" si="100"/>
        <v>9</v>
      </c>
      <c r="C499" s="6" t="str">
        <f t="shared" si="90"/>
        <v>628408700ASCREW, STANDARD, METRIC, M5, HEXALOBULAR INTERNAL83740634521845000</v>
      </c>
      <c r="D499" s="6" t="s">
        <v>221</v>
      </c>
      <c r="E499" s="6" t="s">
        <v>167</v>
      </c>
      <c r="F499" s="6"/>
      <c r="G499" s="7" t="s">
        <v>145</v>
      </c>
      <c r="H499" s="7"/>
      <c r="I499" s="7"/>
      <c r="J499" s="7"/>
      <c r="K499" s="7"/>
      <c r="L499" s="7">
        <v>8374063</v>
      </c>
      <c r="M499" s="22">
        <v>45218</v>
      </c>
      <c r="N499" s="8" t="e">
        <v>#N/A</v>
      </c>
      <c r="O499" s="8"/>
      <c r="P499" s="7">
        <v>45000</v>
      </c>
      <c r="Q499" s="7">
        <v>230008.94</v>
      </c>
      <c r="R499" s="7" t="e">
        <v>#N/A</v>
      </c>
      <c r="S499" s="7">
        <v>15</v>
      </c>
      <c r="T499" s="7" t="e">
        <v>#N/A</v>
      </c>
      <c r="U499" s="7" t="e">
        <v>#N/A</v>
      </c>
      <c r="V499" s="6">
        <f t="shared" si="91"/>
        <v>34501.341</v>
      </c>
      <c r="W499" s="6">
        <f t="shared" si="92"/>
        <v>3450.1341000000002</v>
      </c>
      <c r="X499" s="6">
        <f t="shared" si="93"/>
        <v>37951.475100000003</v>
      </c>
      <c r="Y499" s="6">
        <f t="shared" si="94"/>
        <v>0.84336611333333344</v>
      </c>
      <c r="Z499" s="6">
        <f t="shared" si="95"/>
        <v>5.1113097777777776</v>
      </c>
      <c r="AA499" s="9">
        <f t="shared" si="96"/>
        <v>45000</v>
      </c>
      <c r="AB499" s="10">
        <v>30420</v>
      </c>
      <c r="AC499" s="11">
        <f t="shared" si="98"/>
        <v>25655.197167600003</v>
      </c>
      <c r="AD499" s="12">
        <f t="shared" si="97"/>
        <v>45000</v>
      </c>
      <c r="AE499" s="13">
        <f t="shared" si="88"/>
        <v>0</v>
      </c>
    </row>
    <row r="500" spans="1:31">
      <c r="A500" s="6">
        <v>16</v>
      </c>
      <c r="B500" s="6">
        <f t="shared" si="100"/>
        <v>10</v>
      </c>
      <c r="C500" s="6" t="str">
        <f t="shared" si="90"/>
        <v>608225700ASCREW,STD METRIIC HEXALOBULAR  M5 T25 12MM98001224477225000</v>
      </c>
      <c r="D500" s="6" t="s">
        <v>221</v>
      </c>
      <c r="E500" s="6" t="s">
        <v>169</v>
      </c>
      <c r="F500" s="6"/>
      <c r="G500" s="7" t="s">
        <v>147</v>
      </c>
      <c r="H500" s="7"/>
      <c r="I500" s="7"/>
      <c r="J500" s="7"/>
      <c r="K500" s="7"/>
      <c r="L500" s="7">
        <v>9800122</v>
      </c>
      <c r="M500" s="22">
        <v>44772</v>
      </c>
      <c r="N500" s="8" t="s">
        <v>180</v>
      </c>
      <c r="O500" s="8"/>
      <c r="P500" s="7">
        <v>25000</v>
      </c>
      <c r="Q500" s="7">
        <v>80029.240000000005</v>
      </c>
      <c r="R500" s="7">
        <v>87089400</v>
      </c>
      <c r="S500" s="7">
        <v>15</v>
      </c>
      <c r="T500" s="7" t="s">
        <v>295</v>
      </c>
      <c r="U500" s="7" t="s">
        <v>178</v>
      </c>
      <c r="V500" s="6">
        <f t="shared" si="91"/>
        <v>12004.386</v>
      </c>
      <c r="W500" s="6">
        <f t="shared" si="92"/>
        <v>1200.4386000000002</v>
      </c>
      <c r="X500" s="6">
        <f t="shared" si="93"/>
        <v>13204.8246</v>
      </c>
      <c r="Y500" s="6">
        <f t="shared" si="94"/>
        <v>0.52819298400000003</v>
      </c>
      <c r="Z500" s="6">
        <f t="shared" si="95"/>
        <v>3.2011696000000001</v>
      </c>
      <c r="AA500" s="9">
        <f t="shared" si="96"/>
        <v>25000</v>
      </c>
      <c r="AB500" s="10">
        <v>16732</v>
      </c>
      <c r="AC500" s="11">
        <f t="shared" si="98"/>
        <v>8837.725008288</v>
      </c>
      <c r="AD500" s="12">
        <f t="shared" si="97"/>
        <v>25000</v>
      </c>
      <c r="AE500" s="13">
        <f t="shared" si="88"/>
        <v>0</v>
      </c>
    </row>
    <row r="501" spans="1:31">
      <c r="A501" s="6">
        <v>16</v>
      </c>
      <c r="B501" s="6">
        <f t="shared" si="100"/>
        <v>11</v>
      </c>
      <c r="C501" s="6" t="str">
        <f t="shared" si="90"/>
        <v>651166400CSPRING, COIL, UPPER 97724674527845000</v>
      </c>
      <c r="D501" s="6" t="s">
        <v>221</v>
      </c>
      <c r="E501" s="6" t="s">
        <v>170</v>
      </c>
      <c r="F501" s="6"/>
      <c r="G501" s="7" t="s">
        <v>148</v>
      </c>
      <c r="H501" s="7"/>
      <c r="I501" s="7"/>
      <c r="J501" s="7"/>
      <c r="K501" s="7"/>
      <c r="L501" s="7">
        <v>9772467</v>
      </c>
      <c r="M501" s="22">
        <v>45278</v>
      </c>
      <c r="N501" s="8" t="e">
        <v>#N/A</v>
      </c>
      <c r="O501" s="8"/>
      <c r="P501" s="7">
        <v>45000</v>
      </c>
      <c r="Q501" s="7">
        <v>81521.94</v>
      </c>
      <c r="R501" s="7" t="e">
        <v>#N/A</v>
      </c>
      <c r="S501" s="7">
        <v>15</v>
      </c>
      <c r="T501" s="7" t="e">
        <v>#N/A</v>
      </c>
      <c r="U501" s="7" t="e">
        <v>#N/A</v>
      </c>
      <c r="V501" s="6">
        <f t="shared" si="91"/>
        <v>12228.290999999999</v>
      </c>
      <c r="W501" s="6">
        <f t="shared" si="92"/>
        <v>1222.8290999999999</v>
      </c>
      <c r="X501" s="6">
        <f t="shared" si="93"/>
        <v>13451.1201</v>
      </c>
      <c r="Y501" s="6">
        <f t="shared" si="94"/>
        <v>0.29891378000000002</v>
      </c>
      <c r="Z501" s="6">
        <f t="shared" si="95"/>
        <v>1.8115986666666668</v>
      </c>
      <c r="AA501" s="9">
        <f t="shared" si="96"/>
        <v>45000</v>
      </c>
      <c r="AB501" s="10">
        <v>30420</v>
      </c>
      <c r="AC501" s="11">
        <f t="shared" si="98"/>
        <v>9092.9571876000009</v>
      </c>
      <c r="AD501" s="12">
        <f t="shared" si="97"/>
        <v>45000</v>
      </c>
      <c r="AE501" s="13">
        <f t="shared" si="88"/>
        <v>0</v>
      </c>
    </row>
    <row r="502" spans="1:31">
      <c r="A502" s="6">
        <v>16</v>
      </c>
      <c r="B502" s="6">
        <f t="shared" si="100"/>
        <v>12</v>
      </c>
      <c r="C502" s="6" t="str">
        <f t="shared" si="90"/>
        <v>651015100AARMATURE, MONOBLOCK, ASW4, HYUNDAI BC33353058448834860</v>
      </c>
      <c r="D502" s="6" t="s">
        <v>221</v>
      </c>
      <c r="E502" s="6" t="s">
        <v>158</v>
      </c>
      <c r="F502" s="6"/>
      <c r="G502" s="7" t="s">
        <v>135</v>
      </c>
      <c r="H502" s="7"/>
      <c r="I502" s="7"/>
      <c r="J502" s="7"/>
      <c r="K502" s="7"/>
      <c r="L502" s="7">
        <v>3353058</v>
      </c>
      <c r="M502" s="22">
        <v>44883</v>
      </c>
      <c r="N502" s="8" t="s">
        <v>184</v>
      </c>
      <c r="O502" s="8"/>
      <c r="P502" s="7">
        <v>4860</v>
      </c>
      <c r="Q502" s="7">
        <v>2360668.77</v>
      </c>
      <c r="R502" s="7">
        <v>87089400</v>
      </c>
      <c r="S502" s="7">
        <v>15</v>
      </c>
      <c r="T502" s="7" t="s">
        <v>186</v>
      </c>
      <c r="U502" s="7" t="s">
        <v>178</v>
      </c>
      <c r="V502" s="6">
        <f t="shared" si="91"/>
        <v>354100.31549999997</v>
      </c>
      <c r="W502" s="6">
        <f t="shared" si="92"/>
        <v>35410.03155</v>
      </c>
      <c r="X502" s="6">
        <f t="shared" si="93"/>
        <v>389510.34704999998</v>
      </c>
      <c r="Y502" s="6">
        <f t="shared" si="94"/>
        <v>80.146161944444444</v>
      </c>
      <c r="Z502" s="6">
        <f t="shared" si="95"/>
        <v>485.73431481481481</v>
      </c>
      <c r="AA502" s="9">
        <f t="shared" si="96"/>
        <v>4860</v>
      </c>
      <c r="AB502" s="10">
        <v>1414</v>
      </c>
      <c r="AC502" s="11">
        <f t="shared" si="98"/>
        <v>113326.67298944444</v>
      </c>
      <c r="AD502" s="12">
        <f t="shared" si="97"/>
        <v>4814</v>
      </c>
      <c r="AE502" s="13">
        <f t="shared" si="88"/>
        <v>46</v>
      </c>
    </row>
    <row r="503" spans="1:31">
      <c r="A503" s="6">
        <v>16</v>
      </c>
      <c r="B503" s="6">
        <f t="shared" si="100"/>
        <v>13</v>
      </c>
      <c r="C503" s="6" t="str">
        <f t="shared" si="90"/>
        <v>656011400ALEATHER, HIDE TOP GRAIN, GREY, FOSSIL GREY, T9Y,7374452451543703.92</v>
      </c>
      <c r="D503" s="6" t="s">
        <v>221</v>
      </c>
      <c r="E503" s="6" t="s">
        <v>162</v>
      </c>
      <c r="F503" s="6"/>
      <c r="G503" s="7" t="s">
        <v>140</v>
      </c>
      <c r="H503" s="7"/>
      <c r="I503" s="7"/>
      <c r="J503" s="7"/>
      <c r="K503" s="7"/>
      <c r="L503" s="7">
        <v>7374452</v>
      </c>
      <c r="M503" s="22">
        <v>45154</v>
      </c>
      <c r="N503" s="8" t="s">
        <v>190</v>
      </c>
      <c r="O503" s="8"/>
      <c r="P503" s="7">
        <v>3703.9199999999996</v>
      </c>
      <c r="Q503" s="7">
        <v>8436783.4900000002</v>
      </c>
      <c r="R503" s="7">
        <v>41071200</v>
      </c>
      <c r="S503" s="7">
        <v>0</v>
      </c>
      <c r="T503" s="7" t="s">
        <v>293</v>
      </c>
      <c r="U503" s="7" t="s">
        <v>178</v>
      </c>
      <c r="V503" s="6">
        <f t="shared" si="91"/>
        <v>0</v>
      </c>
      <c r="W503" s="6">
        <f t="shared" si="92"/>
        <v>0</v>
      </c>
      <c r="X503" s="6">
        <f t="shared" si="93"/>
        <v>0</v>
      </c>
      <c r="Y503" s="6">
        <f t="shared" si="94"/>
        <v>0</v>
      </c>
      <c r="Z503" s="6">
        <f t="shared" si="95"/>
        <v>2277.7985188664984</v>
      </c>
      <c r="AA503" s="9">
        <f t="shared" si="96"/>
        <v>3703.9199999999996</v>
      </c>
      <c r="AB503" s="10">
        <v>42.317489999999999</v>
      </c>
      <c r="AC503" s="11">
        <f t="shared" si="98"/>
        <v>0</v>
      </c>
      <c r="AD503" s="12">
        <f t="shared" si="97"/>
        <v>634.38362100000006</v>
      </c>
      <c r="AE503" s="13">
        <f t="shared" si="88"/>
        <v>3069.5363789999997</v>
      </c>
    </row>
    <row r="504" spans="1:31">
      <c r="A504" s="6">
        <v>16</v>
      </c>
      <c r="B504" s="6">
        <f t="shared" si="100"/>
        <v>14</v>
      </c>
      <c r="C504" s="6" t="str">
        <f t="shared" si="90"/>
        <v>655818900BACTUATOR VIBRATION MOTOR ASSY WITH BRACKET BC3 CU9282299452789600</v>
      </c>
      <c r="D504" s="6" t="s">
        <v>221</v>
      </c>
      <c r="E504" s="6" t="s">
        <v>156</v>
      </c>
      <c r="F504" s="6"/>
      <c r="G504" s="7" t="s">
        <v>133</v>
      </c>
      <c r="H504" s="7"/>
      <c r="I504" s="7"/>
      <c r="J504" s="7"/>
      <c r="K504" s="7"/>
      <c r="L504" s="7">
        <v>9282299</v>
      </c>
      <c r="M504" s="22">
        <v>45278</v>
      </c>
      <c r="N504" s="8" t="e">
        <v>#N/A</v>
      </c>
      <c r="O504" s="8"/>
      <c r="P504" s="7">
        <v>9600</v>
      </c>
      <c r="Q504" s="7">
        <v>3210461.08</v>
      </c>
      <c r="R504" s="7" t="e">
        <v>#N/A</v>
      </c>
      <c r="S504" s="7">
        <v>15</v>
      </c>
      <c r="T504" s="7" t="e">
        <v>#N/A</v>
      </c>
      <c r="U504" s="7" t="e">
        <v>#N/A</v>
      </c>
      <c r="V504" s="6">
        <f t="shared" si="91"/>
        <v>481569.16200000001</v>
      </c>
      <c r="W504" s="6">
        <f t="shared" si="92"/>
        <v>48156.916200000007</v>
      </c>
      <c r="X504" s="6">
        <f t="shared" si="93"/>
        <v>529726.07819999999</v>
      </c>
      <c r="Y504" s="6">
        <f t="shared" si="94"/>
        <v>55.179799812500001</v>
      </c>
      <c r="Z504" s="6">
        <f t="shared" si="95"/>
        <v>334.42302916666665</v>
      </c>
      <c r="AA504" s="9">
        <f t="shared" si="96"/>
        <v>9600</v>
      </c>
      <c r="AB504" s="10">
        <v>1028</v>
      </c>
      <c r="AC504" s="11">
        <f t="shared" si="98"/>
        <v>56724.834207250002</v>
      </c>
      <c r="AD504" s="12">
        <f t="shared" si="97"/>
        <v>9600</v>
      </c>
      <c r="AE504" s="13">
        <f t="shared" ref="AE504:AE567" si="101">AA504-AD504</f>
        <v>0</v>
      </c>
    </row>
    <row r="505" spans="1:31">
      <c r="A505" s="6">
        <v>16</v>
      </c>
      <c r="B505" s="6">
        <f t="shared" si="100"/>
        <v>15</v>
      </c>
      <c r="C505" s="6" t="str">
        <f t="shared" si="90"/>
        <v>655931500AARMATURE, MONOBLOCK ASW4, HYUNDAI BC3-CUV9020769452613240</v>
      </c>
      <c r="D505" s="6" t="s">
        <v>221</v>
      </c>
      <c r="E505" s="6" t="s">
        <v>157</v>
      </c>
      <c r="F505" s="6"/>
      <c r="G505" s="7" t="s">
        <v>134</v>
      </c>
      <c r="H505" s="7"/>
      <c r="I505" s="7"/>
      <c r="J505" s="7"/>
      <c r="K505" s="7"/>
      <c r="L505" s="7">
        <v>9020769</v>
      </c>
      <c r="M505" s="22">
        <v>45261</v>
      </c>
      <c r="N505" s="8" t="e">
        <v>#N/A</v>
      </c>
      <c r="O505" s="8"/>
      <c r="P505" s="7">
        <v>3240</v>
      </c>
      <c r="Q505" s="7">
        <v>1332976.8999999999</v>
      </c>
      <c r="R505" s="7" t="e">
        <v>#N/A</v>
      </c>
      <c r="S505" s="7">
        <v>15</v>
      </c>
      <c r="T505" s="7" t="e">
        <v>#N/A</v>
      </c>
      <c r="U505" s="7" t="e">
        <v>#N/A</v>
      </c>
      <c r="V505" s="6">
        <f t="shared" si="91"/>
        <v>199946.53499999997</v>
      </c>
      <c r="W505" s="6">
        <f t="shared" si="92"/>
        <v>19994.6535</v>
      </c>
      <c r="X505" s="6">
        <f t="shared" si="93"/>
        <v>219941.18849999999</v>
      </c>
      <c r="Y505" s="6">
        <f t="shared" si="94"/>
        <v>67.883082870370373</v>
      </c>
      <c r="Z505" s="6">
        <f t="shared" si="95"/>
        <v>411.41262345679007</v>
      </c>
      <c r="AA505" s="9">
        <f t="shared" si="96"/>
        <v>3240</v>
      </c>
      <c r="AB505" s="10">
        <v>3240</v>
      </c>
      <c r="AC505" s="11">
        <f t="shared" si="98"/>
        <v>219941.18850000002</v>
      </c>
      <c r="AD505" s="12">
        <f t="shared" si="97"/>
        <v>3240</v>
      </c>
      <c r="AE505" s="13">
        <f t="shared" si="101"/>
        <v>0</v>
      </c>
    </row>
    <row r="506" spans="1:31">
      <c r="A506" s="6">
        <v>16</v>
      </c>
      <c r="B506" s="6">
        <f t="shared" si="100"/>
        <v>16</v>
      </c>
      <c r="C506" s="6" t="str">
        <f t="shared" si="90"/>
        <v>655931500AARMATURE, MONOBLOCK ASW4, HYUNDAI BC3-CUV9588906453002430</v>
      </c>
      <c r="D506" s="6" t="s">
        <v>221</v>
      </c>
      <c r="E506" s="6" t="s">
        <v>157</v>
      </c>
      <c r="F506" s="6"/>
      <c r="G506" s="7" t="s">
        <v>134</v>
      </c>
      <c r="H506" s="7"/>
      <c r="I506" s="7"/>
      <c r="J506" s="7"/>
      <c r="K506" s="7"/>
      <c r="L506" s="7">
        <v>9588906</v>
      </c>
      <c r="M506" s="22">
        <v>45300</v>
      </c>
      <c r="N506" s="8" t="e">
        <v>#N/A</v>
      </c>
      <c r="O506" s="8"/>
      <c r="P506" s="7">
        <v>2430</v>
      </c>
      <c r="Q506" s="7">
        <v>1014828.23</v>
      </c>
      <c r="R506" s="7" t="e">
        <v>#N/A</v>
      </c>
      <c r="S506" s="7">
        <v>15</v>
      </c>
      <c r="T506" s="7" t="e">
        <v>#N/A</v>
      </c>
      <c r="U506" s="7" t="e">
        <v>#N/A</v>
      </c>
      <c r="V506" s="6">
        <f t="shared" si="91"/>
        <v>152224.23449999999</v>
      </c>
      <c r="W506" s="6">
        <f t="shared" si="92"/>
        <v>15222.42345</v>
      </c>
      <c r="X506" s="6">
        <f t="shared" si="93"/>
        <v>167446.65794999999</v>
      </c>
      <c r="Y506" s="6">
        <f t="shared" si="94"/>
        <v>68.908089691358029</v>
      </c>
      <c r="Z506" s="6">
        <f t="shared" si="95"/>
        <v>417.62478600823044</v>
      </c>
      <c r="AA506" s="9">
        <f t="shared" si="96"/>
        <v>2430</v>
      </c>
      <c r="AB506" s="10">
        <v>2430</v>
      </c>
      <c r="AC506" s="11">
        <f t="shared" si="98"/>
        <v>167446.65795000002</v>
      </c>
      <c r="AD506" s="12">
        <f t="shared" si="97"/>
        <v>2430</v>
      </c>
      <c r="AE506" s="13">
        <f t="shared" si="101"/>
        <v>0</v>
      </c>
    </row>
    <row r="507" spans="1:31">
      <c r="A507" s="6">
        <v>16</v>
      </c>
      <c r="B507" s="6">
        <f t="shared" si="100"/>
        <v>17</v>
      </c>
      <c r="C507" s="6" t="str">
        <f t="shared" si="90"/>
        <v>655931500AARMATURE, MONOBLOCK ASW4, HYUNDAI BC3-CUV9671239453066480</v>
      </c>
      <c r="D507" s="6" t="s">
        <v>221</v>
      </c>
      <c r="E507" s="6" t="s">
        <v>157</v>
      </c>
      <c r="F507" s="6"/>
      <c r="G507" s="7" t="s">
        <v>134</v>
      </c>
      <c r="H507" s="7"/>
      <c r="I507" s="7"/>
      <c r="J507" s="7"/>
      <c r="K507" s="7"/>
      <c r="L507" s="7">
        <v>9671239</v>
      </c>
      <c r="M507" s="22">
        <v>45306</v>
      </c>
      <c r="N507" s="8" t="e">
        <v>#N/A</v>
      </c>
      <c r="O507" s="8"/>
      <c r="P507" s="7">
        <v>6480</v>
      </c>
      <c r="Q507" s="7">
        <v>2696157.95</v>
      </c>
      <c r="R507" s="7" t="e">
        <v>#N/A</v>
      </c>
      <c r="S507" s="7">
        <v>15</v>
      </c>
      <c r="T507" s="7" t="e">
        <v>#N/A</v>
      </c>
      <c r="U507" s="7" t="e">
        <v>#N/A</v>
      </c>
      <c r="V507" s="6">
        <f t="shared" si="91"/>
        <v>404423.6925</v>
      </c>
      <c r="W507" s="6">
        <f t="shared" si="92"/>
        <v>40442.369250000003</v>
      </c>
      <c r="X507" s="6">
        <f t="shared" si="93"/>
        <v>444866.06174999999</v>
      </c>
      <c r="Y507" s="6">
        <f t="shared" si="94"/>
        <v>68.652170023148145</v>
      </c>
      <c r="Z507" s="6">
        <f t="shared" si="95"/>
        <v>416.07375771604939</v>
      </c>
      <c r="AA507" s="9">
        <f t="shared" si="96"/>
        <v>6480</v>
      </c>
      <c r="AB507" s="10">
        <v>2696</v>
      </c>
      <c r="AC507" s="11">
        <f t="shared" si="98"/>
        <v>185086.25038240739</v>
      </c>
      <c r="AD507" s="12">
        <f t="shared" si="97"/>
        <v>6480</v>
      </c>
      <c r="AE507" s="13">
        <f t="shared" si="101"/>
        <v>0</v>
      </c>
    </row>
    <row r="508" spans="1:31">
      <c r="A508" s="6">
        <v>16</v>
      </c>
      <c r="B508" s="6">
        <f t="shared" si="100"/>
        <v>18</v>
      </c>
      <c r="C508" s="6" t="str">
        <f t="shared" si="90"/>
        <v>651015300BELEMENT, HEATER, HYBRID 9125192452683500</v>
      </c>
      <c r="D508" s="6" t="s">
        <v>221</v>
      </c>
      <c r="E508" s="6" t="s">
        <v>155</v>
      </c>
      <c r="F508" s="6"/>
      <c r="G508" s="7" t="s">
        <v>137</v>
      </c>
      <c r="H508" s="7"/>
      <c r="I508" s="7"/>
      <c r="J508" s="7"/>
      <c r="K508" s="7"/>
      <c r="L508" s="7">
        <v>9125192</v>
      </c>
      <c r="M508" s="22">
        <v>45268</v>
      </c>
      <c r="N508" s="8" t="e">
        <v>#N/A</v>
      </c>
      <c r="O508" s="8"/>
      <c r="P508" s="7">
        <v>3500</v>
      </c>
      <c r="Q508" s="7">
        <v>1928144.32</v>
      </c>
      <c r="R508" s="7" t="e">
        <v>#N/A</v>
      </c>
      <c r="S508" s="7">
        <v>15</v>
      </c>
      <c r="T508" s="7" t="e">
        <v>#N/A</v>
      </c>
      <c r="U508" s="7" t="e">
        <v>#N/A</v>
      </c>
      <c r="V508" s="6">
        <f t="shared" si="91"/>
        <v>289221.64799999999</v>
      </c>
      <c r="W508" s="6">
        <f t="shared" si="92"/>
        <v>28922.164799999999</v>
      </c>
      <c r="X508" s="6">
        <f t="shared" si="93"/>
        <v>318143.81279999996</v>
      </c>
      <c r="Y508" s="6">
        <f t="shared" si="94"/>
        <v>90.898232228571416</v>
      </c>
      <c r="Z508" s="6">
        <f t="shared" si="95"/>
        <v>550.89837714285716</v>
      </c>
      <c r="AA508" s="9">
        <f t="shared" si="96"/>
        <v>3500</v>
      </c>
      <c r="AB508" s="10">
        <v>594</v>
      </c>
      <c r="AC508" s="11">
        <f t="shared" si="98"/>
        <v>53993.549943771424</v>
      </c>
      <c r="AD508" s="12">
        <f t="shared" si="97"/>
        <v>3130</v>
      </c>
      <c r="AE508" s="13">
        <f t="shared" si="101"/>
        <v>370</v>
      </c>
    </row>
    <row r="509" spans="1:31">
      <c r="A509" s="6">
        <v>16</v>
      </c>
      <c r="B509" s="6">
        <f t="shared" si="100"/>
        <v>19</v>
      </c>
      <c r="C509" s="6" t="str">
        <f t="shared" si="90"/>
        <v>651015300BELEMENT, HEATER, HYBRID 9152258452692240</v>
      </c>
      <c r="D509" s="6" t="s">
        <v>221</v>
      </c>
      <c r="E509" s="6" t="s">
        <v>155</v>
      </c>
      <c r="F509" s="6"/>
      <c r="G509" s="7" t="s">
        <v>137</v>
      </c>
      <c r="H509" s="7"/>
      <c r="I509" s="7"/>
      <c r="J509" s="7"/>
      <c r="K509" s="7"/>
      <c r="L509" s="7">
        <v>9152258</v>
      </c>
      <c r="M509" s="22">
        <v>45269</v>
      </c>
      <c r="N509" s="8" t="e">
        <v>#N/A</v>
      </c>
      <c r="O509" s="8"/>
      <c r="P509" s="7">
        <v>2240</v>
      </c>
      <c r="Q509" s="7">
        <v>1401744.82</v>
      </c>
      <c r="R509" s="7" t="e">
        <v>#N/A</v>
      </c>
      <c r="S509" s="7">
        <v>15</v>
      </c>
      <c r="T509" s="7" t="e">
        <v>#N/A</v>
      </c>
      <c r="U509" s="7" t="e">
        <v>#N/A</v>
      </c>
      <c r="V509" s="6">
        <f t="shared" si="91"/>
        <v>210261.723</v>
      </c>
      <c r="W509" s="6">
        <f t="shared" si="92"/>
        <v>21026.172300000002</v>
      </c>
      <c r="X509" s="6">
        <f t="shared" si="93"/>
        <v>231287.8953</v>
      </c>
      <c r="Y509" s="6">
        <f t="shared" si="94"/>
        <v>103.2535246875</v>
      </c>
      <c r="Z509" s="6">
        <f t="shared" si="95"/>
        <v>625.77893749999998</v>
      </c>
      <c r="AA509" s="9">
        <f t="shared" si="96"/>
        <v>2240</v>
      </c>
      <c r="AB509" s="10">
        <v>0</v>
      </c>
      <c r="AC509" s="11">
        <f t="shared" si="98"/>
        <v>0</v>
      </c>
      <c r="AD509" s="12">
        <f t="shared" si="97"/>
        <v>1526</v>
      </c>
      <c r="AE509" s="13">
        <f t="shared" si="101"/>
        <v>714</v>
      </c>
    </row>
    <row r="510" spans="1:31">
      <c r="A510" s="6">
        <v>16</v>
      </c>
      <c r="B510" s="6">
        <f t="shared" si="100"/>
        <v>20</v>
      </c>
      <c r="C510" s="6" t="str">
        <f t="shared" si="90"/>
        <v>652466500ALEATHER, HIDE TOP GRAIN, OBSIDIAN BLACK, NNB, BLA9107371452672674.86</v>
      </c>
      <c r="D510" s="6" t="s">
        <v>221</v>
      </c>
      <c r="E510" s="6" t="s">
        <v>163</v>
      </c>
      <c r="F510" s="6"/>
      <c r="G510" s="7" t="s">
        <v>141</v>
      </c>
      <c r="H510" s="7"/>
      <c r="I510" s="7"/>
      <c r="J510" s="7"/>
      <c r="K510" s="7"/>
      <c r="L510" s="7">
        <v>9107371</v>
      </c>
      <c r="M510" s="22">
        <v>45267</v>
      </c>
      <c r="N510" s="8" t="e">
        <v>#N/A</v>
      </c>
      <c r="O510" s="8"/>
      <c r="P510" s="7">
        <v>2674.86</v>
      </c>
      <c r="Q510" s="7">
        <v>6188373.2800000003</v>
      </c>
      <c r="R510" s="7" t="e">
        <v>#N/A</v>
      </c>
      <c r="S510" s="7">
        <v>0</v>
      </c>
      <c r="T510" s="7" t="e">
        <v>#N/A</v>
      </c>
      <c r="U510" s="7" t="e">
        <v>#N/A</v>
      </c>
      <c r="V510" s="6">
        <f t="shared" si="91"/>
        <v>0</v>
      </c>
      <c r="W510" s="6">
        <f t="shared" si="92"/>
        <v>0</v>
      </c>
      <c r="X510" s="6">
        <f t="shared" si="93"/>
        <v>0</v>
      </c>
      <c r="Y510" s="6">
        <f t="shared" si="94"/>
        <v>0</v>
      </c>
      <c r="Z510" s="6">
        <f t="shared" si="95"/>
        <v>2313.5316539931064</v>
      </c>
      <c r="AA510" s="9">
        <f t="shared" si="96"/>
        <v>2674.86</v>
      </c>
      <c r="AB510" s="10">
        <v>1106</v>
      </c>
      <c r="AC510" s="11">
        <f t="shared" si="98"/>
        <v>0</v>
      </c>
      <c r="AD510" s="12">
        <f t="shared" si="97"/>
        <v>2674.86</v>
      </c>
      <c r="AE510" s="13">
        <f t="shared" si="101"/>
        <v>0</v>
      </c>
    </row>
    <row r="511" spans="1:31">
      <c r="A511" s="6">
        <v>16</v>
      </c>
      <c r="B511" s="6">
        <f t="shared" si="100"/>
        <v>21</v>
      </c>
      <c r="C511" s="6" t="str">
        <f t="shared" si="90"/>
        <v>651409900ASCREW, STD METRIC M6 HEXALOBULAR INTERNAL, T492818664527830000</v>
      </c>
      <c r="D511" s="6" t="s">
        <v>221</v>
      </c>
      <c r="E511" s="6" t="s">
        <v>168</v>
      </c>
      <c r="F511" s="6"/>
      <c r="G511" s="7" t="s">
        <v>146</v>
      </c>
      <c r="H511" s="7"/>
      <c r="I511" s="7"/>
      <c r="J511" s="7"/>
      <c r="K511" s="7"/>
      <c r="L511" s="7">
        <v>9281866</v>
      </c>
      <c r="M511" s="22">
        <v>45278</v>
      </c>
      <c r="N511" s="8" t="e">
        <v>#N/A</v>
      </c>
      <c r="O511" s="8"/>
      <c r="P511" s="7">
        <v>30000</v>
      </c>
      <c r="Q511" s="7">
        <v>99670.29</v>
      </c>
      <c r="R511" s="7" t="e">
        <v>#N/A</v>
      </c>
      <c r="S511" s="7">
        <v>15</v>
      </c>
      <c r="T511" s="7" t="e">
        <v>#N/A</v>
      </c>
      <c r="U511" s="7" t="e">
        <v>#N/A</v>
      </c>
      <c r="V511" s="6">
        <f t="shared" si="91"/>
        <v>14950.543499999998</v>
      </c>
      <c r="W511" s="6">
        <f t="shared" si="92"/>
        <v>1495.0543499999999</v>
      </c>
      <c r="X511" s="6">
        <f t="shared" si="93"/>
        <v>16445.597849999998</v>
      </c>
      <c r="Y511" s="6">
        <f t="shared" si="94"/>
        <v>0.54818659499999989</v>
      </c>
      <c r="Z511" s="6">
        <f t="shared" si="95"/>
        <v>3.3223429999999996</v>
      </c>
      <c r="AA511" s="9">
        <f t="shared" si="96"/>
        <v>30000</v>
      </c>
      <c r="AB511" s="10">
        <v>17540</v>
      </c>
      <c r="AC511" s="11">
        <f t="shared" si="98"/>
        <v>9615.1928762999978</v>
      </c>
      <c r="AD511" s="12">
        <f t="shared" si="97"/>
        <v>30000</v>
      </c>
      <c r="AE511" s="13">
        <f t="shared" si="101"/>
        <v>0</v>
      </c>
    </row>
    <row r="512" spans="1:31">
      <c r="A512" s="6">
        <v>17</v>
      </c>
      <c r="B512" s="6">
        <v>1</v>
      </c>
      <c r="C512" s="6" t="str">
        <f t="shared" si="90"/>
        <v>630580800ALABEL, RAW MATERIAL, BLA K12 TPC BUCKLE5160585449362400000</v>
      </c>
      <c r="D512" s="6" t="s">
        <v>250</v>
      </c>
      <c r="E512" s="6" t="s">
        <v>71</v>
      </c>
      <c r="F512" s="6"/>
      <c r="G512" s="7" t="s">
        <v>31</v>
      </c>
      <c r="H512" s="7"/>
      <c r="I512" s="7"/>
      <c r="J512" s="7"/>
      <c r="K512" s="7"/>
      <c r="L512" s="7">
        <v>5160585</v>
      </c>
      <c r="M512" s="22">
        <v>44936</v>
      </c>
      <c r="N512" s="8" t="s">
        <v>196</v>
      </c>
      <c r="O512" s="8" t="s">
        <v>333</v>
      </c>
      <c r="P512" s="7">
        <v>2400000</v>
      </c>
      <c r="Q512" s="7">
        <v>86522.34</v>
      </c>
      <c r="R512" s="7">
        <v>87082900</v>
      </c>
      <c r="S512" s="7">
        <v>15</v>
      </c>
      <c r="T512" s="7" t="s">
        <v>265</v>
      </c>
      <c r="U512" s="7" t="s">
        <v>178</v>
      </c>
      <c r="V512" s="6">
        <f t="shared" si="91"/>
        <v>12978.350999999999</v>
      </c>
      <c r="W512" s="6">
        <f t="shared" si="92"/>
        <v>1297.8351</v>
      </c>
      <c r="X512" s="6">
        <f t="shared" si="93"/>
        <v>14276.186099999999</v>
      </c>
      <c r="Y512" s="6">
        <f t="shared" si="94"/>
        <v>5.9484108749999999E-3</v>
      </c>
      <c r="Z512" s="6">
        <f t="shared" si="95"/>
        <v>3.6050974999999999E-2</v>
      </c>
      <c r="AA512" s="9">
        <f t="shared" si="96"/>
        <v>2400000</v>
      </c>
      <c r="AB512" s="10">
        <v>8400</v>
      </c>
      <c r="AC512" s="11">
        <f t="shared" si="98"/>
        <v>49.966651349999999</v>
      </c>
      <c r="AD512" s="12">
        <f t="shared" si="97"/>
        <v>548546</v>
      </c>
      <c r="AE512" s="13">
        <f t="shared" si="101"/>
        <v>1851454</v>
      </c>
    </row>
    <row r="513" spans="1:31">
      <c r="A513" s="6">
        <v>17</v>
      </c>
      <c r="B513" s="6">
        <f t="shared" si="100"/>
        <v>2</v>
      </c>
      <c r="C513" s="6" t="str">
        <f t="shared" si="90"/>
        <v>634240200AHORN CONTACT, CU 521662145010720000</v>
      </c>
      <c r="D513" s="6" t="s">
        <v>250</v>
      </c>
      <c r="E513" s="6" t="s">
        <v>160</v>
      </c>
      <c r="F513" s="6"/>
      <c r="G513" s="7" t="s">
        <v>138</v>
      </c>
      <c r="H513" s="7"/>
      <c r="I513" s="7"/>
      <c r="J513" s="7"/>
      <c r="K513" s="7"/>
      <c r="L513" s="7">
        <v>5216621</v>
      </c>
      <c r="M513" s="22">
        <v>45010</v>
      </c>
      <c r="N513" s="8" t="s">
        <v>189</v>
      </c>
      <c r="O513" s="8"/>
      <c r="P513" s="7">
        <v>720000</v>
      </c>
      <c r="Q513" s="7">
        <v>803516.76</v>
      </c>
      <c r="R513" s="7">
        <v>87089900</v>
      </c>
      <c r="S513" s="7">
        <v>15</v>
      </c>
      <c r="T513" s="7" t="s">
        <v>258</v>
      </c>
      <c r="U513" s="7" t="s">
        <v>178</v>
      </c>
      <c r="V513" s="6">
        <f t="shared" si="91"/>
        <v>120527.514</v>
      </c>
      <c r="W513" s="6">
        <f t="shared" si="92"/>
        <v>12052.751400000001</v>
      </c>
      <c r="X513" s="6">
        <f t="shared" si="93"/>
        <v>132580.2654</v>
      </c>
      <c r="Y513" s="6">
        <f t="shared" si="94"/>
        <v>0.18413925750000001</v>
      </c>
      <c r="Z513" s="6">
        <f t="shared" si="95"/>
        <v>1.1159954999999999</v>
      </c>
      <c r="AA513" s="9">
        <f t="shared" si="96"/>
        <v>720000</v>
      </c>
      <c r="AB513" s="10">
        <v>33600</v>
      </c>
      <c r="AC513" s="11">
        <f t="shared" si="98"/>
        <v>6187.079052</v>
      </c>
      <c r="AD513" s="12">
        <f t="shared" si="97"/>
        <v>707364</v>
      </c>
      <c r="AE513" s="13">
        <f t="shared" si="101"/>
        <v>12636</v>
      </c>
    </row>
    <row r="514" spans="1:31">
      <c r="A514" s="6">
        <v>17</v>
      </c>
      <c r="B514" s="6">
        <f t="shared" si="100"/>
        <v>3</v>
      </c>
      <c r="C514" s="6" t="str">
        <f t="shared" ref="C514:C577" si="102">E514&amp;G514&amp;L514&amp;M514&amp;P514</f>
        <v>608067201ANUT, ISO, M5 351094044894800000</v>
      </c>
      <c r="D514" s="6" t="s">
        <v>250</v>
      </c>
      <c r="E514" s="6" t="s">
        <v>164</v>
      </c>
      <c r="F514" s="6"/>
      <c r="G514" s="7" t="s">
        <v>142</v>
      </c>
      <c r="H514" s="7"/>
      <c r="I514" s="7"/>
      <c r="J514" s="7"/>
      <c r="K514" s="7"/>
      <c r="L514" s="7">
        <v>3510940</v>
      </c>
      <c r="M514" s="22">
        <v>44894</v>
      </c>
      <c r="N514" s="8" t="s">
        <v>189</v>
      </c>
      <c r="O514" s="8" t="s">
        <v>332</v>
      </c>
      <c r="P514" s="7">
        <v>800000</v>
      </c>
      <c r="Q514" s="7">
        <v>1498489.13</v>
      </c>
      <c r="R514" s="7">
        <v>87089500</v>
      </c>
      <c r="S514" s="7">
        <v>15</v>
      </c>
      <c r="T514" s="7" t="s">
        <v>183</v>
      </c>
      <c r="U514" s="7" t="s">
        <v>178</v>
      </c>
      <c r="V514" s="6">
        <f t="shared" ref="V514:V577" si="103">Q514*S514%</f>
        <v>224773.36949999997</v>
      </c>
      <c r="W514" s="6">
        <f t="shared" ref="W514:W577" si="104">V514*0.1</f>
        <v>22477.336949999997</v>
      </c>
      <c r="X514" s="6">
        <f t="shared" ref="X514:X577" si="105">V514+W514</f>
        <v>247250.70644999997</v>
      </c>
      <c r="Y514" s="6">
        <f t="shared" ref="Y514:Y577" si="106">X514/P514</f>
        <v>0.30906338306249997</v>
      </c>
      <c r="Z514" s="6">
        <f t="shared" ref="Z514:Z577" si="107">Q514/P514</f>
        <v>1.8731114124999999</v>
      </c>
      <c r="AA514" s="9">
        <f t="shared" ref="AA514:AA577" si="108">P514</f>
        <v>800000</v>
      </c>
      <c r="AB514" s="10">
        <v>3840</v>
      </c>
      <c r="AC514" s="11">
        <f t="shared" si="98"/>
        <v>1186.8033909599999</v>
      </c>
      <c r="AD514" s="12">
        <f t="shared" ref="AD514:AD577" si="109">SUMIF($C$2:$C$2284,C514,$AB$2:$AB$2284)</f>
        <v>70960</v>
      </c>
      <c r="AE514" s="13">
        <f t="shared" si="101"/>
        <v>729040</v>
      </c>
    </row>
    <row r="515" spans="1:31">
      <c r="A515" s="6">
        <v>17</v>
      </c>
      <c r="B515" s="6">
        <f t="shared" si="100"/>
        <v>4</v>
      </c>
      <c r="C515" s="6" t="str">
        <f t="shared" si="102"/>
        <v>650557200GCUSHION, FOLDED, C AND S HONDA 2JX3322516448811800</v>
      </c>
      <c r="D515" s="6" t="s">
        <v>250</v>
      </c>
      <c r="E515" s="6" t="s">
        <v>159</v>
      </c>
      <c r="F515" s="6"/>
      <c r="G515" s="7" t="s">
        <v>136</v>
      </c>
      <c r="H515" s="7"/>
      <c r="I515" s="7"/>
      <c r="J515" s="7"/>
      <c r="K515" s="7"/>
      <c r="L515" s="7">
        <v>3322516</v>
      </c>
      <c r="M515" s="22">
        <v>44881</v>
      </c>
      <c r="N515" s="8" t="s">
        <v>184</v>
      </c>
      <c r="O515" s="8"/>
      <c r="P515" s="7">
        <v>1800</v>
      </c>
      <c r="Q515" s="7">
        <v>2319294.85</v>
      </c>
      <c r="R515" s="7">
        <v>87089500</v>
      </c>
      <c r="S515" s="7">
        <v>5</v>
      </c>
      <c r="T515" s="7" t="s">
        <v>267</v>
      </c>
      <c r="U515" s="7" t="s">
        <v>178</v>
      </c>
      <c r="V515" s="6">
        <f t="shared" si="103"/>
        <v>115964.74250000001</v>
      </c>
      <c r="W515" s="6">
        <f t="shared" si="104"/>
        <v>11596.474250000001</v>
      </c>
      <c r="X515" s="6">
        <f t="shared" si="105"/>
        <v>127561.21675000001</v>
      </c>
      <c r="Y515" s="6">
        <f t="shared" si="106"/>
        <v>70.867342638888886</v>
      </c>
      <c r="Z515" s="6">
        <f t="shared" si="107"/>
        <v>1288.4971388888889</v>
      </c>
      <c r="AA515" s="9">
        <f t="shared" si="108"/>
        <v>1800</v>
      </c>
      <c r="AB515" s="10">
        <v>500</v>
      </c>
      <c r="AC515" s="11">
        <f t="shared" ref="AC515:AC578" si="110">AB515*Y515</f>
        <v>35433.671319444446</v>
      </c>
      <c r="AD515" s="12">
        <f t="shared" si="109"/>
        <v>1800</v>
      </c>
      <c r="AE515" s="13">
        <f t="shared" si="101"/>
        <v>0</v>
      </c>
    </row>
    <row r="516" spans="1:31">
      <c r="A516" s="6">
        <v>17</v>
      </c>
      <c r="B516" s="6">
        <f t="shared" si="100"/>
        <v>5</v>
      </c>
      <c r="C516" s="6" t="str">
        <f t="shared" si="102"/>
        <v>650557200GCUSHION, FOLDED, C AND S HONDA 2JX371647044908720</v>
      </c>
      <c r="D516" s="6" t="s">
        <v>250</v>
      </c>
      <c r="E516" s="6" t="s">
        <v>159</v>
      </c>
      <c r="F516" s="6"/>
      <c r="G516" s="7" t="s">
        <v>136</v>
      </c>
      <c r="H516" s="7"/>
      <c r="I516" s="7"/>
      <c r="J516" s="7"/>
      <c r="K516" s="7"/>
      <c r="L516" s="7">
        <v>3716470</v>
      </c>
      <c r="M516" s="22">
        <v>44908</v>
      </c>
      <c r="N516" s="8" t="s">
        <v>189</v>
      </c>
      <c r="O516" s="8"/>
      <c r="P516" s="7">
        <v>720</v>
      </c>
      <c r="Q516" s="7">
        <v>882387.25</v>
      </c>
      <c r="R516" s="7">
        <v>87089500</v>
      </c>
      <c r="S516" s="7">
        <v>5</v>
      </c>
      <c r="T516" s="7" t="s">
        <v>267</v>
      </c>
      <c r="U516" s="7" t="s">
        <v>178</v>
      </c>
      <c r="V516" s="6">
        <f t="shared" si="103"/>
        <v>44119.362500000003</v>
      </c>
      <c r="W516" s="6">
        <f t="shared" si="104"/>
        <v>4411.9362500000007</v>
      </c>
      <c r="X516" s="6">
        <f t="shared" si="105"/>
        <v>48531.298750000002</v>
      </c>
      <c r="Y516" s="6">
        <f t="shared" si="106"/>
        <v>67.404581597222219</v>
      </c>
      <c r="Z516" s="6">
        <f t="shared" si="107"/>
        <v>1225.5378472222221</v>
      </c>
      <c r="AA516" s="9">
        <f t="shared" si="108"/>
        <v>720</v>
      </c>
      <c r="AB516" s="10">
        <v>460</v>
      </c>
      <c r="AC516" s="11">
        <f t="shared" si="110"/>
        <v>31006.107534722221</v>
      </c>
      <c r="AD516" s="12">
        <f t="shared" si="109"/>
        <v>720</v>
      </c>
      <c r="AE516" s="13">
        <f t="shared" si="101"/>
        <v>0</v>
      </c>
    </row>
    <row r="517" spans="1:31">
      <c r="A517" s="6">
        <v>17</v>
      </c>
      <c r="B517" s="6">
        <f t="shared" si="100"/>
        <v>6</v>
      </c>
      <c r="C517" s="6" t="str">
        <f t="shared" si="102"/>
        <v>653052600AINFLATOR, APP-4.6, 2.2MO STANDARD_MIB, SQUARE_61X6164172450751728</v>
      </c>
      <c r="D517" s="6" t="s">
        <v>250</v>
      </c>
      <c r="E517" s="6" t="s">
        <v>161</v>
      </c>
      <c r="F517" s="6"/>
      <c r="G517" s="7" t="s">
        <v>139</v>
      </c>
      <c r="H517" s="7"/>
      <c r="I517" s="7"/>
      <c r="J517" s="7"/>
      <c r="K517" s="7"/>
      <c r="L517" s="7">
        <v>6164172</v>
      </c>
      <c r="M517" s="22">
        <v>45075</v>
      </c>
      <c r="N517" s="8" t="s">
        <v>184</v>
      </c>
      <c r="O517" s="8"/>
      <c r="P517" s="7">
        <v>1728</v>
      </c>
      <c r="Q517" s="7">
        <v>905080.82</v>
      </c>
      <c r="R517" s="7">
        <v>87089500</v>
      </c>
      <c r="S517" s="7">
        <v>15</v>
      </c>
      <c r="T517" s="7" t="s">
        <v>259</v>
      </c>
      <c r="U517" s="7" t="s">
        <v>200</v>
      </c>
      <c r="V517" s="6">
        <f t="shared" si="103"/>
        <v>135762.12299999999</v>
      </c>
      <c r="W517" s="6">
        <f t="shared" si="104"/>
        <v>13576.212299999999</v>
      </c>
      <c r="X517" s="6">
        <f t="shared" si="105"/>
        <v>149338.33529999998</v>
      </c>
      <c r="Y517" s="6">
        <f t="shared" si="106"/>
        <v>86.422647743055549</v>
      </c>
      <c r="Z517" s="6">
        <f t="shared" si="107"/>
        <v>523.77362268518516</v>
      </c>
      <c r="AA517" s="9">
        <f t="shared" si="108"/>
        <v>1728</v>
      </c>
      <c r="AB517" s="10">
        <v>960</v>
      </c>
      <c r="AC517" s="11">
        <f t="shared" si="110"/>
        <v>82965.741833333333</v>
      </c>
      <c r="AD517" s="12">
        <f t="shared" si="109"/>
        <v>1632</v>
      </c>
      <c r="AE517" s="13">
        <f t="shared" si="101"/>
        <v>96</v>
      </c>
    </row>
    <row r="518" spans="1:31">
      <c r="A518" s="6">
        <v>17</v>
      </c>
      <c r="B518" s="6">
        <f t="shared" si="100"/>
        <v>7</v>
      </c>
      <c r="C518" s="6" t="str">
        <f t="shared" si="102"/>
        <v>651015300BELEMENT, HEATER, HYBRID 9125192452683500</v>
      </c>
      <c r="D518" s="6" t="s">
        <v>250</v>
      </c>
      <c r="E518" s="6" t="s">
        <v>155</v>
      </c>
      <c r="F518" s="6"/>
      <c r="G518" s="7" t="s">
        <v>137</v>
      </c>
      <c r="H518" s="7"/>
      <c r="I518" s="7"/>
      <c r="J518" s="7"/>
      <c r="K518" s="7"/>
      <c r="L518" s="7">
        <v>9125192</v>
      </c>
      <c r="M518" s="22">
        <v>45268</v>
      </c>
      <c r="N518" s="8" t="e">
        <v>#N/A</v>
      </c>
      <c r="O518" s="8"/>
      <c r="P518" s="7">
        <v>3500</v>
      </c>
      <c r="Q518" s="7">
        <v>1928144.32</v>
      </c>
      <c r="R518" s="7" t="e">
        <v>#N/A</v>
      </c>
      <c r="S518" s="7">
        <v>15</v>
      </c>
      <c r="T518" s="7" t="e">
        <v>#N/A</v>
      </c>
      <c r="U518" s="7" t="e">
        <v>#N/A</v>
      </c>
      <c r="V518" s="6">
        <f t="shared" si="103"/>
        <v>289221.64799999999</v>
      </c>
      <c r="W518" s="6">
        <f t="shared" si="104"/>
        <v>28922.164799999999</v>
      </c>
      <c r="X518" s="6">
        <f t="shared" si="105"/>
        <v>318143.81279999996</v>
      </c>
      <c r="Y518" s="6">
        <f t="shared" si="106"/>
        <v>90.898232228571416</v>
      </c>
      <c r="Z518" s="6">
        <f t="shared" si="107"/>
        <v>550.89837714285716</v>
      </c>
      <c r="AA518" s="9">
        <f t="shared" si="108"/>
        <v>3500</v>
      </c>
      <c r="AB518" s="10">
        <v>2536</v>
      </c>
      <c r="AC518" s="11">
        <f t="shared" si="110"/>
        <v>230517.91693165712</v>
      </c>
      <c r="AD518" s="12">
        <f t="shared" si="109"/>
        <v>3130</v>
      </c>
      <c r="AE518" s="13">
        <f t="shared" si="101"/>
        <v>370</v>
      </c>
    </row>
    <row r="519" spans="1:31">
      <c r="A519" s="6">
        <v>17</v>
      </c>
      <c r="B519" s="6">
        <f t="shared" si="100"/>
        <v>8</v>
      </c>
      <c r="C519" s="6" t="str">
        <f t="shared" si="102"/>
        <v>651166400CSPRING, COIL, UPPER 33079494488035000</v>
      </c>
      <c r="D519" s="6" t="s">
        <v>250</v>
      </c>
      <c r="E519" s="6" t="s">
        <v>170</v>
      </c>
      <c r="F519" s="6"/>
      <c r="G519" s="7" t="s">
        <v>148</v>
      </c>
      <c r="H519" s="7"/>
      <c r="I519" s="7"/>
      <c r="J519" s="7"/>
      <c r="K519" s="7"/>
      <c r="L519" s="7">
        <v>3307949</v>
      </c>
      <c r="M519" s="22">
        <v>44880</v>
      </c>
      <c r="N519" s="8" t="s">
        <v>180</v>
      </c>
      <c r="O519" s="8"/>
      <c r="P519" s="7">
        <v>35000</v>
      </c>
      <c r="Q519" s="7">
        <v>89712.01</v>
      </c>
      <c r="R519" s="7">
        <v>87089400</v>
      </c>
      <c r="S519" s="7">
        <v>15</v>
      </c>
      <c r="T519" s="7" t="s">
        <v>296</v>
      </c>
      <c r="U519" s="7" t="s">
        <v>178</v>
      </c>
      <c r="V519" s="6">
        <f t="shared" si="103"/>
        <v>13456.8015</v>
      </c>
      <c r="W519" s="6">
        <f t="shared" si="104"/>
        <v>1345.6801500000001</v>
      </c>
      <c r="X519" s="6">
        <f t="shared" si="105"/>
        <v>14802.48165</v>
      </c>
      <c r="Y519" s="6">
        <f t="shared" si="106"/>
        <v>0.42292804714285714</v>
      </c>
      <c r="Z519" s="6">
        <f t="shared" si="107"/>
        <v>2.5632002857142857</v>
      </c>
      <c r="AA519" s="9">
        <f t="shared" si="108"/>
        <v>35000</v>
      </c>
      <c r="AB519" s="10">
        <v>25200</v>
      </c>
      <c r="AC519" s="11">
        <f t="shared" si="110"/>
        <v>10657.786787999999</v>
      </c>
      <c r="AD519" s="12">
        <f t="shared" si="109"/>
        <v>35000</v>
      </c>
      <c r="AE519" s="13">
        <f t="shared" si="101"/>
        <v>0</v>
      </c>
    </row>
    <row r="520" spans="1:31">
      <c r="A520" s="6">
        <v>17</v>
      </c>
      <c r="B520" s="6">
        <f t="shared" si="100"/>
        <v>9</v>
      </c>
      <c r="C520" s="6" t="str">
        <f t="shared" si="102"/>
        <v>655818900BACTUATOR VIBRATION MOTOR ASSY WITH BRACKET BC3 CU2863214453857200</v>
      </c>
      <c r="D520" s="6" t="s">
        <v>250</v>
      </c>
      <c r="E520" s="6" t="s">
        <v>156</v>
      </c>
      <c r="F520" s="6"/>
      <c r="G520" s="7" t="s">
        <v>133</v>
      </c>
      <c r="H520" s="7"/>
      <c r="I520" s="7"/>
      <c r="J520" s="7"/>
      <c r="K520" s="7"/>
      <c r="L520" s="7">
        <v>2863214</v>
      </c>
      <c r="M520" s="22">
        <v>45385</v>
      </c>
      <c r="N520" s="8" t="e">
        <v>#N/A</v>
      </c>
      <c r="O520" s="8"/>
      <c r="P520" s="7">
        <v>7200</v>
      </c>
      <c r="Q520" s="7">
        <v>2402096.29</v>
      </c>
      <c r="R520" s="7" t="e">
        <v>#N/A</v>
      </c>
      <c r="S520" s="7">
        <v>15</v>
      </c>
      <c r="T520" s="7" t="e">
        <v>#N/A</v>
      </c>
      <c r="U520" s="7" t="e">
        <v>#N/A</v>
      </c>
      <c r="V520" s="6">
        <f t="shared" si="103"/>
        <v>360314.44349999999</v>
      </c>
      <c r="W520" s="6">
        <f t="shared" si="104"/>
        <v>36031.444349999998</v>
      </c>
      <c r="X520" s="6">
        <f t="shared" si="105"/>
        <v>396345.88785</v>
      </c>
      <c r="Y520" s="6">
        <f t="shared" si="106"/>
        <v>55.048039979166667</v>
      </c>
      <c r="Z520" s="6">
        <f t="shared" si="107"/>
        <v>333.62448472222223</v>
      </c>
      <c r="AA520" s="9">
        <f t="shared" si="108"/>
        <v>7200</v>
      </c>
      <c r="AB520" s="10">
        <v>7200</v>
      </c>
      <c r="AC520" s="11">
        <f t="shared" si="110"/>
        <v>396345.88785</v>
      </c>
      <c r="AD520" s="12">
        <f t="shared" si="109"/>
        <v>7200</v>
      </c>
      <c r="AE520" s="13">
        <f t="shared" si="101"/>
        <v>0</v>
      </c>
    </row>
    <row r="521" spans="1:31">
      <c r="A521" s="6">
        <v>17</v>
      </c>
      <c r="B521" s="6">
        <f t="shared" si="100"/>
        <v>10</v>
      </c>
      <c r="C521" s="6" t="str">
        <f t="shared" si="102"/>
        <v>639590100BSCREW SELF TAPPING INTERNAL T15, 15.01061244940120000</v>
      </c>
      <c r="D521" s="6" t="s">
        <v>250</v>
      </c>
      <c r="E521" s="6" t="s">
        <v>165</v>
      </c>
      <c r="F521" s="6"/>
      <c r="G521" s="7" t="s">
        <v>143</v>
      </c>
      <c r="H521" s="7"/>
      <c r="I521" s="7"/>
      <c r="J521" s="7"/>
      <c r="K521" s="7"/>
      <c r="L521" s="7">
        <v>10612</v>
      </c>
      <c r="M521" s="22">
        <v>44940</v>
      </c>
      <c r="N521" s="8" t="e">
        <v>#N/A</v>
      </c>
      <c r="O521" s="8"/>
      <c r="P521" s="7">
        <v>120000</v>
      </c>
      <c r="Q521" s="7">
        <v>171172.36</v>
      </c>
      <c r="R521" s="7" t="e">
        <v>#N/A</v>
      </c>
      <c r="S521" s="7">
        <v>15</v>
      </c>
      <c r="T521" s="7" t="e">
        <v>#N/A</v>
      </c>
      <c r="U521" s="7" t="e">
        <v>#N/A</v>
      </c>
      <c r="V521" s="6">
        <f t="shared" si="103"/>
        <v>25675.853999999996</v>
      </c>
      <c r="W521" s="6">
        <f t="shared" si="104"/>
        <v>2567.5853999999999</v>
      </c>
      <c r="X521" s="6">
        <f t="shared" si="105"/>
        <v>28243.439399999996</v>
      </c>
      <c r="Y521" s="6">
        <f t="shared" si="106"/>
        <v>0.23536199499999996</v>
      </c>
      <c r="Z521" s="6">
        <f t="shared" si="107"/>
        <v>1.4264363333333332</v>
      </c>
      <c r="AA521" s="9">
        <f t="shared" si="108"/>
        <v>120000</v>
      </c>
      <c r="AB521" s="10">
        <v>36684</v>
      </c>
      <c r="AC521" s="11">
        <f t="shared" si="110"/>
        <v>8634.0194245799994</v>
      </c>
      <c r="AD521" s="12">
        <f t="shared" si="109"/>
        <v>119999.73</v>
      </c>
      <c r="AE521" s="13">
        <f t="shared" si="101"/>
        <v>0.27000000000407454</v>
      </c>
    </row>
    <row r="522" spans="1:31">
      <c r="A522" s="6">
        <v>17</v>
      </c>
      <c r="B522" s="6">
        <f t="shared" si="100"/>
        <v>11</v>
      </c>
      <c r="C522" s="6" t="str">
        <f t="shared" si="102"/>
        <v>644345600ASCREW, SELF-TAPPING, PLA PLASTIC, 3.0, CROSS467246744973120000</v>
      </c>
      <c r="D522" s="6" t="s">
        <v>250</v>
      </c>
      <c r="E522" s="6" t="s">
        <v>166</v>
      </c>
      <c r="F522" s="6"/>
      <c r="G522" s="7" t="s">
        <v>144</v>
      </c>
      <c r="H522" s="7"/>
      <c r="I522" s="7"/>
      <c r="J522" s="7"/>
      <c r="K522" s="7"/>
      <c r="L522" s="7">
        <v>4672467</v>
      </c>
      <c r="M522" s="22">
        <v>44973</v>
      </c>
      <c r="N522" s="8" t="s">
        <v>182</v>
      </c>
      <c r="O522" s="8"/>
      <c r="P522" s="7">
        <v>120000</v>
      </c>
      <c r="Q522" s="7">
        <v>96772.74</v>
      </c>
      <c r="R522" s="7">
        <v>87089500</v>
      </c>
      <c r="S522" s="7">
        <v>15</v>
      </c>
      <c r="T522" s="7" t="s">
        <v>183</v>
      </c>
      <c r="U522" s="7" t="s">
        <v>178</v>
      </c>
      <c r="V522" s="6">
        <f t="shared" si="103"/>
        <v>14515.911</v>
      </c>
      <c r="W522" s="6">
        <f t="shared" si="104"/>
        <v>1451.5911000000001</v>
      </c>
      <c r="X522" s="6">
        <f t="shared" si="105"/>
        <v>15967.5021</v>
      </c>
      <c r="Y522" s="6">
        <f t="shared" si="106"/>
        <v>0.1330625175</v>
      </c>
      <c r="Z522" s="6">
        <f t="shared" si="107"/>
        <v>0.80643950000000009</v>
      </c>
      <c r="AA522" s="9">
        <f t="shared" si="108"/>
        <v>120000</v>
      </c>
      <c r="AB522" s="10">
        <v>16800</v>
      </c>
      <c r="AC522" s="11">
        <f t="shared" si="110"/>
        <v>2235.4502940000002</v>
      </c>
      <c r="AD522" s="12">
        <f t="shared" si="109"/>
        <v>117964</v>
      </c>
      <c r="AE522" s="13">
        <f t="shared" si="101"/>
        <v>2036</v>
      </c>
    </row>
    <row r="523" spans="1:31">
      <c r="A523" s="6">
        <v>17</v>
      </c>
      <c r="B523" s="6">
        <f t="shared" si="100"/>
        <v>12</v>
      </c>
      <c r="C523" s="6" t="str">
        <f t="shared" si="102"/>
        <v>628408700ASCREW, STANDARD, METRIC, M5, HEXALOBULAR INTERNAL95252474529545000</v>
      </c>
      <c r="D523" s="6" t="s">
        <v>250</v>
      </c>
      <c r="E523" s="6" t="s">
        <v>167</v>
      </c>
      <c r="F523" s="6"/>
      <c r="G523" s="7" t="s">
        <v>145</v>
      </c>
      <c r="H523" s="7"/>
      <c r="I523" s="7"/>
      <c r="J523" s="7"/>
      <c r="K523" s="7"/>
      <c r="L523" s="7">
        <v>9525247</v>
      </c>
      <c r="M523" s="22">
        <v>45295</v>
      </c>
      <c r="N523" s="8" t="e">
        <v>#N/A</v>
      </c>
      <c r="O523" s="8"/>
      <c r="P523" s="7">
        <v>45000</v>
      </c>
      <c r="Q523" s="7">
        <v>229052.28</v>
      </c>
      <c r="R523" s="7" t="e">
        <v>#N/A</v>
      </c>
      <c r="S523" s="7">
        <v>15</v>
      </c>
      <c r="T523" s="7" t="e">
        <v>#N/A</v>
      </c>
      <c r="U523" s="7" t="e">
        <v>#N/A</v>
      </c>
      <c r="V523" s="6">
        <f t="shared" si="103"/>
        <v>34357.841999999997</v>
      </c>
      <c r="W523" s="6">
        <f t="shared" si="104"/>
        <v>3435.7842000000001</v>
      </c>
      <c r="X523" s="6">
        <f t="shared" si="105"/>
        <v>37793.626199999999</v>
      </c>
      <c r="Y523" s="6">
        <f t="shared" si="106"/>
        <v>0.83985836000000003</v>
      </c>
      <c r="Z523" s="6">
        <f t="shared" si="107"/>
        <v>5.0900506666666665</v>
      </c>
      <c r="AA523" s="9">
        <f t="shared" si="108"/>
        <v>45000</v>
      </c>
      <c r="AB523" s="10">
        <v>25200</v>
      </c>
      <c r="AC523" s="11">
        <f t="shared" si="110"/>
        <v>21164.430672000002</v>
      </c>
      <c r="AD523" s="12">
        <f t="shared" si="109"/>
        <v>45000</v>
      </c>
      <c r="AE523" s="13">
        <f t="shared" si="101"/>
        <v>0</v>
      </c>
    </row>
    <row r="524" spans="1:31">
      <c r="A524" s="6">
        <v>17</v>
      </c>
      <c r="B524" s="6">
        <f t="shared" si="100"/>
        <v>13</v>
      </c>
      <c r="C524" s="6" t="str">
        <f t="shared" si="102"/>
        <v>651409900ASCREW, STD METRIC M6 HEXALOBULAR INTERNAL, T470876924513530000</v>
      </c>
      <c r="D524" s="6" t="s">
        <v>250</v>
      </c>
      <c r="E524" s="6" t="s">
        <v>168</v>
      </c>
      <c r="F524" s="6"/>
      <c r="G524" s="7" t="s">
        <v>146</v>
      </c>
      <c r="H524" s="7"/>
      <c r="I524" s="7"/>
      <c r="J524" s="7"/>
      <c r="K524" s="7"/>
      <c r="L524" s="7">
        <v>7087692</v>
      </c>
      <c r="M524" s="22">
        <v>45135</v>
      </c>
      <c r="N524" s="8" t="s">
        <v>189</v>
      </c>
      <c r="O524" s="8"/>
      <c r="P524" s="7">
        <v>30000</v>
      </c>
      <c r="Q524" s="7">
        <v>98086.47</v>
      </c>
      <c r="R524" s="7">
        <v>87089500</v>
      </c>
      <c r="S524" s="7">
        <v>15</v>
      </c>
      <c r="T524" s="7" t="s">
        <v>183</v>
      </c>
      <c r="U524" s="7" t="s">
        <v>178</v>
      </c>
      <c r="V524" s="6">
        <f t="shared" si="103"/>
        <v>14712.970499999999</v>
      </c>
      <c r="W524" s="6">
        <f t="shared" si="104"/>
        <v>1471.2970500000001</v>
      </c>
      <c r="X524" s="6">
        <f t="shared" si="105"/>
        <v>16184.26755</v>
      </c>
      <c r="Y524" s="6">
        <f t="shared" si="106"/>
        <v>0.53947558500000004</v>
      </c>
      <c r="Z524" s="6">
        <f t="shared" si="107"/>
        <v>3.269549</v>
      </c>
      <c r="AA524" s="9">
        <f t="shared" si="108"/>
        <v>30000</v>
      </c>
      <c r="AB524" s="10">
        <v>10596</v>
      </c>
      <c r="AC524" s="11">
        <f t="shared" si="110"/>
        <v>5716.2832986600006</v>
      </c>
      <c r="AD524" s="12">
        <f t="shared" si="109"/>
        <v>30000</v>
      </c>
      <c r="AE524" s="13">
        <f t="shared" si="101"/>
        <v>0</v>
      </c>
    </row>
    <row r="525" spans="1:31">
      <c r="A525" s="6">
        <v>17</v>
      </c>
      <c r="B525" s="6">
        <f t="shared" si="100"/>
        <v>14</v>
      </c>
      <c r="C525" s="6" t="str">
        <f t="shared" si="102"/>
        <v>652466500ALEATHER, HIDE TOP GRAIN, OBSIDIAN BLACK, NNB, BLA5703451450435478.49</v>
      </c>
      <c r="D525" s="6" t="s">
        <v>250</v>
      </c>
      <c r="E525" s="6" t="s">
        <v>163</v>
      </c>
      <c r="F525" s="6"/>
      <c r="G525" s="7" t="s">
        <v>141</v>
      </c>
      <c r="H525" s="7"/>
      <c r="I525" s="7"/>
      <c r="J525" s="7"/>
      <c r="K525" s="7"/>
      <c r="L525" s="7">
        <v>5703451</v>
      </c>
      <c r="M525" s="22">
        <v>45043</v>
      </c>
      <c r="N525" s="8" t="s">
        <v>184</v>
      </c>
      <c r="O525" s="8"/>
      <c r="P525" s="7">
        <v>5478.4900000000007</v>
      </c>
      <c r="Q525" s="7">
        <v>14099606.499999998</v>
      </c>
      <c r="R525" s="7">
        <v>41071200</v>
      </c>
      <c r="S525" s="7">
        <v>0</v>
      </c>
      <c r="T525" s="7" t="s">
        <v>261</v>
      </c>
      <c r="U525" s="7" t="s">
        <v>178</v>
      </c>
      <c r="V525" s="6">
        <f t="shared" si="103"/>
        <v>0</v>
      </c>
      <c r="W525" s="6">
        <f t="shared" si="104"/>
        <v>0</v>
      </c>
      <c r="X525" s="6">
        <f t="shared" si="105"/>
        <v>0</v>
      </c>
      <c r="Y525" s="6">
        <f t="shared" si="106"/>
        <v>0</v>
      </c>
      <c r="Z525" s="6">
        <f t="shared" si="107"/>
        <v>2573.6300513462643</v>
      </c>
      <c r="AA525" s="9">
        <f t="shared" si="108"/>
        <v>5478.4900000000007</v>
      </c>
      <c r="AB525" s="10">
        <v>1677.16</v>
      </c>
      <c r="AC525" s="11">
        <f t="shared" si="110"/>
        <v>0</v>
      </c>
      <c r="AD525" s="12">
        <f t="shared" si="109"/>
        <v>5478.4900000000007</v>
      </c>
      <c r="AE525" s="13">
        <f t="shared" si="101"/>
        <v>0</v>
      </c>
    </row>
    <row r="526" spans="1:31">
      <c r="A526" s="6">
        <v>17</v>
      </c>
      <c r="B526" s="6">
        <f t="shared" si="100"/>
        <v>15</v>
      </c>
      <c r="C526" s="6" t="str">
        <f t="shared" si="102"/>
        <v>639590100BSCREW SELF TAPPING INTERNAL T15, 15.0791007444637100000</v>
      </c>
      <c r="D526" s="6" t="s">
        <v>250</v>
      </c>
      <c r="E526" s="6" t="s">
        <v>165</v>
      </c>
      <c r="F526" s="6"/>
      <c r="G526" s="7" t="s">
        <v>143</v>
      </c>
      <c r="H526" s="7"/>
      <c r="I526" s="7"/>
      <c r="J526" s="7"/>
      <c r="K526" s="7"/>
      <c r="L526" s="7">
        <v>7910074</v>
      </c>
      <c r="M526" s="22">
        <v>44637</v>
      </c>
      <c r="N526" s="8" t="s">
        <v>180</v>
      </c>
      <c r="O526" s="8"/>
      <c r="P526" s="7">
        <v>100000</v>
      </c>
      <c r="Q526" s="7">
        <v>141689.75</v>
      </c>
      <c r="R526" s="7">
        <v>87082900</v>
      </c>
      <c r="S526" s="7">
        <v>15</v>
      </c>
      <c r="T526" s="7" t="s">
        <v>291</v>
      </c>
      <c r="U526" s="7" t="s">
        <v>178</v>
      </c>
      <c r="V526" s="6">
        <f t="shared" si="103"/>
        <v>21253.462499999998</v>
      </c>
      <c r="W526" s="6">
        <f t="shared" si="104"/>
        <v>2125.3462500000001</v>
      </c>
      <c r="X526" s="6">
        <f t="shared" si="105"/>
        <v>23378.808749999997</v>
      </c>
      <c r="Y526" s="6">
        <f t="shared" si="106"/>
        <v>0.23378808749999996</v>
      </c>
      <c r="Z526" s="6">
        <f t="shared" si="107"/>
        <v>1.4168974999999999</v>
      </c>
      <c r="AA526" s="9">
        <f t="shared" si="108"/>
        <v>100000</v>
      </c>
      <c r="AB526" s="10">
        <v>14352</v>
      </c>
      <c r="AC526" s="11">
        <f t="shared" si="110"/>
        <v>3355.3266317999996</v>
      </c>
      <c r="AD526" s="12">
        <f t="shared" si="109"/>
        <v>92728</v>
      </c>
      <c r="AE526" s="13">
        <f t="shared" si="101"/>
        <v>7272</v>
      </c>
    </row>
    <row r="527" spans="1:31">
      <c r="A527" s="6">
        <v>17</v>
      </c>
      <c r="B527" s="6">
        <f t="shared" si="100"/>
        <v>16</v>
      </c>
      <c r="C527" s="6" t="str">
        <f t="shared" si="102"/>
        <v>651409900ASCREW, STD METRIC M6 HEXALOBULAR INTERNAL, T492818664527830000</v>
      </c>
      <c r="D527" s="6" t="s">
        <v>250</v>
      </c>
      <c r="E527" s="6" t="s">
        <v>168</v>
      </c>
      <c r="F527" s="6"/>
      <c r="G527" s="7" t="s">
        <v>146</v>
      </c>
      <c r="H527" s="7"/>
      <c r="I527" s="7"/>
      <c r="J527" s="7"/>
      <c r="K527" s="7"/>
      <c r="L527" s="7">
        <v>9281866</v>
      </c>
      <c r="M527" s="22">
        <v>45278</v>
      </c>
      <c r="N527" s="8" t="e">
        <v>#N/A</v>
      </c>
      <c r="O527" s="8"/>
      <c r="P527" s="7">
        <v>30000</v>
      </c>
      <c r="Q527" s="7">
        <v>99670.29</v>
      </c>
      <c r="R527" s="7" t="e">
        <v>#N/A</v>
      </c>
      <c r="S527" s="7">
        <v>15</v>
      </c>
      <c r="T527" s="7" t="e">
        <v>#N/A</v>
      </c>
      <c r="U527" s="7" t="e">
        <v>#N/A</v>
      </c>
      <c r="V527" s="6">
        <f t="shared" si="103"/>
        <v>14950.543499999998</v>
      </c>
      <c r="W527" s="6">
        <f t="shared" si="104"/>
        <v>1495.0543499999999</v>
      </c>
      <c r="X527" s="6">
        <f t="shared" si="105"/>
        <v>16445.597849999998</v>
      </c>
      <c r="Y527" s="6">
        <f t="shared" si="106"/>
        <v>0.54818659499999989</v>
      </c>
      <c r="Z527" s="6">
        <f t="shared" si="107"/>
        <v>3.3223429999999996</v>
      </c>
      <c r="AA527" s="9">
        <f t="shared" si="108"/>
        <v>30000</v>
      </c>
      <c r="AB527" s="10">
        <v>6204</v>
      </c>
      <c r="AC527" s="11">
        <f t="shared" si="110"/>
        <v>3400.9496353799991</v>
      </c>
      <c r="AD527" s="12">
        <f t="shared" si="109"/>
        <v>30000</v>
      </c>
      <c r="AE527" s="13">
        <f t="shared" si="101"/>
        <v>0</v>
      </c>
    </row>
    <row r="528" spans="1:31">
      <c r="A528" s="6">
        <v>17</v>
      </c>
      <c r="B528" s="6">
        <f t="shared" si="100"/>
        <v>17</v>
      </c>
      <c r="C528" s="6" t="str">
        <f t="shared" si="102"/>
        <v>651166400CSPRING, COIL, UPPER 73271424515055000</v>
      </c>
      <c r="D528" s="6" t="s">
        <v>250</v>
      </c>
      <c r="E528" s="6" t="s">
        <v>170</v>
      </c>
      <c r="F528" s="6"/>
      <c r="G528" s="7" t="s">
        <v>148</v>
      </c>
      <c r="H528" s="7"/>
      <c r="I528" s="7"/>
      <c r="J528" s="7"/>
      <c r="K528" s="7"/>
      <c r="L528" s="7">
        <v>7327142</v>
      </c>
      <c r="M528" s="22">
        <v>45150</v>
      </c>
      <c r="N528" s="8" t="s">
        <v>189</v>
      </c>
      <c r="O528" s="8"/>
      <c r="P528" s="7">
        <v>55000</v>
      </c>
      <c r="Q528" s="7">
        <v>100568.15</v>
      </c>
      <c r="R528" s="7">
        <v>87089500</v>
      </c>
      <c r="S528" s="7">
        <v>15</v>
      </c>
      <c r="T528" s="7" t="s">
        <v>288</v>
      </c>
      <c r="U528" s="7" t="s">
        <v>178</v>
      </c>
      <c r="V528" s="6">
        <f t="shared" si="103"/>
        <v>15085.222499999998</v>
      </c>
      <c r="W528" s="6">
        <f t="shared" si="104"/>
        <v>1508.52225</v>
      </c>
      <c r="X528" s="6">
        <f t="shared" si="105"/>
        <v>16593.744749999998</v>
      </c>
      <c r="Y528" s="6">
        <f t="shared" si="106"/>
        <v>0.30170444999999996</v>
      </c>
      <c r="Z528" s="6">
        <f t="shared" si="107"/>
        <v>1.8285118181818181</v>
      </c>
      <c r="AA528" s="9">
        <f t="shared" si="108"/>
        <v>55000</v>
      </c>
      <c r="AB528" s="10">
        <v>0</v>
      </c>
      <c r="AC528" s="11">
        <f t="shared" si="110"/>
        <v>0</v>
      </c>
      <c r="AD528" s="12">
        <f t="shared" si="109"/>
        <v>55000</v>
      </c>
      <c r="AE528" s="13">
        <f t="shared" si="101"/>
        <v>0</v>
      </c>
    </row>
    <row r="529" spans="1:31">
      <c r="A529" s="6">
        <v>17</v>
      </c>
      <c r="B529" s="6">
        <f t="shared" si="100"/>
        <v>18</v>
      </c>
      <c r="C529" s="6" t="str">
        <f t="shared" si="102"/>
        <v>655818900BACTUATOR VIBRATION MOTOR ASSY WITH BRACKET BC3 CU9282299452789600</v>
      </c>
      <c r="D529" s="6" t="s">
        <v>250</v>
      </c>
      <c r="E529" s="6" t="s">
        <v>156</v>
      </c>
      <c r="F529" s="6"/>
      <c r="G529" s="7" t="s">
        <v>133</v>
      </c>
      <c r="H529" s="7"/>
      <c r="I529" s="7"/>
      <c r="J529" s="7"/>
      <c r="K529" s="7"/>
      <c r="L529" s="7">
        <v>9282299</v>
      </c>
      <c r="M529" s="22">
        <v>45278</v>
      </c>
      <c r="N529" s="8" t="e">
        <v>#N/A</v>
      </c>
      <c r="O529" s="8"/>
      <c r="P529" s="7">
        <v>9600</v>
      </c>
      <c r="Q529" s="7">
        <v>3210461.08</v>
      </c>
      <c r="R529" s="7" t="e">
        <v>#N/A</v>
      </c>
      <c r="S529" s="7">
        <v>15</v>
      </c>
      <c r="T529" s="7" t="e">
        <v>#N/A</v>
      </c>
      <c r="U529" s="7" t="e">
        <v>#N/A</v>
      </c>
      <c r="V529" s="6">
        <f t="shared" si="103"/>
        <v>481569.16200000001</v>
      </c>
      <c r="W529" s="6">
        <f t="shared" si="104"/>
        <v>48156.916200000007</v>
      </c>
      <c r="X529" s="6">
        <f t="shared" si="105"/>
        <v>529726.07819999999</v>
      </c>
      <c r="Y529" s="6">
        <f t="shared" si="106"/>
        <v>55.179799812500001</v>
      </c>
      <c r="Z529" s="6">
        <f t="shared" si="107"/>
        <v>334.42302916666665</v>
      </c>
      <c r="AA529" s="9">
        <f t="shared" si="108"/>
        <v>9600</v>
      </c>
      <c r="AB529" s="10">
        <v>1200</v>
      </c>
      <c r="AC529" s="11">
        <f t="shared" si="110"/>
        <v>66215.759774999999</v>
      </c>
      <c r="AD529" s="12">
        <f t="shared" si="109"/>
        <v>9600</v>
      </c>
      <c r="AE529" s="13">
        <f t="shared" si="101"/>
        <v>0</v>
      </c>
    </row>
    <row r="530" spans="1:31" ht="30">
      <c r="A530" s="6">
        <v>17</v>
      </c>
      <c r="B530" s="6">
        <f t="shared" si="100"/>
        <v>19</v>
      </c>
      <c r="C530" s="6" t="str">
        <f t="shared" si="102"/>
        <v>655931500AARMATURE, MONOBLOCK ASW4, HYUNDAI BC3-CUV2456571451959720</v>
      </c>
      <c r="D530" s="6" t="s">
        <v>250</v>
      </c>
      <c r="E530" s="6" t="s">
        <v>157</v>
      </c>
      <c r="F530" s="6"/>
      <c r="G530" s="7" t="s">
        <v>134</v>
      </c>
      <c r="H530" s="7"/>
      <c r="I530" s="7"/>
      <c r="J530" s="7"/>
      <c r="K530" s="7"/>
      <c r="L530" s="7">
        <v>2456571</v>
      </c>
      <c r="M530" s="22">
        <v>45195</v>
      </c>
      <c r="N530" s="8" t="s">
        <v>185</v>
      </c>
      <c r="O530" s="8" t="s">
        <v>333</v>
      </c>
      <c r="P530" s="7">
        <v>9720</v>
      </c>
      <c r="Q530" s="7">
        <v>4109732</v>
      </c>
      <c r="R530" s="7">
        <v>87089400</v>
      </c>
      <c r="S530" s="7">
        <v>15</v>
      </c>
      <c r="T530" s="7" t="s">
        <v>186</v>
      </c>
      <c r="U530" s="7" t="s">
        <v>178</v>
      </c>
      <c r="V530" s="6">
        <f t="shared" si="103"/>
        <v>616459.79999999993</v>
      </c>
      <c r="W530" s="6">
        <f t="shared" si="104"/>
        <v>61645.979999999996</v>
      </c>
      <c r="X530" s="6">
        <f t="shared" si="105"/>
        <v>678105.77999999991</v>
      </c>
      <c r="Y530" s="6">
        <f t="shared" si="106"/>
        <v>69.763969135802455</v>
      </c>
      <c r="Z530" s="6">
        <f t="shared" si="107"/>
        <v>422.81193415637858</v>
      </c>
      <c r="AA530" s="9">
        <f t="shared" si="108"/>
        <v>9720</v>
      </c>
      <c r="AB530" s="10">
        <v>8400</v>
      </c>
      <c r="AC530" s="11">
        <f t="shared" si="110"/>
        <v>586017.34074074065</v>
      </c>
      <c r="AD530" s="12">
        <f t="shared" si="109"/>
        <v>9720</v>
      </c>
      <c r="AE530" s="13">
        <f t="shared" si="101"/>
        <v>0</v>
      </c>
    </row>
    <row r="531" spans="1:31">
      <c r="A531" s="6">
        <v>17</v>
      </c>
      <c r="B531" s="6">
        <f t="shared" si="100"/>
        <v>20</v>
      </c>
      <c r="C531" s="6" t="str">
        <f t="shared" si="102"/>
        <v>608225700ASCREW,STD METRIIC HEXALOBULAR  M5 T25 12MM77207824517640000</v>
      </c>
      <c r="D531" s="6" t="s">
        <v>250</v>
      </c>
      <c r="E531" s="6" t="s">
        <v>169</v>
      </c>
      <c r="F531" s="6"/>
      <c r="G531" s="7" t="s">
        <v>147</v>
      </c>
      <c r="H531" s="7"/>
      <c r="I531" s="7"/>
      <c r="J531" s="7"/>
      <c r="K531" s="7"/>
      <c r="L531" s="7">
        <v>7720782</v>
      </c>
      <c r="M531" s="22">
        <v>45176</v>
      </c>
      <c r="N531" s="8" t="e">
        <v>#N/A</v>
      </c>
      <c r="O531" s="8"/>
      <c r="P531" s="7">
        <v>40000</v>
      </c>
      <c r="Q531" s="7">
        <v>126873.98</v>
      </c>
      <c r="R531" s="7" t="e">
        <v>#N/A</v>
      </c>
      <c r="S531" s="7">
        <v>15</v>
      </c>
      <c r="T531" s="7" t="e">
        <v>#N/A</v>
      </c>
      <c r="U531" s="7" t="e">
        <v>#N/A</v>
      </c>
      <c r="V531" s="6">
        <f t="shared" si="103"/>
        <v>19031.096999999998</v>
      </c>
      <c r="W531" s="6">
        <f t="shared" si="104"/>
        <v>1903.1097</v>
      </c>
      <c r="X531" s="6">
        <f t="shared" si="105"/>
        <v>20934.206699999999</v>
      </c>
      <c r="Y531" s="6">
        <f t="shared" si="106"/>
        <v>0.5233551675</v>
      </c>
      <c r="Z531" s="6">
        <f t="shared" si="107"/>
        <v>3.1718495</v>
      </c>
      <c r="AA531" s="9">
        <f t="shared" si="108"/>
        <v>40000</v>
      </c>
      <c r="AB531" s="10">
        <v>16800</v>
      </c>
      <c r="AC531" s="11">
        <f t="shared" si="110"/>
        <v>8792.3668139999991</v>
      </c>
      <c r="AD531" s="12">
        <f t="shared" si="109"/>
        <v>40000</v>
      </c>
      <c r="AE531" s="13">
        <f t="shared" si="101"/>
        <v>0</v>
      </c>
    </row>
    <row r="532" spans="1:31">
      <c r="A532" s="6">
        <v>18</v>
      </c>
      <c r="B532" s="6">
        <v>1</v>
      </c>
      <c r="C532" s="6" t="str">
        <f t="shared" si="102"/>
        <v>630580800ALABEL, RAW MATERIAL, BLA K12 TPC BUCKLE5160585449362400000</v>
      </c>
      <c r="D532" s="6" t="s">
        <v>251</v>
      </c>
      <c r="E532" s="6" t="s">
        <v>71</v>
      </c>
      <c r="F532" s="6"/>
      <c r="G532" s="7" t="s">
        <v>31</v>
      </c>
      <c r="H532" s="7"/>
      <c r="I532" s="7"/>
      <c r="J532" s="7"/>
      <c r="K532" s="7"/>
      <c r="L532" s="7">
        <v>5160585</v>
      </c>
      <c r="M532" s="22">
        <v>44936</v>
      </c>
      <c r="N532" s="8" t="s">
        <v>196</v>
      </c>
      <c r="O532" s="8" t="s">
        <v>333</v>
      </c>
      <c r="P532" s="7">
        <v>2400000</v>
      </c>
      <c r="Q532" s="7">
        <v>86522.34</v>
      </c>
      <c r="R532" s="7">
        <v>87082900</v>
      </c>
      <c r="S532" s="7">
        <v>15</v>
      </c>
      <c r="T532" s="7" t="s">
        <v>265</v>
      </c>
      <c r="U532" s="7" t="s">
        <v>178</v>
      </c>
      <c r="V532" s="6">
        <f t="shared" si="103"/>
        <v>12978.350999999999</v>
      </c>
      <c r="W532" s="6">
        <f t="shared" si="104"/>
        <v>1297.8351</v>
      </c>
      <c r="X532" s="6">
        <f t="shared" si="105"/>
        <v>14276.186099999999</v>
      </c>
      <c r="Y532" s="6">
        <f t="shared" si="106"/>
        <v>5.9484108749999999E-3</v>
      </c>
      <c r="Z532" s="6">
        <f t="shared" si="107"/>
        <v>3.6050974999999999E-2</v>
      </c>
      <c r="AA532" s="9">
        <f t="shared" si="108"/>
        <v>2400000</v>
      </c>
      <c r="AB532" s="10">
        <v>2733</v>
      </c>
      <c r="AC532" s="11">
        <f t="shared" si="110"/>
        <v>16.257006921374998</v>
      </c>
      <c r="AD532" s="12">
        <f t="shared" si="109"/>
        <v>548546</v>
      </c>
      <c r="AE532" s="13">
        <f t="shared" si="101"/>
        <v>1851454</v>
      </c>
    </row>
    <row r="533" spans="1:31">
      <c r="A533" s="6">
        <v>18</v>
      </c>
      <c r="B533" s="6">
        <f t="shared" si="100"/>
        <v>2</v>
      </c>
      <c r="C533" s="6" t="str">
        <f t="shared" si="102"/>
        <v>634240200AHORN CONTACT, CU 521662145010720000</v>
      </c>
      <c r="D533" s="6" t="s">
        <v>251</v>
      </c>
      <c r="E533" s="6" t="s">
        <v>160</v>
      </c>
      <c r="F533" s="6"/>
      <c r="G533" s="7" t="s">
        <v>138</v>
      </c>
      <c r="H533" s="7"/>
      <c r="I533" s="7"/>
      <c r="J533" s="7"/>
      <c r="K533" s="7"/>
      <c r="L533" s="7">
        <v>5216621</v>
      </c>
      <c r="M533" s="22">
        <v>45010</v>
      </c>
      <c r="N533" s="8" t="s">
        <v>189</v>
      </c>
      <c r="O533" s="8"/>
      <c r="P533" s="7">
        <v>720000</v>
      </c>
      <c r="Q533" s="7">
        <v>803516.76</v>
      </c>
      <c r="R533" s="7">
        <v>87089900</v>
      </c>
      <c r="S533" s="7">
        <v>15</v>
      </c>
      <c r="T533" s="7" t="s">
        <v>258</v>
      </c>
      <c r="U533" s="7" t="s">
        <v>178</v>
      </c>
      <c r="V533" s="6">
        <f t="shared" si="103"/>
        <v>120527.514</v>
      </c>
      <c r="W533" s="6">
        <f t="shared" si="104"/>
        <v>12052.751400000001</v>
      </c>
      <c r="X533" s="6">
        <f t="shared" si="105"/>
        <v>132580.2654</v>
      </c>
      <c r="Y533" s="6">
        <f t="shared" si="106"/>
        <v>0.18413925750000001</v>
      </c>
      <c r="Z533" s="6">
        <f t="shared" si="107"/>
        <v>1.1159954999999999</v>
      </c>
      <c r="AA533" s="9">
        <f t="shared" si="108"/>
        <v>720000</v>
      </c>
      <c r="AB533" s="10">
        <v>10932</v>
      </c>
      <c r="AC533" s="11">
        <f t="shared" si="110"/>
        <v>2013.0103629900002</v>
      </c>
      <c r="AD533" s="12">
        <f t="shared" si="109"/>
        <v>707364</v>
      </c>
      <c r="AE533" s="13">
        <f t="shared" si="101"/>
        <v>12636</v>
      </c>
    </row>
    <row r="534" spans="1:31">
      <c r="A534" s="6">
        <v>18</v>
      </c>
      <c r="B534" s="6">
        <f t="shared" si="100"/>
        <v>3</v>
      </c>
      <c r="C534" s="6" t="str">
        <f t="shared" si="102"/>
        <v>652466500ALEATHER, HIDE TOP GRAIN, OBSIDIAN BLACK, NNB, BLA5703451450435478.49</v>
      </c>
      <c r="D534" s="6" t="s">
        <v>251</v>
      </c>
      <c r="E534" s="6" t="s">
        <v>163</v>
      </c>
      <c r="F534" s="6"/>
      <c r="G534" s="7" t="s">
        <v>141</v>
      </c>
      <c r="H534" s="7"/>
      <c r="I534" s="7"/>
      <c r="J534" s="7"/>
      <c r="K534" s="7"/>
      <c r="L534" s="7">
        <v>5703451</v>
      </c>
      <c r="M534" s="22">
        <v>45043</v>
      </c>
      <c r="N534" s="8" t="s">
        <v>184</v>
      </c>
      <c r="O534" s="8"/>
      <c r="P534" s="7">
        <v>5478.4900000000007</v>
      </c>
      <c r="Q534" s="7">
        <v>14099606.499999998</v>
      </c>
      <c r="R534" s="7">
        <v>41071200</v>
      </c>
      <c r="S534" s="7">
        <v>0</v>
      </c>
      <c r="T534" s="7" t="s">
        <v>261</v>
      </c>
      <c r="U534" s="7" t="s">
        <v>178</v>
      </c>
      <c r="V534" s="6">
        <f t="shared" si="103"/>
        <v>0</v>
      </c>
      <c r="W534" s="6">
        <f t="shared" si="104"/>
        <v>0</v>
      </c>
      <c r="X534" s="6">
        <f t="shared" si="105"/>
        <v>0</v>
      </c>
      <c r="Y534" s="6">
        <f t="shared" si="106"/>
        <v>0</v>
      </c>
      <c r="Z534" s="6">
        <f t="shared" si="107"/>
        <v>2573.6300513462643</v>
      </c>
      <c r="AA534" s="9">
        <f t="shared" si="108"/>
        <v>5478.4900000000007</v>
      </c>
      <c r="AB534" s="10">
        <v>373.18507299999993</v>
      </c>
      <c r="AC534" s="11">
        <f t="shared" si="110"/>
        <v>0</v>
      </c>
      <c r="AD534" s="12">
        <f t="shared" si="109"/>
        <v>5478.4900000000007</v>
      </c>
      <c r="AE534" s="13">
        <f t="shared" si="101"/>
        <v>0</v>
      </c>
    </row>
    <row r="535" spans="1:31">
      <c r="A535" s="6">
        <v>18</v>
      </c>
      <c r="B535" s="6">
        <f t="shared" si="100"/>
        <v>4</v>
      </c>
      <c r="C535" s="6" t="str">
        <f t="shared" si="102"/>
        <v>644345600ASCREW, SELF-TAPPING, PLA PLASTIC, 3.0, CROSS467246744973120000</v>
      </c>
      <c r="D535" s="6" t="s">
        <v>251</v>
      </c>
      <c r="E535" s="6" t="s">
        <v>166</v>
      </c>
      <c r="F535" s="6"/>
      <c r="G535" s="7" t="s">
        <v>144</v>
      </c>
      <c r="H535" s="7"/>
      <c r="I535" s="7"/>
      <c r="J535" s="7"/>
      <c r="K535" s="7"/>
      <c r="L535" s="7">
        <v>4672467</v>
      </c>
      <c r="M535" s="22">
        <v>44973</v>
      </c>
      <c r="N535" s="8" t="s">
        <v>182</v>
      </c>
      <c r="O535" s="8"/>
      <c r="P535" s="7">
        <v>120000</v>
      </c>
      <c r="Q535" s="7">
        <v>96772.74</v>
      </c>
      <c r="R535" s="7">
        <v>87089500</v>
      </c>
      <c r="S535" s="7">
        <v>15</v>
      </c>
      <c r="T535" s="7" t="s">
        <v>183</v>
      </c>
      <c r="U535" s="7" t="s">
        <v>178</v>
      </c>
      <c r="V535" s="6">
        <f t="shared" si="103"/>
        <v>14515.911</v>
      </c>
      <c r="W535" s="6">
        <f t="shared" si="104"/>
        <v>1451.5911000000001</v>
      </c>
      <c r="X535" s="6">
        <f t="shared" si="105"/>
        <v>15967.5021</v>
      </c>
      <c r="Y535" s="6">
        <f t="shared" si="106"/>
        <v>0.1330625175</v>
      </c>
      <c r="Z535" s="6">
        <f t="shared" si="107"/>
        <v>0.80643950000000009</v>
      </c>
      <c r="AA535" s="9">
        <f t="shared" si="108"/>
        <v>120000</v>
      </c>
      <c r="AB535" s="10">
        <v>5466</v>
      </c>
      <c r="AC535" s="11">
        <f t="shared" si="110"/>
        <v>727.31972065500008</v>
      </c>
      <c r="AD535" s="12">
        <f t="shared" si="109"/>
        <v>117964</v>
      </c>
      <c r="AE535" s="13">
        <f t="shared" si="101"/>
        <v>2036</v>
      </c>
    </row>
    <row r="536" spans="1:31">
      <c r="A536" s="6">
        <v>18</v>
      </c>
      <c r="B536" s="6">
        <f t="shared" si="100"/>
        <v>5</v>
      </c>
      <c r="C536" s="6" t="str">
        <f t="shared" si="102"/>
        <v>651409900ASCREW, STD METRIC M6 HEXALOBULAR INTERNAL, T470876924513530000</v>
      </c>
      <c r="D536" s="6" t="s">
        <v>251</v>
      </c>
      <c r="E536" s="6" t="s">
        <v>168</v>
      </c>
      <c r="F536" s="6"/>
      <c r="G536" s="7" t="s">
        <v>146</v>
      </c>
      <c r="H536" s="7"/>
      <c r="I536" s="7"/>
      <c r="J536" s="7"/>
      <c r="K536" s="7"/>
      <c r="L536" s="7">
        <v>7087692</v>
      </c>
      <c r="M536" s="22">
        <v>45135</v>
      </c>
      <c r="N536" s="8" t="s">
        <v>189</v>
      </c>
      <c r="O536" s="8"/>
      <c r="P536" s="7">
        <v>30000</v>
      </c>
      <c r="Q536" s="7">
        <v>98086.47</v>
      </c>
      <c r="R536" s="7">
        <v>87089500</v>
      </c>
      <c r="S536" s="7">
        <v>15</v>
      </c>
      <c r="T536" s="7" t="s">
        <v>183</v>
      </c>
      <c r="U536" s="7" t="s">
        <v>178</v>
      </c>
      <c r="V536" s="6">
        <f t="shared" si="103"/>
        <v>14712.970499999999</v>
      </c>
      <c r="W536" s="6">
        <f t="shared" si="104"/>
        <v>1471.2970500000001</v>
      </c>
      <c r="X536" s="6">
        <f t="shared" si="105"/>
        <v>16184.26755</v>
      </c>
      <c r="Y536" s="6">
        <f t="shared" si="106"/>
        <v>0.53947558500000004</v>
      </c>
      <c r="Z536" s="6">
        <f t="shared" si="107"/>
        <v>3.269549</v>
      </c>
      <c r="AA536" s="9">
        <f t="shared" si="108"/>
        <v>30000</v>
      </c>
      <c r="AB536" s="10">
        <v>5466</v>
      </c>
      <c r="AC536" s="11">
        <f t="shared" si="110"/>
        <v>2948.7735476100002</v>
      </c>
      <c r="AD536" s="12">
        <f t="shared" si="109"/>
        <v>30000</v>
      </c>
      <c r="AE536" s="13">
        <f t="shared" si="101"/>
        <v>0</v>
      </c>
    </row>
    <row r="537" spans="1:31">
      <c r="A537" s="6">
        <v>18</v>
      </c>
      <c r="B537" s="6">
        <f t="shared" si="100"/>
        <v>6</v>
      </c>
      <c r="C537" s="6" t="str">
        <f t="shared" si="102"/>
        <v>655818900BACTUATOR VIBRATION MOTOR ASSY WITH BRACKET BC3 CU9282299452789600</v>
      </c>
      <c r="D537" s="6" t="s">
        <v>251</v>
      </c>
      <c r="E537" s="6" t="s">
        <v>156</v>
      </c>
      <c r="F537" s="6"/>
      <c r="G537" s="7" t="s">
        <v>133</v>
      </c>
      <c r="H537" s="7"/>
      <c r="I537" s="7"/>
      <c r="J537" s="7"/>
      <c r="K537" s="7"/>
      <c r="L537" s="7">
        <v>9282299</v>
      </c>
      <c r="M537" s="22">
        <v>45278</v>
      </c>
      <c r="N537" s="8" t="e">
        <v>#N/A</v>
      </c>
      <c r="O537" s="8"/>
      <c r="P537" s="7">
        <v>9600</v>
      </c>
      <c r="Q537" s="7">
        <v>3210461.08</v>
      </c>
      <c r="R537" s="7" t="e">
        <v>#N/A</v>
      </c>
      <c r="S537" s="7">
        <v>15</v>
      </c>
      <c r="T537" s="7" t="e">
        <v>#N/A</v>
      </c>
      <c r="U537" s="7" t="e">
        <v>#N/A</v>
      </c>
      <c r="V537" s="6">
        <f t="shared" si="103"/>
        <v>481569.16200000001</v>
      </c>
      <c r="W537" s="6">
        <f t="shared" si="104"/>
        <v>48156.916200000007</v>
      </c>
      <c r="X537" s="6">
        <f t="shared" si="105"/>
        <v>529726.07819999999</v>
      </c>
      <c r="Y537" s="6">
        <f t="shared" si="106"/>
        <v>55.179799812500001</v>
      </c>
      <c r="Z537" s="6">
        <f t="shared" si="107"/>
        <v>334.42302916666665</v>
      </c>
      <c r="AA537" s="9">
        <f t="shared" si="108"/>
        <v>9600</v>
      </c>
      <c r="AB537" s="10">
        <v>2691</v>
      </c>
      <c r="AC537" s="11">
        <f t="shared" si="110"/>
        <v>148488.84129543751</v>
      </c>
      <c r="AD537" s="12">
        <f t="shared" si="109"/>
        <v>9600</v>
      </c>
      <c r="AE537" s="13">
        <f t="shared" si="101"/>
        <v>0</v>
      </c>
    </row>
    <row r="538" spans="1:31">
      <c r="A538" s="6">
        <v>18</v>
      </c>
      <c r="B538" s="6">
        <f t="shared" si="100"/>
        <v>7</v>
      </c>
      <c r="C538" s="6" t="str">
        <f t="shared" si="102"/>
        <v>651015300BELEMENT, HEATER, HYBRID 9152258452692240</v>
      </c>
      <c r="D538" s="6" t="s">
        <v>251</v>
      </c>
      <c r="E538" s="6" t="s">
        <v>155</v>
      </c>
      <c r="F538" s="6"/>
      <c r="G538" s="7" t="s">
        <v>137</v>
      </c>
      <c r="H538" s="7"/>
      <c r="I538" s="7"/>
      <c r="J538" s="7"/>
      <c r="K538" s="7"/>
      <c r="L538" s="7">
        <v>9152258</v>
      </c>
      <c r="M538" s="22">
        <v>45269</v>
      </c>
      <c r="N538" s="8" t="e">
        <v>#N/A</v>
      </c>
      <c r="O538" s="8"/>
      <c r="P538" s="7">
        <v>2240</v>
      </c>
      <c r="Q538" s="7">
        <v>1401744.82</v>
      </c>
      <c r="R538" s="7" t="e">
        <v>#N/A</v>
      </c>
      <c r="S538" s="7">
        <v>15</v>
      </c>
      <c r="T538" s="7" t="e">
        <v>#N/A</v>
      </c>
      <c r="U538" s="7" t="e">
        <v>#N/A</v>
      </c>
      <c r="V538" s="6">
        <f t="shared" si="103"/>
        <v>210261.723</v>
      </c>
      <c r="W538" s="6">
        <f t="shared" si="104"/>
        <v>21026.172300000002</v>
      </c>
      <c r="X538" s="6">
        <f t="shared" si="105"/>
        <v>231287.8953</v>
      </c>
      <c r="Y538" s="6">
        <f t="shared" si="106"/>
        <v>103.2535246875</v>
      </c>
      <c r="Z538" s="6">
        <f t="shared" si="107"/>
        <v>625.77893749999998</v>
      </c>
      <c r="AA538" s="9">
        <f t="shared" si="108"/>
        <v>2240</v>
      </c>
      <c r="AB538" s="10">
        <v>654</v>
      </c>
      <c r="AC538" s="11">
        <f t="shared" si="110"/>
        <v>67527.805145624996</v>
      </c>
      <c r="AD538" s="12">
        <f t="shared" si="109"/>
        <v>1526</v>
      </c>
      <c r="AE538" s="13">
        <f t="shared" si="101"/>
        <v>714</v>
      </c>
    </row>
    <row r="539" spans="1:31">
      <c r="A539" s="6">
        <v>18</v>
      </c>
      <c r="B539" s="6">
        <f t="shared" si="100"/>
        <v>8</v>
      </c>
      <c r="C539" s="6" t="str">
        <f t="shared" si="102"/>
        <v>639590100BSCREW SELF TAPPING INTERNAL T15, 15.01076345369120000</v>
      </c>
      <c r="D539" s="6" t="s">
        <v>251</v>
      </c>
      <c r="E539" s="6" t="s">
        <v>165</v>
      </c>
      <c r="F539" s="6"/>
      <c r="G539" s="7" t="s">
        <v>143</v>
      </c>
      <c r="H539" s="7"/>
      <c r="I539" s="7"/>
      <c r="J539" s="7"/>
      <c r="K539" s="7"/>
      <c r="L539" s="7">
        <v>10763</v>
      </c>
      <c r="M539" s="22">
        <v>45369</v>
      </c>
      <c r="N539" s="8" t="s">
        <v>180</v>
      </c>
      <c r="O539" s="8"/>
      <c r="P539" s="7">
        <v>120000</v>
      </c>
      <c r="Q539" s="7">
        <v>161852.57999999999</v>
      </c>
      <c r="R539" s="7">
        <v>87089900</v>
      </c>
      <c r="S539" s="7">
        <v>15</v>
      </c>
      <c r="T539" s="7" t="s">
        <v>291</v>
      </c>
      <c r="U539" s="7" t="s">
        <v>178</v>
      </c>
      <c r="V539" s="6">
        <f t="shared" si="103"/>
        <v>24277.886999999999</v>
      </c>
      <c r="W539" s="6">
        <f t="shared" si="104"/>
        <v>2427.7887000000001</v>
      </c>
      <c r="X539" s="6">
        <f t="shared" si="105"/>
        <v>26705.6757</v>
      </c>
      <c r="Y539" s="6">
        <f t="shared" si="106"/>
        <v>0.22254729749999999</v>
      </c>
      <c r="Z539" s="6">
        <f t="shared" si="107"/>
        <v>1.3487714999999998</v>
      </c>
      <c r="AA539" s="9">
        <f t="shared" si="108"/>
        <v>120000</v>
      </c>
      <c r="AB539" s="10">
        <v>17432</v>
      </c>
      <c r="AC539" s="11">
        <f t="shared" si="110"/>
        <v>3879.4444900199996</v>
      </c>
      <c r="AD539" s="12">
        <f t="shared" si="109"/>
        <v>120000</v>
      </c>
      <c r="AE539" s="13">
        <f t="shared" si="101"/>
        <v>0</v>
      </c>
    </row>
    <row r="540" spans="1:31">
      <c r="A540" s="6">
        <v>18</v>
      </c>
      <c r="B540" s="6">
        <f t="shared" si="100"/>
        <v>9</v>
      </c>
      <c r="C540" s="6" t="str">
        <f t="shared" si="102"/>
        <v>628408700ASCREW, STANDARD, METRIC, M5, HEXALOBULAR INTERNAL83740634521845000</v>
      </c>
      <c r="D540" s="6" t="s">
        <v>251</v>
      </c>
      <c r="E540" s="6" t="s">
        <v>167</v>
      </c>
      <c r="F540" s="6"/>
      <c r="G540" s="7" t="s">
        <v>145</v>
      </c>
      <c r="H540" s="7"/>
      <c r="I540" s="7"/>
      <c r="J540" s="7"/>
      <c r="K540" s="7"/>
      <c r="L540" s="7">
        <v>8374063</v>
      </c>
      <c r="M540" s="22">
        <v>45218</v>
      </c>
      <c r="N540" s="8" t="e">
        <v>#N/A</v>
      </c>
      <c r="O540" s="8"/>
      <c r="P540" s="7">
        <v>45000</v>
      </c>
      <c r="Q540" s="7">
        <v>230008.94</v>
      </c>
      <c r="R540" s="7" t="e">
        <v>#N/A</v>
      </c>
      <c r="S540" s="7">
        <v>15</v>
      </c>
      <c r="T540" s="7" t="e">
        <v>#N/A</v>
      </c>
      <c r="U540" s="7" t="e">
        <v>#N/A</v>
      </c>
      <c r="V540" s="6">
        <f t="shared" si="103"/>
        <v>34501.341</v>
      </c>
      <c r="W540" s="6">
        <f t="shared" si="104"/>
        <v>3450.1341000000002</v>
      </c>
      <c r="X540" s="6">
        <f t="shared" si="105"/>
        <v>37951.475100000003</v>
      </c>
      <c r="Y540" s="6">
        <f t="shared" si="106"/>
        <v>0.84336611333333344</v>
      </c>
      <c r="Z540" s="6">
        <f t="shared" si="107"/>
        <v>5.1113097777777776</v>
      </c>
      <c r="AA540" s="9">
        <f t="shared" si="108"/>
        <v>45000</v>
      </c>
      <c r="AB540" s="10">
        <v>6737</v>
      </c>
      <c r="AC540" s="11">
        <f t="shared" si="110"/>
        <v>5681.757505526667</v>
      </c>
      <c r="AD540" s="12">
        <f t="shared" si="109"/>
        <v>45000</v>
      </c>
      <c r="AE540" s="13">
        <f t="shared" si="101"/>
        <v>0</v>
      </c>
    </row>
    <row r="541" spans="1:31">
      <c r="A541" s="6">
        <v>18</v>
      </c>
      <c r="B541" s="6">
        <f t="shared" si="100"/>
        <v>10</v>
      </c>
      <c r="C541" s="6" t="str">
        <f t="shared" si="102"/>
        <v>608225700ASCREW,STD METRIIC HEXALOBULAR  M5 T25 12MM82282814502760000</v>
      </c>
      <c r="D541" s="6" t="s">
        <v>251</v>
      </c>
      <c r="E541" s="6" t="s">
        <v>169</v>
      </c>
      <c r="F541" s="6"/>
      <c r="G541" s="7" t="s">
        <v>147</v>
      </c>
      <c r="H541" s="7"/>
      <c r="I541" s="7"/>
      <c r="J541" s="7"/>
      <c r="K541" s="7"/>
      <c r="L541" s="7">
        <v>8228281</v>
      </c>
      <c r="M541" s="22">
        <v>45027</v>
      </c>
      <c r="N541" s="8" t="s">
        <v>180</v>
      </c>
      <c r="O541" s="8"/>
      <c r="P541" s="7">
        <v>60000</v>
      </c>
      <c r="Q541" s="7">
        <v>232591.54</v>
      </c>
      <c r="R541" s="7">
        <v>87082900</v>
      </c>
      <c r="S541" s="7">
        <v>15</v>
      </c>
      <c r="T541" s="7" t="s">
        <v>275</v>
      </c>
      <c r="U541" s="7" t="s">
        <v>178</v>
      </c>
      <c r="V541" s="6">
        <f t="shared" si="103"/>
        <v>34888.731</v>
      </c>
      <c r="W541" s="6">
        <f t="shared" si="104"/>
        <v>3488.8731000000002</v>
      </c>
      <c r="X541" s="6">
        <f t="shared" si="105"/>
        <v>38377.604099999997</v>
      </c>
      <c r="Y541" s="6">
        <f t="shared" si="106"/>
        <v>0.639626735</v>
      </c>
      <c r="Z541" s="6">
        <f t="shared" si="107"/>
        <v>3.8765256666666668</v>
      </c>
      <c r="AA541" s="9">
        <f t="shared" si="108"/>
        <v>60000</v>
      </c>
      <c r="AB541" s="10">
        <v>4362</v>
      </c>
      <c r="AC541" s="11">
        <f t="shared" si="110"/>
        <v>2790.0518180700001</v>
      </c>
      <c r="AD541" s="12">
        <f t="shared" si="109"/>
        <v>59622</v>
      </c>
      <c r="AE541" s="13">
        <f t="shared" si="101"/>
        <v>378</v>
      </c>
    </row>
    <row r="542" spans="1:31">
      <c r="A542" s="6">
        <v>18</v>
      </c>
      <c r="B542" s="6">
        <f t="shared" si="100"/>
        <v>11</v>
      </c>
      <c r="C542" s="6" t="str">
        <f t="shared" si="102"/>
        <v>651166400CSPRING, COIL, UPPER 92851204527850000</v>
      </c>
      <c r="D542" s="6" t="s">
        <v>251</v>
      </c>
      <c r="E542" s="6" t="s">
        <v>170</v>
      </c>
      <c r="F542" s="6"/>
      <c r="G542" s="7" t="s">
        <v>148</v>
      </c>
      <c r="H542" s="7"/>
      <c r="I542" s="7"/>
      <c r="J542" s="7"/>
      <c r="K542" s="7"/>
      <c r="L542" s="7">
        <v>9285120</v>
      </c>
      <c r="M542" s="22">
        <v>45278</v>
      </c>
      <c r="N542" s="8" t="e">
        <v>#N/A</v>
      </c>
      <c r="O542" s="8"/>
      <c r="P542" s="7">
        <v>50000</v>
      </c>
      <c r="Q542" s="7">
        <v>92063.88</v>
      </c>
      <c r="R542" s="7" t="e">
        <v>#N/A</v>
      </c>
      <c r="S542" s="7">
        <v>15</v>
      </c>
      <c r="T542" s="7" t="e">
        <v>#N/A</v>
      </c>
      <c r="U542" s="7" t="e">
        <v>#N/A</v>
      </c>
      <c r="V542" s="6">
        <f t="shared" si="103"/>
        <v>13809.582</v>
      </c>
      <c r="W542" s="6">
        <f t="shared" si="104"/>
        <v>1380.9582</v>
      </c>
      <c r="X542" s="6">
        <f t="shared" si="105"/>
        <v>15190.540199999999</v>
      </c>
      <c r="Y542" s="6">
        <f t="shared" si="106"/>
        <v>0.30381080399999999</v>
      </c>
      <c r="Z542" s="6">
        <f t="shared" si="107"/>
        <v>1.8412776000000002</v>
      </c>
      <c r="AA542" s="9">
        <f t="shared" si="108"/>
        <v>50000</v>
      </c>
      <c r="AB542" s="10">
        <v>55</v>
      </c>
      <c r="AC542" s="11">
        <f t="shared" si="110"/>
        <v>16.70959422</v>
      </c>
      <c r="AD542" s="12">
        <f t="shared" si="109"/>
        <v>50000</v>
      </c>
      <c r="AE542" s="13">
        <f t="shared" si="101"/>
        <v>0</v>
      </c>
    </row>
    <row r="543" spans="1:31">
      <c r="A543" s="6">
        <v>18</v>
      </c>
      <c r="B543" s="6">
        <f t="shared" si="100"/>
        <v>12</v>
      </c>
      <c r="C543" s="6" t="str">
        <f t="shared" si="102"/>
        <v>651015100AARMATURE, MONOBLOCK, ASW4, HYUNDAI BC33353058448834860</v>
      </c>
      <c r="D543" s="6" t="s">
        <v>251</v>
      </c>
      <c r="E543" s="6" t="s">
        <v>158</v>
      </c>
      <c r="F543" s="6"/>
      <c r="G543" s="7" t="s">
        <v>135</v>
      </c>
      <c r="H543" s="7"/>
      <c r="I543" s="7"/>
      <c r="J543" s="7"/>
      <c r="K543" s="7"/>
      <c r="L543" s="7">
        <v>3353058</v>
      </c>
      <c r="M543" s="22">
        <v>44883</v>
      </c>
      <c r="N543" s="8" t="s">
        <v>184</v>
      </c>
      <c r="O543" s="8"/>
      <c r="P543" s="7">
        <v>4860</v>
      </c>
      <c r="Q543" s="7">
        <v>2360668.77</v>
      </c>
      <c r="R543" s="7">
        <v>87089400</v>
      </c>
      <c r="S543" s="7">
        <v>15</v>
      </c>
      <c r="T543" s="7" t="s">
        <v>186</v>
      </c>
      <c r="U543" s="7" t="s">
        <v>178</v>
      </c>
      <c r="V543" s="6">
        <f t="shared" si="103"/>
        <v>354100.31549999997</v>
      </c>
      <c r="W543" s="6">
        <f t="shared" si="104"/>
        <v>35410.03155</v>
      </c>
      <c r="X543" s="6">
        <f t="shared" si="105"/>
        <v>389510.34704999998</v>
      </c>
      <c r="Y543" s="6">
        <f t="shared" si="106"/>
        <v>80.146161944444444</v>
      </c>
      <c r="Z543" s="6">
        <f t="shared" si="107"/>
        <v>485.73431481481481</v>
      </c>
      <c r="AA543" s="9">
        <f t="shared" si="108"/>
        <v>4860</v>
      </c>
      <c r="AB543" s="10">
        <v>42</v>
      </c>
      <c r="AC543" s="11">
        <f t="shared" si="110"/>
        <v>3366.1388016666665</v>
      </c>
      <c r="AD543" s="12">
        <f t="shared" si="109"/>
        <v>4814</v>
      </c>
      <c r="AE543" s="13">
        <f t="shared" si="101"/>
        <v>46</v>
      </c>
    </row>
    <row r="544" spans="1:31">
      <c r="A544" s="6">
        <v>18</v>
      </c>
      <c r="B544" s="6">
        <f t="shared" si="100"/>
        <v>13</v>
      </c>
      <c r="C544" s="6" t="str">
        <f t="shared" si="102"/>
        <v>656011400ALEATHER, HIDE TOP GRAIN, GREY, FOSSIL GREY, T9Y,7374452451543703.92</v>
      </c>
      <c r="D544" s="6" t="s">
        <v>251</v>
      </c>
      <c r="E544" s="6" t="s">
        <v>162</v>
      </c>
      <c r="F544" s="6"/>
      <c r="G544" s="7" t="s">
        <v>140</v>
      </c>
      <c r="H544" s="7"/>
      <c r="I544" s="7"/>
      <c r="J544" s="7"/>
      <c r="K544" s="7"/>
      <c r="L544" s="7">
        <v>7374452</v>
      </c>
      <c r="M544" s="22">
        <v>45154</v>
      </c>
      <c r="N544" s="8" t="s">
        <v>190</v>
      </c>
      <c r="O544" s="8" t="s">
        <v>383</v>
      </c>
      <c r="P544" s="7">
        <v>3703.9199999999996</v>
      </c>
      <c r="Q544" s="7">
        <v>8436783.4900000002</v>
      </c>
      <c r="R544" s="7">
        <v>41071200</v>
      </c>
      <c r="S544" s="7">
        <v>0</v>
      </c>
      <c r="T544" s="7" t="s">
        <v>293</v>
      </c>
      <c r="U544" s="7" t="s">
        <v>178</v>
      </c>
      <c r="V544" s="6">
        <f t="shared" si="103"/>
        <v>0</v>
      </c>
      <c r="W544" s="6">
        <f t="shared" si="104"/>
        <v>0</v>
      </c>
      <c r="X544" s="6">
        <f t="shared" si="105"/>
        <v>0</v>
      </c>
      <c r="Y544" s="6">
        <f t="shared" si="106"/>
        <v>0</v>
      </c>
      <c r="Z544" s="6">
        <f t="shared" si="107"/>
        <v>2277.7985188664984</v>
      </c>
      <c r="AA544" s="9">
        <f t="shared" si="108"/>
        <v>3703.9199999999996</v>
      </c>
      <c r="AB544" s="10">
        <v>7.8101699999999994</v>
      </c>
      <c r="AC544" s="11">
        <f t="shared" si="110"/>
        <v>0</v>
      </c>
      <c r="AD544" s="12">
        <f t="shared" si="109"/>
        <v>634.38362100000006</v>
      </c>
      <c r="AE544" s="13">
        <f t="shared" si="101"/>
        <v>3069.5363789999997</v>
      </c>
    </row>
    <row r="545" spans="1:31">
      <c r="A545" s="6">
        <v>18</v>
      </c>
      <c r="B545" s="6">
        <f t="shared" si="100"/>
        <v>14</v>
      </c>
      <c r="C545" s="6" t="str">
        <f t="shared" si="102"/>
        <v>655931500AARMATURE, MONOBLOCK ASW4, HYUNDAI BC3-CUV9671239453066480</v>
      </c>
      <c r="D545" s="6" t="s">
        <v>251</v>
      </c>
      <c r="E545" s="6" t="s">
        <v>157</v>
      </c>
      <c r="F545" s="6"/>
      <c r="G545" s="7" t="s">
        <v>134</v>
      </c>
      <c r="H545" s="7"/>
      <c r="I545" s="7"/>
      <c r="J545" s="7"/>
      <c r="K545" s="7"/>
      <c r="L545" s="7">
        <v>9671239</v>
      </c>
      <c r="M545" s="22">
        <v>45306</v>
      </c>
      <c r="N545" s="8" t="e">
        <v>#N/A</v>
      </c>
      <c r="O545" s="8"/>
      <c r="P545" s="7">
        <v>6480</v>
      </c>
      <c r="Q545" s="7">
        <v>2696157.95</v>
      </c>
      <c r="R545" s="7" t="e">
        <v>#N/A</v>
      </c>
      <c r="S545" s="7">
        <v>15</v>
      </c>
      <c r="T545" s="7" t="e">
        <v>#N/A</v>
      </c>
      <c r="U545" s="7" t="e">
        <v>#N/A</v>
      </c>
      <c r="V545" s="6">
        <f t="shared" si="103"/>
        <v>404423.6925</v>
      </c>
      <c r="W545" s="6">
        <f t="shared" si="104"/>
        <v>40442.369250000003</v>
      </c>
      <c r="X545" s="6">
        <f t="shared" si="105"/>
        <v>444866.06174999999</v>
      </c>
      <c r="Y545" s="6">
        <f t="shared" si="106"/>
        <v>68.652170023148145</v>
      </c>
      <c r="Z545" s="6">
        <f t="shared" si="107"/>
        <v>416.07375771604939</v>
      </c>
      <c r="AA545" s="9">
        <f t="shared" si="108"/>
        <v>6480</v>
      </c>
      <c r="AB545" s="10">
        <v>639</v>
      </c>
      <c r="AC545" s="11">
        <f t="shared" si="110"/>
        <v>43868.736644791665</v>
      </c>
      <c r="AD545" s="12">
        <f t="shared" si="109"/>
        <v>6480</v>
      </c>
      <c r="AE545" s="13">
        <f t="shared" si="101"/>
        <v>0</v>
      </c>
    </row>
    <row r="546" spans="1:31">
      <c r="A546" s="6">
        <v>18</v>
      </c>
      <c r="B546" s="6">
        <f t="shared" si="100"/>
        <v>15</v>
      </c>
      <c r="C546" s="6" t="str">
        <f t="shared" si="102"/>
        <v>655931500AARMATURE, MONOBLOCK ASW4, HYUNDAI BC3-CUV9929301447826480</v>
      </c>
      <c r="D546" s="6" t="s">
        <v>251</v>
      </c>
      <c r="E546" s="6" t="s">
        <v>157</v>
      </c>
      <c r="F546" s="6"/>
      <c r="G546" s="7" t="s">
        <v>134</v>
      </c>
      <c r="H546" s="7"/>
      <c r="I546" s="7"/>
      <c r="J546" s="7"/>
      <c r="K546" s="7"/>
      <c r="L546" s="7">
        <v>9929301</v>
      </c>
      <c r="M546" s="22">
        <v>44782</v>
      </c>
      <c r="N546" s="8" t="s">
        <v>184</v>
      </c>
      <c r="O546" s="8"/>
      <c r="P546" s="7">
        <v>6480</v>
      </c>
      <c r="Q546" s="7">
        <v>3966122.34</v>
      </c>
      <c r="R546" s="7">
        <v>87089400</v>
      </c>
      <c r="S546" s="7">
        <v>15</v>
      </c>
      <c r="T546" s="7" t="s">
        <v>278</v>
      </c>
      <c r="U546" s="7" t="s">
        <v>178</v>
      </c>
      <c r="V546" s="6">
        <f t="shared" si="103"/>
        <v>594918.35099999991</v>
      </c>
      <c r="W546" s="6">
        <f t="shared" si="104"/>
        <v>59491.835099999997</v>
      </c>
      <c r="X546" s="6">
        <f t="shared" si="105"/>
        <v>654410.18609999993</v>
      </c>
      <c r="Y546" s="6">
        <f t="shared" si="106"/>
        <v>100.98922624999999</v>
      </c>
      <c r="Z546" s="6">
        <f t="shared" si="107"/>
        <v>612.05591666666669</v>
      </c>
      <c r="AA546" s="9">
        <f t="shared" si="108"/>
        <v>6480</v>
      </c>
      <c r="AB546" s="10">
        <v>2052</v>
      </c>
      <c r="AC546" s="11">
        <f t="shared" si="110"/>
        <v>207229.89226499997</v>
      </c>
      <c r="AD546" s="12">
        <f t="shared" si="109"/>
        <v>5967</v>
      </c>
      <c r="AE546" s="13">
        <f t="shared" si="101"/>
        <v>513</v>
      </c>
    </row>
    <row r="547" spans="1:31">
      <c r="A547" s="6">
        <v>18</v>
      </c>
      <c r="B547" s="6">
        <f t="shared" si="100"/>
        <v>16</v>
      </c>
      <c r="C547" s="6" t="str">
        <f t="shared" si="102"/>
        <v>628408700ASCREW, STANDARD, METRIC, M5, HEXALOBULAR INTERNAL95252474529545000</v>
      </c>
      <c r="D547" s="6" t="s">
        <v>251</v>
      </c>
      <c r="E547" s="6" t="s">
        <v>167</v>
      </c>
      <c r="F547" s="6"/>
      <c r="G547" s="7" t="s">
        <v>145</v>
      </c>
      <c r="H547" s="7"/>
      <c r="I547" s="7"/>
      <c r="J547" s="7"/>
      <c r="K547" s="7"/>
      <c r="L547" s="7">
        <v>9525247</v>
      </c>
      <c r="M547" s="22">
        <v>45295</v>
      </c>
      <c r="N547" s="8" t="e">
        <v>#N/A</v>
      </c>
      <c r="O547" s="8"/>
      <c r="P547" s="7">
        <v>45000</v>
      </c>
      <c r="Q547" s="7">
        <v>229052.28</v>
      </c>
      <c r="R547" s="7" t="e">
        <v>#N/A</v>
      </c>
      <c r="S547" s="7">
        <v>15</v>
      </c>
      <c r="T547" s="7" t="e">
        <v>#N/A</v>
      </c>
      <c r="U547" s="7" t="e">
        <v>#N/A</v>
      </c>
      <c r="V547" s="6">
        <f t="shared" si="103"/>
        <v>34357.841999999997</v>
      </c>
      <c r="W547" s="6">
        <f t="shared" si="104"/>
        <v>3435.7842000000001</v>
      </c>
      <c r="X547" s="6">
        <f t="shared" si="105"/>
        <v>37793.626199999999</v>
      </c>
      <c r="Y547" s="6">
        <f t="shared" si="106"/>
        <v>0.83985836000000003</v>
      </c>
      <c r="Z547" s="6">
        <f t="shared" si="107"/>
        <v>5.0900506666666665</v>
      </c>
      <c r="AA547" s="9">
        <f t="shared" si="108"/>
        <v>45000</v>
      </c>
      <c r="AB547" s="10">
        <v>1462</v>
      </c>
      <c r="AC547" s="11">
        <f t="shared" si="110"/>
        <v>1227.87292232</v>
      </c>
      <c r="AD547" s="12">
        <f t="shared" si="109"/>
        <v>45000</v>
      </c>
      <c r="AE547" s="13">
        <f t="shared" si="101"/>
        <v>0</v>
      </c>
    </row>
    <row r="548" spans="1:31">
      <c r="A548" s="6">
        <v>18</v>
      </c>
      <c r="B548" s="6">
        <f t="shared" si="100"/>
        <v>17</v>
      </c>
      <c r="C548" s="6" t="str">
        <f t="shared" si="102"/>
        <v>651166400CSPRING, COIL, UPPER 33079494488035000</v>
      </c>
      <c r="D548" s="6" t="s">
        <v>251</v>
      </c>
      <c r="E548" s="6" t="s">
        <v>170</v>
      </c>
      <c r="F548" s="6"/>
      <c r="G548" s="7" t="s">
        <v>148</v>
      </c>
      <c r="H548" s="7"/>
      <c r="I548" s="7"/>
      <c r="J548" s="7"/>
      <c r="K548" s="7"/>
      <c r="L548" s="7">
        <v>3307949</v>
      </c>
      <c r="M548" s="22">
        <v>44880</v>
      </c>
      <c r="N548" s="8" t="s">
        <v>180</v>
      </c>
      <c r="O548" s="8"/>
      <c r="P548" s="7">
        <v>35000</v>
      </c>
      <c r="Q548" s="7">
        <v>89712.01</v>
      </c>
      <c r="R548" s="7">
        <v>87089400</v>
      </c>
      <c r="S548" s="7">
        <v>15</v>
      </c>
      <c r="T548" s="7" t="s">
        <v>296</v>
      </c>
      <c r="U548" s="7" t="s">
        <v>178</v>
      </c>
      <c r="V548" s="6">
        <f t="shared" si="103"/>
        <v>13456.8015</v>
      </c>
      <c r="W548" s="6">
        <f t="shared" si="104"/>
        <v>1345.6801500000001</v>
      </c>
      <c r="X548" s="6">
        <f t="shared" si="105"/>
        <v>14802.48165</v>
      </c>
      <c r="Y548" s="6">
        <f t="shared" si="106"/>
        <v>0.42292804714285714</v>
      </c>
      <c r="Z548" s="6">
        <f t="shared" si="107"/>
        <v>2.5632002857142857</v>
      </c>
      <c r="AA548" s="9">
        <f t="shared" si="108"/>
        <v>35000</v>
      </c>
      <c r="AB548" s="10">
        <v>8144</v>
      </c>
      <c r="AC548" s="11">
        <f t="shared" si="110"/>
        <v>3444.3260159314286</v>
      </c>
      <c r="AD548" s="12">
        <f t="shared" si="109"/>
        <v>35000</v>
      </c>
      <c r="AE548" s="13">
        <f t="shared" si="101"/>
        <v>0</v>
      </c>
    </row>
    <row r="549" spans="1:31">
      <c r="A549" s="6">
        <v>19</v>
      </c>
      <c r="B549" s="6">
        <v>1</v>
      </c>
      <c r="C549" s="6" t="str">
        <f t="shared" si="102"/>
        <v>651166400CSPRING, COIL, UPPER 85825414468830000</v>
      </c>
      <c r="D549" s="6" t="s">
        <v>252</v>
      </c>
      <c r="E549" s="6" t="s">
        <v>170</v>
      </c>
      <c r="F549" s="6"/>
      <c r="G549" s="7" t="s">
        <v>148</v>
      </c>
      <c r="H549" s="7"/>
      <c r="I549" s="7"/>
      <c r="J549" s="7"/>
      <c r="K549" s="7"/>
      <c r="L549" s="7">
        <v>8582541</v>
      </c>
      <c r="M549" s="22">
        <v>44688</v>
      </c>
      <c r="N549" s="8" t="s">
        <v>180</v>
      </c>
      <c r="O549" s="8"/>
      <c r="P549" s="7">
        <v>30000</v>
      </c>
      <c r="Q549" s="7">
        <v>29220.77</v>
      </c>
      <c r="R549" s="7">
        <v>87089500</v>
      </c>
      <c r="S549" s="7">
        <v>15</v>
      </c>
      <c r="T549" s="7" t="s">
        <v>297</v>
      </c>
      <c r="U549" s="7" t="s">
        <v>178</v>
      </c>
      <c r="V549" s="6">
        <f t="shared" si="103"/>
        <v>4383.1154999999999</v>
      </c>
      <c r="W549" s="6">
        <f t="shared" si="104"/>
        <v>438.31155000000001</v>
      </c>
      <c r="X549" s="6">
        <f t="shared" si="105"/>
        <v>4821.4270500000002</v>
      </c>
      <c r="Y549" s="6">
        <f t="shared" si="106"/>
        <v>0.16071423500000001</v>
      </c>
      <c r="Z549" s="6">
        <f t="shared" si="107"/>
        <v>0.97402566666666668</v>
      </c>
      <c r="AA549" s="9">
        <f t="shared" si="108"/>
        <v>30000</v>
      </c>
      <c r="AB549" s="10">
        <v>30000</v>
      </c>
      <c r="AC549" s="11">
        <f t="shared" si="110"/>
        <v>4821.4270500000002</v>
      </c>
      <c r="AD549" s="12">
        <f t="shared" si="109"/>
        <v>30000</v>
      </c>
      <c r="AE549" s="13">
        <f t="shared" si="101"/>
        <v>0</v>
      </c>
    </row>
    <row r="550" spans="1:31">
      <c r="A550" s="6">
        <v>19</v>
      </c>
      <c r="B550" s="6">
        <f t="shared" si="100"/>
        <v>2</v>
      </c>
      <c r="C550" s="6" t="str">
        <f t="shared" si="102"/>
        <v>651166400CSPRING, COIL, UPPER 78703654518520000</v>
      </c>
      <c r="D550" s="6" t="s">
        <v>252</v>
      </c>
      <c r="E550" s="6" t="s">
        <v>170</v>
      </c>
      <c r="F550" s="6"/>
      <c r="G550" s="7" t="s">
        <v>148</v>
      </c>
      <c r="H550" s="7"/>
      <c r="I550" s="7"/>
      <c r="J550" s="7"/>
      <c r="K550" s="7"/>
      <c r="L550" s="7">
        <v>7870365</v>
      </c>
      <c r="M550" s="22">
        <v>45185</v>
      </c>
      <c r="N550" s="8" t="e">
        <v>#N/A</v>
      </c>
      <c r="O550" s="8"/>
      <c r="P550" s="7">
        <v>20000</v>
      </c>
      <c r="Q550" s="7">
        <v>35926.910000000003</v>
      </c>
      <c r="R550" s="7" t="e">
        <v>#N/A</v>
      </c>
      <c r="S550" s="7">
        <v>15</v>
      </c>
      <c r="T550" s="7" t="e">
        <v>#N/A</v>
      </c>
      <c r="U550" s="7" t="e">
        <v>#N/A</v>
      </c>
      <c r="V550" s="6">
        <f t="shared" si="103"/>
        <v>5389.0365000000002</v>
      </c>
      <c r="W550" s="6">
        <f t="shared" si="104"/>
        <v>538.90365000000008</v>
      </c>
      <c r="X550" s="6">
        <f t="shared" si="105"/>
        <v>5927.9401500000004</v>
      </c>
      <c r="Y550" s="6">
        <f t="shared" si="106"/>
        <v>0.29639700750000003</v>
      </c>
      <c r="Z550" s="6">
        <f t="shared" si="107"/>
        <v>1.7963455000000002</v>
      </c>
      <c r="AA550" s="9">
        <f t="shared" si="108"/>
        <v>20000</v>
      </c>
      <c r="AB550" s="10">
        <v>9600</v>
      </c>
      <c r="AC550" s="11">
        <f t="shared" si="110"/>
        <v>2845.4112720000003</v>
      </c>
      <c r="AD550" s="12">
        <f t="shared" si="109"/>
        <v>20000</v>
      </c>
      <c r="AE550" s="13">
        <f t="shared" si="101"/>
        <v>0</v>
      </c>
    </row>
    <row r="551" spans="1:31">
      <c r="A551" s="6">
        <v>19</v>
      </c>
      <c r="B551" s="6">
        <f t="shared" si="100"/>
        <v>3</v>
      </c>
      <c r="C551" s="6" t="str">
        <f t="shared" si="102"/>
        <v>608225700ASCREW,STD METRIIC HEXALOBULAR  M5 T25 12MM35476634543035000</v>
      </c>
      <c r="D551" s="6" t="s">
        <v>252</v>
      </c>
      <c r="E551" s="6" t="s">
        <v>169</v>
      </c>
      <c r="F551" s="6"/>
      <c r="G551" s="7" t="s">
        <v>147</v>
      </c>
      <c r="H551" s="7"/>
      <c r="I551" s="7"/>
      <c r="J551" s="7"/>
      <c r="K551" s="7"/>
      <c r="L551" s="7">
        <v>3547663</v>
      </c>
      <c r="M551" s="22">
        <v>45430</v>
      </c>
      <c r="N551" s="8" t="e">
        <v>#N/A</v>
      </c>
      <c r="O551" s="8"/>
      <c r="P551" s="7">
        <v>35000</v>
      </c>
      <c r="Q551" s="7">
        <v>109744.19</v>
      </c>
      <c r="R551" s="7" t="e">
        <v>#N/A</v>
      </c>
      <c r="S551" s="7">
        <v>15</v>
      </c>
      <c r="T551" s="7" t="e">
        <v>#N/A</v>
      </c>
      <c r="U551" s="7" t="e">
        <v>#N/A</v>
      </c>
      <c r="V551" s="6">
        <f t="shared" si="103"/>
        <v>16461.628499999999</v>
      </c>
      <c r="W551" s="6">
        <f t="shared" si="104"/>
        <v>1646.1628499999999</v>
      </c>
      <c r="X551" s="6">
        <f t="shared" si="105"/>
        <v>18107.79135</v>
      </c>
      <c r="Y551" s="6">
        <f t="shared" si="106"/>
        <v>0.51736546714285714</v>
      </c>
      <c r="Z551" s="6">
        <f t="shared" si="107"/>
        <v>3.1355482857142856</v>
      </c>
      <c r="AA551" s="9">
        <f t="shared" si="108"/>
        <v>35000</v>
      </c>
      <c r="AB551" s="10">
        <v>5600</v>
      </c>
      <c r="AC551" s="11">
        <f t="shared" si="110"/>
        <v>2897.2466159999999</v>
      </c>
      <c r="AD551" s="12">
        <f t="shared" si="109"/>
        <v>35000</v>
      </c>
      <c r="AE551" s="13">
        <f t="shared" si="101"/>
        <v>0</v>
      </c>
    </row>
    <row r="552" spans="1:31">
      <c r="A552" s="6">
        <v>19</v>
      </c>
      <c r="B552" s="6">
        <f t="shared" si="100"/>
        <v>4</v>
      </c>
      <c r="C552" s="6" t="str">
        <f t="shared" si="102"/>
        <v>651409900ASCREW, STD METRIC M6 HEXALOBULAR INTERNAL, T496092044530130000</v>
      </c>
      <c r="D552" s="6" t="s">
        <v>252</v>
      </c>
      <c r="E552" s="6" t="s">
        <v>168</v>
      </c>
      <c r="F552" s="6"/>
      <c r="G552" s="7" t="s">
        <v>146</v>
      </c>
      <c r="H552" s="7"/>
      <c r="I552" s="7"/>
      <c r="J552" s="7"/>
      <c r="K552" s="7"/>
      <c r="L552" s="7">
        <v>9609204</v>
      </c>
      <c r="M552" s="22">
        <v>45301</v>
      </c>
      <c r="N552" s="8" t="e">
        <v>#N/A</v>
      </c>
      <c r="O552" s="8"/>
      <c r="P552" s="7">
        <v>30000</v>
      </c>
      <c r="Q552" s="7">
        <v>99623.3</v>
      </c>
      <c r="R552" s="7" t="e">
        <v>#N/A</v>
      </c>
      <c r="S552" s="7">
        <v>15</v>
      </c>
      <c r="T552" s="7" t="e">
        <v>#N/A</v>
      </c>
      <c r="U552" s="7" t="e">
        <v>#N/A</v>
      </c>
      <c r="V552" s="6">
        <f t="shared" si="103"/>
        <v>14943.494999999999</v>
      </c>
      <c r="W552" s="6">
        <f t="shared" si="104"/>
        <v>1494.3495</v>
      </c>
      <c r="X552" s="6">
        <f t="shared" si="105"/>
        <v>16437.844499999999</v>
      </c>
      <c r="Y552" s="6">
        <f t="shared" si="106"/>
        <v>0.54792814999999995</v>
      </c>
      <c r="Z552" s="6">
        <f t="shared" si="107"/>
        <v>3.3207766666666667</v>
      </c>
      <c r="AA552" s="9">
        <f t="shared" si="108"/>
        <v>30000</v>
      </c>
      <c r="AB552" s="10">
        <v>26400</v>
      </c>
      <c r="AC552" s="11">
        <f t="shared" si="110"/>
        <v>14465.303159999999</v>
      </c>
      <c r="AD552" s="12">
        <f t="shared" si="109"/>
        <v>30000</v>
      </c>
      <c r="AE552" s="13">
        <f t="shared" si="101"/>
        <v>0</v>
      </c>
    </row>
    <row r="553" spans="1:31">
      <c r="A553" s="6">
        <v>19</v>
      </c>
      <c r="B553" s="6">
        <f t="shared" si="100"/>
        <v>5</v>
      </c>
      <c r="C553" s="6" t="str">
        <f t="shared" si="102"/>
        <v>628408700ASCREW, STANDARD, METRIC, M5, HEXALOBULAR INTERNAL97962324531425000</v>
      </c>
      <c r="D553" s="6" t="s">
        <v>252</v>
      </c>
      <c r="E553" s="6" t="s">
        <v>167</v>
      </c>
      <c r="F553" s="6"/>
      <c r="G553" s="7" t="s">
        <v>145</v>
      </c>
      <c r="H553" s="7"/>
      <c r="I553" s="7"/>
      <c r="J553" s="7"/>
      <c r="K553" s="7"/>
      <c r="L553" s="7">
        <v>9796232</v>
      </c>
      <c r="M553" s="22">
        <v>45314</v>
      </c>
      <c r="N553" s="8" t="e">
        <v>#N/A</v>
      </c>
      <c r="O553" s="8"/>
      <c r="P553" s="7">
        <v>25000</v>
      </c>
      <c r="Q553" s="7">
        <v>131209.12</v>
      </c>
      <c r="R553" s="7" t="e">
        <v>#N/A</v>
      </c>
      <c r="S553" s="7">
        <v>15</v>
      </c>
      <c r="T553" s="7" t="e">
        <v>#N/A</v>
      </c>
      <c r="U553" s="7" t="e">
        <v>#N/A</v>
      </c>
      <c r="V553" s="6">
        <f t="shared" si="103"/>
        <v>19681.367999999999</v>
      </c>
      <c r="W553" s="6">
        <f t="shared" si="104"/>
        <v>1968.1368</v>
      </c>
      <c r="X553" s="6">
        <f t="shared" si="105"/>
        <v>21649.504799999999</v>
      </c>
      <c r="Y553" s="6">
        <f t="shared" si="106"/>
        <v>0.86598019199999998</v>
      </c>
      <c r="Z553" s="6">
        <f t="shared" si="107"/>
        <v>5.2483648000000001</v>
      </c>
      <c r="AA553" s="9">
        <f t="shared" si="108"/>
        <v>25000</v>
      </c>
      <c r="AB553" s="10">
        <v>25000</v>
      </c>
      <c r="AC553" s="11">
        <f t="shared" si="110"/>
        <v>21649.504799999999</v>
      </c>
      <c r="AD553" s="12">
        <f t="shared" si="109"/>
        <v>25000</v>
      </c>
      <c r="AE553" s="13">
        <f t="shared" si="101"/>
        <v>0</v>
      </c>
    </row>
    <row r="554" spans="1:31">
      <c r="A554" s="6">
        <v>19</v>
      </c>
      <c r="B554" s="6">
        <f t="shared" si="100"/>
        <v>6</v>
      </c>
      <c r="C554" s="6" t="str">
        <f t="shared" si="102"/>
        <v>628408700ASCREW, STANDARD, METRIC, M5, HEXALOBULAR INTERNAL97016534530845000</v>
      </c>
      <c r="D554" s="6" t="s">
        <v>252</v>
      </c>
      <c r="E554" s="6" t="s">
        <v>167</v>
      </c>
      <c r="F554" s="6"/>
      <c r="G554" s="7" t="s">
        <v>145</v>
      </c>
      <c r="H554" s="7"/>
      <c r="I554" s="7"/>
      <c r="J554" s="7"/>
      <c r="K554" s="7"/>
      <c r="L554" s="7">
        <v>9701653</v>
      </c>
      <c r="M554" s="22">
        <v>45308</v>
      </c>
      <c r="N554" s="8" t="s">
        <v>190</v>
      </c>
      <c r="O554" s="8" t="s">
        <v>333</v>
      </c>
      <c r="P554" s="7">
        <v>45000</v>
      </c>
      <c r="Q554" s="7">
        <v>230282.27</v>
      </c>
      <c r="R554" s="7">
        <v>87089400</v>
      </c>
      <c r="S554" s="7">
        <v>15</v>
      </c>
      <c r="T554" s="7" t="s">
        <v>391</v>
      </c>
      <c r="U554" s="20" t="s">
        <v>178</v>
      </c>
      <c r="V554" s="6">
        <f t="shared" si="103"/>
        <v>34542.340499999998</v>
      </c>
      <c r="W554" s="6">
        <f t="shared" si="104"/>
        <v>3454.23405</v>
      </c>
      <c r="X554" s="6">
        <f t="shared" si="105"/>
        <v>37996.574549999998</v>
      </c>
      <c r="Y554" s="6">
        <f t="shared" si="106"/>
        <v>0.84436832333333323</v>
      </c>
      <c r="Z554" s="6">
        <f t="shared" si="107"/>
        <v>5.1173837777777775</v>
      </c>
      <c r="AA554" s="9">
        <f t="shared" si="108"/>
        <v>45000</v>
      </c>
      <c r="AB554" s="10">
        <v>14600</v>
      </c>
      <c r="AC554" s="11">
        <f t="shared" si="110"/>
        <v>12327.777520666665</v>
      </c>
      <c r="AD554" s="12">
        <f t="shared" si="109"/>
        <v>45000</v>
      </c>
      <c r="AE554" s="13">
        <f t="shared" si="101"/>
        <v>0</v>
      </c>
    </row>
    <row r="555" spans="1:31">
      <c r="A555" s="6">
        <v>19</v>
      </c>
      <c r="B555" s="6">
        <f t="shared" si="100"/>
        <v>7</v>
      </c>
      <c r="C555" s="6" t="str">
        <f t="shared" si="102"/>
        <v>639590100BSCREW SELF TAPPING INTERNAL T15, 15.01029545325120000</v>
      </c>
      <c r="D555" s="6" t="s">
        <v>252</v>
      </c>
      <c r="E555" s="6" t="s">
        <v>165</v>
      </c>
      <c r="F555" s="6"/>
      <c r="G555" s="7" t="s">
        <v>143</v>
      </c>
      <c r="H555" s="7"/>
      <c r="I555" s="7"/>
      <c r="J555" s="7"/>
      <c r="K555" s="7"/>
      <c r="L555" s="7">
        <v>10295</v>
      </c>
      <c r="M555" s="22">
        <v>45325</v>
      </c>
      <c r="N555" s="8" t="s">
        <v>180</v>
      </c>
      <c r="O555" s="19" t="s">
        <v>332</v>
      </c>
      <c r="P555" s="7">
        <v>120000</v>
      </c>
      <c r="Q555" s="7">
        <v>157172.87</v>
      </c>
      <c r="R555" s="7">
        <v>73181500</v>
      </c>
      <c r="S555" s="7">
        <v>15</v>
      </c>
      <c r="T555" s="24" t="s">
        <v>291</v>
      </c>
      <c r="U555" s="24" t="s">
        <v>178</v>
      </c>
      <c r="V555" s="6">
        <f t="shared" si="103"/>
        <v>23575.930499999999</v>
      </c>
      <c r="W555" s="6">
        <f t="shared" si="104"/>
        <v>2357.5930499999999</v>
      </c>
      <c r="X555" s="6">
        <f t="shared" si="105"/>
        <v>25933.523549999998</v>
      </c>
      <c r="Y555" s="6">
        <f t="shared" si="106"/>
        <v>0.21611269624999999</v>
      </c>
      <c r="Z555" s="6">
        <f t="shared" si="107"/>
        <v>1.3097739166666666</v>
      </c>
      <c r="AA555" s="9">
        <f t="shared" si="108"/>
        <v>120000</v>
      </c>
      <c r="AB555" s="10">
        <v>81300</v>
      </c>
      <c r="AC555" s="11">
        <f t="shared" si="110"/>
        <v>17569.962205124997</v>
      </c>
      <c r="AD555" s="12">
        <f t="shared" si="109"/>
        <v>120000</v>
      </c>
      <c r="AE555" s="13">
        <f t="shared" si="101"/>
        <v>0</v>
      </c>
    </row>
    <row r="556" spans="1:31">
      <c r="A556" s="6">
        <v>19</v>
      </c>
      <c r="B556" s="6">
        <f t="shared" ref="B556:B618" si="111">B555+1</f>
        <v>8</v>
      </c>
      <c r="C556" s="6" t="str">
        <f t="shared" si="102"/>
        <v>651015300BELEMENT, HEATER, HYBRID 3034218453973360</v>
      </c>
      <c r="D556" s="6" t="s">
        <v>252</v>
      </c>
      <c r="E556" s="6" t="s">
        <v>155</v>
      </c>
      <c r="F556" s="6"/>
      <c r="G556" s="7" t="s">
        <v>137</v>
      </c>
      <c r="H556" s="7"/>
      <c r="I556" s="7"/>
      <c r="J556" s="7"/>
      <c r="K556" s="7"/>
      <c r="L556" s="7">
        <v>3034218</v>
      </c>
      <c r="M556" s="22">
        <v>45397</v>
      </c>
      <c r="N556" s="8" t="e">
        <v>#N/A</v>
      </c>
      <c r="O556" s="8"/>
      <c r="P556" s="7">
        <v>3360</v>
      </c>
      <c r="Q556" s="7">
        <v>1784007.1</v>
      </c>
      <c r="R556" s="7" t="e">
        <v>#N/A</v>
      </c>
      <c r="S556" s="7">
        <v>15</v>
      </c>
      <c r="T556" s="7" t="e">
        <v>#N/A</v>
      </c>
      <c r="U556" s="7" t="e">
        <v>#N/A</v>
      </c>
      <c r="V556" s="6">
        <f t="shared" si="103"/>
        <v>267601.065</v>
      </c>
      <c r="W556" s="6">
        <f t="shared" si="104"/>
        <v>26760.106500000002</v>
      </c>
      <c r="X556" s="6">
        <f t="shared" si="105"/>
        <v>294361.1715</v>
      </c>
      <c r="Y556" s="6">
        <f t="shared" si="106"/>
        <v>87.607491517857142</v>
      </c>
      <c r="Z556" s="6">
        <f t="shared" si="107"/>
        <v>530.95449404761905</v>
      </c>
      <c r="AA556" s="9">
        <f t="shared" si="108"/>
        <v>3360</v>
      </c>
      <c r="AB556" s="10">
        <v>3360</v>
      </c>
      <c r="AC556" s="11">
        <f t="shared" si="110"/>
        <v>294361.1715</v>
      </c>
      <c r="AD556" s="12">
        <f t="shared" si="109"/>
        <v>3360</v>
      </c>
      <c r="AE556" s="13">
        <f t="shared" si="101"/>
        <v>0</v>
      </c>
    </row>
    <row r="557" spans="1:31">
      <c r="A557" s="6">
        <v>19</v>
      </c>
      <c r="B557" s="6">
        <f t="shared" si="111"/>
        <v>9</v>
      </c>
      <c r="C557" s="6" t="str">
        <f t="shared" si="102"/>
        <v>651015300BELEMENT, HEATER, HYBRID 3293276454142520</v>
      </c>
      <c r="D557" s="6" t="s">
        <v>252</v>
      </c>
      <c r="E557" s="6" t="s">
        <v>155</v>
      </c>
      <c r="F557" s="6"/>
      <c r="G557" s="7" t="s">
        <v>137</v>
      </c>
      <c r="H557" s="7"/>
      <c r="I557" s="7"/>
      <c r="J557" s="7"/>
      <c r="K557" s="7"/>
      <c r="L557" s="7">
        <v>3293276</v>
      </c>
      <c r="M557" s="22">
        <v>45414</v>
      </c>
      <c r="N557" s="8" t="e">
        <v>#N/A</v>
      </c>
      <c r="O557" s="8"/>
      <c r="P557" s="7">
        <v>2520</v>
      </c>
      <c r="Q557" s="7">
        <v>1341655.22</v>
      </c>
      <c r="R557" s="7" t="e">
        <v>#N/A</v>
      </c>
      <c r="S557" s="7">
        <v>15</v>
      </c>
      <c r="T557" s="7" t="e">
        <v>#N/A</v>
      </c>
      <c r="U557" s="7" t="e">
        <v>#N/A</v>
      </c>
      <c r="V557" s="6">
        <f t="shared" si="103"/>
        <v>201248.283</v>
      </c>
      <c r="W557" s="6">
        <f t="shared" si="104"/>
        <v>20124.828300000001</v>
      </c>
      <c r="X557" s="6">
        <f t="shared" si="105"/>
        <v>221373.11129999999</v>
      </c>
      <c r="Y557" s="6">
        <f t="shared" si="106"/>
        <v>87.84647273809523</v>
      </c>
      <c r="Z557" s="6">
        <f t="shared" si="107"/>
        <v>532.40286507936503</v>
      </c>
      <c r="AA557" s="9">
        <f t="shared" si="108"/>
        <v>2520</v>
      </c>
      <c r="AB557" s="10">
        <v>1540</v>
      </c>
      <c r="AC557" s="11">
        <f t="shared" si="110"/>
        <v>135283.56801666666</v>
      </c>
      <c r="AD557" s="12">
        <f t="shared" si="109"/>
        <v>2390</v>
      </c>
      <c r="AE557" s="13">
        <f t="shared" si="101"/>
        <v>130</v>
      </c>
    </row>
    <row r="558" spans="1:31">
      <c r="A558" s="6">
        <v>19</v>
      </c>
      <c r="B558" s="6">
        <f t="shared" si="111"/>
        <v>10</v>
      </c>
      <c r="C558" s="6" t="str">
        <f t="shared" si="102"/>
        <v>651015300BELEMENT, HEATER, HYBRID 9610877453013500</v>
      </c>
      <c r="D558" s="6" t="s">
        <v>252</v>
      </c>
      <c r="E558" s="6" t="s">
        <v>155</v>
      </c>
      <c r="F558" s="6"/>
      <c r="G558" s="7" t="s">
        <v>137</v>
      </c>
      <c r="H558" s="7"/>
      <c r="I558" s="7"/>
      <c r="J558" s="7"/>
      <c r="K558" s="7"/>
      <c r="L558" s="7">
        <v>9610877</v>
      </c>
      <c r="M558" s="22">
        <v>45301</v>
      </c>
      <c r="N558" s="8" t="e">
        <v>#N/A</v>
      </c>
      <c r="O558" s="8"/>
      <c r="P558" s="7">
        <v>3500</v>
      </c>
      <c r="Q558" s="7">
        <v>1931239.6</v>
      </c>
      <c r="R558" s="7" t="e">
        <v>#N/A</v>
      </c>
      <c r="S558" s="7">
        <v>15</v>
      </c>
      <c r="T558" s="7" t="e">
        <v>#N/A</v>
      </c>
      <c r="U558" s="7" t="e">
        <v>#N/A</v>
      </c>
      <c r="V558" s="6">
        <f t="shared" si="103"/>
        <v>289685.94</v>
      </c>
      <c r="W558" s="6">
        <f t="shared" si="104"/>
        <v>28968.594000000001</v>
      </c>
      <c r="X558" s="6">
        <f t="shared" si="105"/>
        <v>318654.53399999999</v>
      </c>
      <c r="Y558" s="6">
        <f t="shared" si="106"/>
        <v>91.044152571428569</v>
      </c>
      <c r="Z558" s="6">
        <f t="shared" si="107"/>
        <v>551.78274285714292</v>
      </c>
      <c r="AA558" s="9">
        <f t="shared" si="108"/>
        <v>3500</v>
      </c>
      <c r="AB558" s="10">
        <v>0</v>
      </c>
      <c r="AC558" s="11">
        <f t="shared" si="110"/>
        <v>0</v>
      </c>
      <c r="AD558" s="12">
        <f t="shared" si="109"/>
        <v>3500</v>
      </c>
      <c r="AE558" s="13">
        <f t="shared" si="101"/>
        <v>0</v>
      </c>
    </row>
    <row r="559" spans="1:31">
      <c r="A559" s="6">
        <v>19</v>
      </c>
      <c r="B559" s="6">
        <f t="shared" si="111"/>
        <v>11</v>
      </c>
      <c r="C559" s="6" t="str">
        <f t="shared" si="102"/>
        <v>655818900BACTUATOR VIBRATION MOTOR ASSY WITH BRACKET BC3 CU3796731454464800</v>
      </c>
      <c r="D559" s="6" t="s">
        <v>252</v>
      </c>
      <c r="E559" s="6" t="s">
        <v>156</v>
      </c>
      <c r="F559" s="6"/>
      <c r="G559" s="7" t="s">
        <v>133</v>
      </c>
      <c r="H559" s="7"/>
      <c r="I559" s="7"/>
      <c r="J559" s="7"/>
      <c r="K559" s="7"/>
      <c r="L559" s="7">
        <v>3796731</v>
      </c>
      <c r="M559" s="22">
        <v>45446</v>
      </c>
      <c r="N559" s="8" t="e">
        <v>#N/A</v>
      </c>
      <c r="O559" s="8"/>
      <c r="P559" s="7">
        <v>4800</v>
      </c>
      <c r="Q559" s="7">
        <v>709170.97</v>
      </c>
      <c r="R559" s="7" t="e">
        <v>#N/A</v>
      </c>
      <c r="S559" s="7">
        <v>15</v>
      </c>
      <c r="T559" s="7" t="e">
        <v>#N/A</v>
      </c>
      <c r="U559" s="7" t="e">
        <v>#N/A</v>
      </c>
      <c r="V559" s="6">
        <f t="shared" si="103"/>
        <v>106375.6455</v>
      </c>
      <c r="W559" s="6">
        <f t="shared" si="104"/>
        <v>10637.564550000001</v>
      </c>
      <c r="X559" s="6">
        <f t="shared" si="105"/>
        <v>117013.21004999999</v>
      </c>
      <c r="Y559" s="6">
        <f t="shared" si="106"/>
        <v>24.377752093749997</v>
      </c>
      <c r="Z559" s="6">
        <f t="shared" si="107"/>
        <v>147.74395208333334</v>
      </c>
      <c r="AA559" s="9">
        <f t="shared" si="108"/>
        <v>4800</v>
      </c>
      <c r="AB559" s="10">
        <v>4800</v>
      </c>
      <c r="AC559" s="11">
        <f t="shared" si="110"/>
        <v>117013.21004999998</v>
      </c>
      <c r="AD559" s="12">
        <f t="shared" si="109"/>
        <v>4800</v>
      </c>
      <c r="AE559" s="13">
        <f t="shared" si="101"/>
        <v>0</v>
      </c>
    </row>
    <row r="560" spans="1:31">
      <c r="A560" s="6">
        <v>19</v>
      </c>
      <c r="B560" s="6">
        <f t="shared" si="111"/>
        <v>12</v>
      </c>
      <c r="C560" s="6" t="str">
        <f t="shared" si="102"/>
        <v>655818900BACTUATOR VIBRATION MOTOR ASSY WITH BRACKET BC3 CU2137598453369600</v>
      </c>
      <c r="D560" s="6" t="s">
        <v>252</v>
      </c>
      <c r="E560" s="6" t="s">
        <v>156</v>
      </c>
      <c r="F560" s="6"/>
      <c r="G560" s="7" t="s">
        <v>133</v>
      </c>
      <c r="H560" s="7"/>
      <c r="I560" s="7"/>
      <c r="J560" s="7"/>
      <c r="K560" s="7"/>
      <c r="L560" s="7">
        <v>2137598</v>
      </c>
      <c r="M560" s="22">
        <v>45336</v>
      </c>
      <c r="N560" s="8" t="e">
        <v>#N/A</v>
      </c>
      <c r="O560" s="8"/>
      <c r="P560" s="7">
        <v>9600</v>
      </c>
      <c r="Q560" s="7">
        <v>3197064.6</v>
      </c>
      <c r="R560" s="7" t="e">
        <v>#N/A</v>
      </c>
      <c r="S560" s="7">
        <v>15</v>
      </c>
      <c r="T560" s="7" t="e">
        <v>#N/A</v>
      </c>
      <c r="U560" s="7" t="e">
        <v>#N/A</v>
      </c>
      <c r="V560" s="6">
        <f t="shared" si="103"/>
        <v>479559.69</v>
      </c>
      <c r="W560" s="6">
        <f t="shared" si="104"/>
        <v>47955.969000000005</v>
      </c>
      <c r="X560" s="6">
        <f t="shared" si="105"/>
        <v>527515.65899999999</v>
      </c>
      <c r="Y560" s="6">
        <f t="shared" si="106"/>
        <v>54.949547812500001</v>
      </c>
      <c r="Z560" s="6">
        <f t="shared" si="107"/>
        <v>333.02756249999999</v>
      </c>
      <c r="AA560" s="9">
        <f t="shared" si="108"/>
        <v>9600</v>
      </c>
      <c r="AB560" s="10">
        <v>8400</v>
      </c>
      <c r="AC560" s="11">
        <f t="shared" si="110"/>
        <v>461576.20162499999</v>
      </c>
      <c r="AD560" s="12">
        <f t="shared" si="109"/>
        <v>9600</v>
      </c>
      <c r="AE560" s="13">
        <f t="shared" si="101"/>
        <v>0</v>
      </c>
    </row>
    <row r="561" spans="1:31">
      <c r="A561" s="6">
        <v>19</v>
      </c>
      <c r="B561" s="6">
        <f t="shared" si="111"/>
        <v>13</v>
      </c>
      <c r="C561" s="6" t="str">
        <f t="shared" si="102"/>
        <v>655931500AARMATURE, MONOBLOCK ASW4, HYUNDAI BC3-CUV3229559454094050</v>
      </c>
      <c r="D561" s="6" t="s">
        <v>252</v>
      </c>
      <c r="E561" s="6" t="s">
        <v>157</v>
      </c>
      <c r="F561" s="6"/>
      <c r="G561" s="7" t="s">
        <v>134</v>
      </c>
      <c r="H561" s="7"/>
      <c r="I561" s="7"/>
      <c r="J561" s="7"/>
      <c r="K561" s="7"/>
      <c r="L561" s="7">
        <v>3229559</v>
      </c>
      <c r="M561" s="22">
        <v>45409</v>
      </c>
      <c r="N561" s="8" t="e">
        <v>#N/A</v>
      </c>
      <c r="O561" s="8"/>
      <c r="P561" s="7">
        <f>3240+810</f>
        <v>4050</v>
      </c>
      <c r="Q561" s="7">
        <f>1305103+326275.75</f>
        <v>1631378.75</v>
      </c>
      <c r="R561" s="7" t="e">
        <v>#N/A</v>
      </c>
      <c r="S561" s="7">
        <v>15</v>
      </c>
      <c r="T561" s="7" t="e">
        <v>#N/A</v>
      </c>
      <c r="U561" s="7" t="e">
        <v>#N/A</v>
      </c>
      <c r="V561" s="6">
        <f t="shared" si="103"/>
        <v>244706.8125</v>
      </c>
      <c r="W561" s="6">
        <f t="shared" si="104"/>
        <v>24470.681250000001</v>
      </c>
      <c r="X561" s="6">
        <f t="shared" si="105"/>
        <v>269177.49375000002</v>
      </c>
      <c r="Y561" s="6">
        <f t="shared" si="106"/>
        <v>66.463578703703703</v>
      </c>
      <c r="Z561" s="6">
        <f t="shared" si="107"/>
        <v>402.80956790123457</v>
      </c>
      <c r="AA561" s="9">
        <f t="shared" si="108"/>
        <v>4050</v>
      </c>
      <c r="AB561" s="10">
        <v>4050</v>
      </c>
      <c r="AC561" s="11">
        <f t="shared" si="110"/>
        <v>269177.49375000002</v>
      </c>
      <c r="AD561" s="12">
        <f t="shared" si="109"/>
        <v>4050</v>
      </c>
      <c r="AE561" s="13">
        <f t="shared" si="101"/>
        <v>0</v>
      </c>
    </row>
    <row r="562" spans="1:31">
      <c r="A562" s="6">
        <v>19</v>
      </c>
      <c r="B562" s="6">
        <f t="shared" si="111"/>
        <v>14</v>
      </c>
      <c r="C562" s="6" t="str">
        <f t="shared" si="102"/>
        <v>655931500AARMATURE, MONOBLOCK ASW4, HYUNDAI BC3-CUV3557754454314050</v>
      </c>
      <c r="D562" s="6" t="s">
        <v>252</v>
      </c>
      <c r="E562" s="6" t="s">
        <v>157</v>
      </c>
      <c r="F562" s="6"/>
      <c r="G562" s="7" t="s">
        <v>134</v>
      </c>
      <c r="H562" s="7"/>
      <c r="I562" s="7"/>
      <c r="J562" s="7"/>
      <c r="K562" s="7"/>
      <c r="L562" s="7">
        <v>3557754</v>
      </c>
      <c r="M562" s="22">
        <v>45431</v>
      </c>
      <c r="N562" s="8" t="e">
        <v>#N/A</v>
      </c>
      <c r="O562" s="8"/>
      <c r="P562" s="7">
        <f>3240+810</f>
        <v>4050</v>
      </c>
      <c r="Q562" s="7">
        <f>1310393.19+327598.29</f>
        <v>1637991.48</v>
      </c>
      <c r="R562" s="7" t="e">
        <v>#N/A</v>
      </c>
      <c r="S562" s="7">
        <v>15</v>
      </c>
      <c r="T562" s="7" t="e">
        <v>#N/A</v>
      </c>
      <c r="U562" s="7" t="e">
        <v>#N/A</v>
      </c>
      <c r="V562" s="6">
        <f t="shared" si="103"/>
        <v>245698.72199999998</v>
      </c>
      <c r="W562" s="6">
        <f t="shared" si="104"/>
        <v>24569.872199999998</v>
      </c>
      <c r="X562" s="6">
        <f t="shared" si="105"/>
        <v>270268.59419999999</v>
      </c>
      <c r="Y562" s="6">
        <f t="shared" si="106"/>
        <v>66.732986222222223</v>
      </c>
      <c r="Z562" s="6">
        <f t="shared" si="107"/>
        <v>404.44234074074075</v>
      </c>
      <c r="AA562" s="9">
        <f t="shared" si="108"/>
        <v>4050</v>
      </c>
      <c r="AB562" s="10">
        <v>4050</v>
      </c>
      <c r="AC562" s="11">
        <f t="shared" si="110"/>
        <v>270268.59419999999</v>
      </c>
      <c r="AD562" s="12">
        <f t="shared" si="109"/>
        <v>4050</v>
      </c>
      <c r="AE562" s="13">
        <f t="shared" si="101"/>
        <v>0</v>
      </c>
    </row>
    <row r="563" spans="1:31">
      <c r="A563" s="6">
        <v>19</v>
      </c>
      <c r="B563" s="6">
        <f t="shared" si="111"/>
        <v>15</v>
      </c>
      <c r="C563" s="6" t="str">
        <f t="shared" si="102"/>
        <v>655931500AARMATURE, MONOBLOCK ASW4, HYUNDAI BC3-CUV2739271453773240</v>
      </c>
      <c r="D563" s="6" t="s">
        <v>252</v>
      </c>
      <c r="E563" s="6" t="s">
        <v>157</v>
      </c>
      <c r="F563" s="6"/>
      <c r="G563" s="7" t="s">
        <v>134</v>
      </c>
      <c r="H563" s="7"/>
      <c r="I563" s="7"/>
      <c r="J563" s="7"/>
      <c r="K563" s="7"/>
      <c r="L563" s="7">
        <v>2739271</v>
      </c>
      <c r="M563" s="22">
        <v>45377</v>
      </c>
      <c r="N563" s="8" t="e">
        <v>#N/A</v>
      </c>
      <c r="O563" s="8"/>
      <c r="P563" s="7">
        <v>3240</v>
      </c>
      <c r="Q563" s="7">
        <v>1345756.23</v>
      </c>
      <c r="R563" s="7" t="e">
        <v>#N/A</v>
      </c>
      <c r="S563" s="7">
        <v>15</v>
      </c>
      <c r="T563" s="7" t="e">
        <v>#N/A</v>
      </c>
      <c r="U563" s="7" t="e">
        <v>#N/A</v>
      </c>
      <c r="V563" s="6">
        <f t="shared" si="103"/>
        <v>201863.4345</v>
      </c>
      <c r="W563" s="6">
        <f t="shared" si="104"/>
        <v>20186.34345</v>
      </c>
      <c r="X563" s="6">
        <f t="shared" si="105"/>
        <v>222049.77795000002</v>
      </c>
      <c r="Y563" s="6">
        <f t="shared" si="106"/>
        <v>68.533882083333339</v>
      </c>
      <c r="Z563" s="6">
        <f t="shared" si="107"/>
        <v>415.35686111111113</v>
      </c>
      <c r="AA563" s="9">
        <f t="shared" si="108"/>
        <v>3240</v>
      </c>
      <c r="AB563" s="10">
        <v>3240</v>
      </c>
      <c r="AC563" s="11">
        <f t="shared" si="110"/>
        <v>222049.77795000002</v>
      </c>
      <c r="AD563" s="12">
        <f t="shared" si="109"/>
        <v>3240</v>
      </c>
      <c r="AE563" s="13">
        <f t="shared" si="101"/>
        <v>0</v>
      </c>
    </row>
    <row r="564" spans="1:31">
      <c r="A564" s="6">
        <v>19</v>
      </c>
      <c r="B564" s="6">
        <f t="shared" si="111"/>
        <v>16</v>
      </c>
      <c r="C564" s="6" t="str">
        <f t="shared" si="102"/>
        <v>655931500AARMATURE, MONOBLOCK ASW4, HYUNDAI BC3-CUV476140744980648</v>
      </c>
      <c r="D564" s="6" t="s">
        <v>252</v>
      </c>
      <c r="E564" s="6" t="s">
        <v>157</v>
      </c>
      <c r="F564" s="6"/>
      <c r="G564" s="7" t="s">
        <v>134</v>
      </c>
      <c r="H564" s="7"/>
      <c r="I564" s="7"/>
      <c r="J564" s="7"/>
      <c r="K564" s="7"/>
      <c r="L564" s="7">
        <v>4761407</v>
      </c>
      <c r="M564" s="22">
        <v>44980</v>
      </c>
      <c r="N564" s="8" t="s">
        <v>184</v>
      </c>
      <c r="O564" s="8"/>
      <c r="P564" s="7">
        <v>648</v>
      </c>
      <c r="Q564" s="7">
        <v>335203.82</v>
      </c>
      <c r="R564" s="7">
        <v>87089400</v>
      </c>
      <c r="S564" s="7">
        <v>15</v>
      </c>
      <c r="T564" s="7" t="s">
        <v>186</v>
      </c>
      <c r="U564" s="7" t="s">
        <v>178</v>
      </c>
      <c r="V564" s="6">
        <f t="shared" si="103"/>
        <v>50280.572999999997</v>
      </c>
      <c r="W564" s="6">
        <f t="shared" si="104"/>
        <v>5028.0573000000004</v>
      </c>
      <c r="X564" s="6">
        <f t="shared" si="105"/>
        <v>55308.630299999997</v>
      </c>
      <c r="Y564" s="6">
        <f t="shared" si="106"/>
        <v>85.352824537037037</v>
      </c>
      <c r="Z564" s="6">
        <f t="shared" si="107"/>
        <v>517.28984567901239</v>
      </c>
      <c r="AA564" s="9">
        <f t="shared" si="108"/>
        <v>648</v>
      </c>
      <c r="AB564" s="10">
        <v>648</v>
      </c>
      <c r="AC564" s="11">
        <f t="shared" si="110"/>
        <v>55308.630299999997</v>
      </c>
      <c r="AD564" s="12">
        <f t="shared" si="109"/>
        <v>648</v>
      </c>
      <c r="AE564" s="13">
        <f t="shared" si="101"/>
        <v>0</v>
      </c>
    </row>
    <row r="565" spans="1:31">
      <c r="A565" s="6">
        <v>19</v>
      </c>
      <c r="B565" s="6">
        <f t="shared" si="111"/>
        <v>17</v>
      </c>
      <c r="C565" s="6" t="str">
        <f t="shared" si="102"/>
        <v>655931500AARMATURE, MONOBLOCK ASW4, HYUNDAI BC3-CUV2007229453284860</v>
      </c>
      <c r="D565" s="6" t="s">
        <v>252</v>
      </c>
      <c r="E565" s="6" t="s">
        <v>157</v>
      </c>
      <c r="F565" s="6"/>
      <c r="G565" s="7" t="s">
        <v>134</v>
      </c>
      <c r="H565" s="7"/>
      <c r="I565" s="7"/>
      <c r="J565" s="7"/>
      <c r="K565" s="7"/>
      <c r="L565" s="7">
        <v>2007229</v>
      </c>
      <c r="M565" s="22">
        <v>45328</v>
      </c>
      <c r="N565" s="8" t="e">
        <v>#N/A</v>
      </c>
      <c r="O565" s="8"/>
      <c r="P565" s="7">
        <v>4860</v>
      </c>
      <c r="Q565" s="7">
        <v>2042646.03</v>
      </c>
      <c r="R565" s="7" t="e">
        <v>#N/A</v>
      </c>
      <c r="S565" s="7">
        <v>15</v>
      </c>
      <c r="T565" s="7" t="e">
        <v>#N/A</v>
      </c>
      <c r="U565" s="7" t="e">
        <v>#N/A</v>
      </c>
      <c r="V565" s="6">
        <f t="shared" si="103"/>
        <v>306396.9045</v>
      </c>
      <c r="W565" s="6">
        <f t="shared" si="104"/>
        <v>30639.690450000002</v>
      </c>
      <c r="X565" s="6">
        <f t="shared" si="105"/>
        <v>337036.59495</v>
      </c>
      <c r="Y565" s="6">
        <f t="shared" si="106"/>
        <v>69.349093611111115</v>
      </c>
      <c r="Z565" s="6">
        <f t="shared" si="107"/>
        <v>420.29753703703705</v>
      </c>
      <c r="AA565" s="9">
        <f t="shared" si="108"/>
        <v>4860</v>
      </c>
      <c r="AB565" s="10">
        <v>1212</v>
      </c>
      <c r="AC565" s="11">
        <f t="shared" si="110"/>
        <v>84051.101456666671</v>
      </c>
      <c r="AD565" s="12">
        <f t="shared" si="109"/>
        <v>4860</v>
      </c>
      <c r="AE565" s="13">
        <f t="shared" si="101"/>
        <v>0</v>
      </c>
    </row>
    <row r="566" spans="1:31">
      <c r="A566" s="6">
        <v>19</v>
      </c>
      <c r="B566" s="6">
        <f t="shared" si="111"/>
        <v>18</v>
      </c>
      <c r="C566" s="6" t="str">
        <f t="shared" si="102"/>
        <v>608225700ASCREW,STD METRIIC HEXALOBULAR  M5 T25 12MM77207824517640000</v>
      </c>
      <c r="D566" s="6" t="s">
        <v>252</v>
      </c>
      <c r="E566" s="6" t="s">
        <v>169</v>
      </c>
      <c r="F566" s="6"/>
      <c r="G566" s="7" t="s">
        <v>147</v>
      </c>
      <c r="H566" s="7"/>
      <c r="I566" s="7"/>
      <c r="J566" s="7"/>
      <c r="K566" s="7"/>
      <c r="L566" s="7">
        <v>7720782</v>
      </c>
      <c r="M566" s="22">
        <v>45176</v>
      </c>
      <c r="N566" s="8" t="e">
        <v>#N/A</v>
      </c>
      <c r="O566" s="8"/>
      <c r="P566" s="7">
        <v>40000</v>
      </c>
      <c r="Q566" s="7">
        <v>126873.98</v>
      </c>
      <c r="R566" s="7" t="e">
        <v>#N/A</v>
      </c>
      <c r="S566" s="7">
        <v>15</v>
      </c>
      <c r="T566" s="7" t="e">
        <v>#N/A</v>
      </c>
      <c r="U566" s="7" t="e">
        <v>#N/A</v>
      </c>
      <c r="V566" s="6">
        <f t="shared" si="103"/>
        <v>19031.096999999998</v>
      </c>
      <c r="W566" s="6">
        <f t="shared" si="104"/>
        <v>1903.1097</v>
      </c>
      <c r="X566" s="6">
        <f t="shared" si="105"/>
        <v>20934.206699999999</v>
      </c>
      <c r="Y566" s="6">
        <f t="shared" si="106"/>
        <v>0.5233551675</v>
      </c>
      <c r="Z566" s="6">
        <f t="shared" si="107"/>
        <v>3.1718495</v>
      </c>
      <c r="AA566" s="9">
        <f t="shared" si="108"/>
        <v>40000</v>
      </c>
      <c r="AB566" s="10">
        <v>20800</v>
      </c>
      <c r="AC566" s="11">
        <f t="shared" si="110"/>
        <v>10885.787484</v>
      </c>
      <c r="AD566" s="12">
        <f t="shared" si="109"/>
        <v>40000</v>
      </c>
      <c r="AE566" s="13">
        <f t="shared" si="101"/>
        <v>0</v>
      </c>
    </row>
    <row r="567" spans="1:31">
      <c r="A567" s="6">
        <v>19</v>
      </c>
      <c r="B567" s="6">
        <f t="shared" si="111"/>
        <v>19</v>
      </c>
      <c r="C567" s="6" t="str">
        <f t="shared" si="102"/>
        <v>644345600ASCREW, SELF-TAPPING, PLA PLASTIC, 3.0, CROSS467246744973120000</v>
      </c>
      <c r="D567" s="6" t="s">
        <v>252</v>
      </c>
      <c r="E567" s="6" t="s">
        <v>166</v>
      </c>
      <c r="F567" s="6"/>
      <c r="G567" s="7" t="s">
        <v>144</v>
      </c>
      <c r="H567" s="7"/>
      <c r="I567" s="7"/>
      <c r="J567" s="7"/>
      <c r="K567" s="7"/>
      <c r="L567" s="7">
        <v>4672467</v>
      </c>
      <c r="M567" s="22">
        <v>44973</v>
      </c>
      <c r="N567" s="8" t="s">
        <v>182</v>
      </c>
      <c r="O567" s="8"/>
      <c r="P567" s="7">
        <v>120000</v>
      </c>
      <c r="Q567" s="7">
        <v>96772.74</v>
      </c>
      <c r="R567" s="7">
        <v>87089500</v>
      </c>
      <c r="S567" s="7">
        <v>15</v>
      </c>
      <c r="T567" s="7" t="s">
        <v>183</v>
      </c>
      <c r="U567" s="7" t="s">
        <v>178</v>
      </c>
      <c r="V567" s="6">
        <f t="shared" si="103"/>
        <v>14515.911</v>
      </c>
      <c r="W567" s="6">
        <f t="shared" si="104"/>
        <v>1451.5911000000001</v>
      </c>
      <c r="X567" s="6">
        <f t="shared" si="105"/>
        <v>15967.5021</v>
      </c>
      <c r="Y567" s="6">
        <f t="shared" si="106"/>
        <v>0.1330625175</v>
      </c>
      <c r="Z567" s="6">
        <f t="shared" si="107"/>
        <v>0.80643950000000009</v>
      </c>
      <c r="AA567" s="9">
        <f t="shared" si="108"/>
        <v>120000</v>
      </c>
      <c r="AB567" s="10">
        <v>26400</v>
      </c>
      <c r="AC567" s="11">
        <f t="shared" si="110"/>
        <v>3512.8504620000003</v>
      </c>
      <c r="AD567" s="12">
        <f t="shared" si="109"/>
        <v>117964</v>
      </c>
      <c r="AE567" s="13">
        <f t="shared" si="101"/>
        <v>2036</v>
      </c>
    </row>
    <row r="568" spans="1:31">
      <c r="A568" s="6">
        <v>19</v>
      </c>
      <c r="B568" s="6">
        <f t="shared" si="111"/>
        <v>20</v>
      </c>
      <c r="C568" s="6" t="str">
        <f t="shared" si="102"/>
        <v>608067201ANUT, ISO, M5 351094044894800000</v>
      </c>
      <c r="D568" s="6" t="s">
        <v>252</v>
      </c>
      <c r="E568" s="6" t="s">
        <v>164</v>
      </c>
      <c r="F568" s="6"/>
      <c r="G568" s="7" t="s">
        <v>142</v>
      </c>
      <c r="H568" s="7"/>
      <c r="I568" s="7"/>
      <c r="J568" s="7"/>
      <c r="K568" s="7"/>
      <c r="L568" s="7">
        <v>3510940</v>
      </c>
      <c r="M568" s="22">
        <v>44894</v>
      </c>
      <c r="N568" s="8" t="s">
        <v>189</v>
      </c>
      <c r="O568" s="8" t="s">
        <v>332</v>
      </c>
      <c r="P568" s="7">
        <v>800000</v>
      </c>
      <c r="Q568" s="7">
        <v>1498489.13</v>
      </c>
      <c r="R568" s="7">
        <v>87089500</v>
      </c>
      <c r="S568" s="7">
        <v>15</v>
      </c>
      <c r="T568" s="7" t="s">
        <v>183</v>
      </c>
      <c r="U568" s="7" t="s">
        <v>178</v>
      </c>
      <c r="V568" s="6">
        <f t="shared" si="103"/>
        <v>224773.36949999997</v>
      </c>
      <c r="W568" s="6">
        <f t="shared" si="104"/>
        <v>22477.336949999997</v>
      </c>
      <c r="X568" s="6">
        <f t="shared" si="105"/>
        <v>247250.70644999997</v>
      </c>
      <c r="Y568" s="6">
        <f t="shared" si="106"/>
        <v>0.30906338306249997</v>
      </c>
      <c r="Z568" s="6">
        <f t="shared" si="107"/>
        <v>1.8731114124999999</v>
      </c>
      <c r="AA568" s="9">
        <f t="shared" si="108"/>
        <v>800000</v>
      </c>
      <c r="AB568" s="10">
        <v>3840</v>
      </c>
      <c r="AC568" s="11">
        <f t="shared" si="110"/>
        <v>1186.8033909599999</v>
      </c>
      <c r="AD568" s="12">
        <f t="shared" si="109"/>
        <v>70960</v>
      </c>
      <c r="AE568" s="13">
        <f t="shared" ref="AE568:AE631" si="112">AA568-AD568</f>
        <v>729040</v>
      </c>
    </row>
    <row r="569" spans="1:31">
      <c r="A569" s="6">
        <v>19</v>
      </c>
      <c r="B569" s="6">
        <f t="shared" si="111"/>
        <v>21</v>
      </c>
      <c r="C569" s="6" t="str">
        <f t="shared" si="102"/>
        <v>652466500ALEATHER, HIDE TOP GRAIN, OBSIDIAN BLACK, NNB, BLA5703451450435478.49</v>
      </c>
      <c r="D569" s="6" t="s">
        <v>252</v>
      </c>
      <c r="E569" s="6" t="s">
        <v>163</v>
      </c>
      <c r="F569" s="6"/>
      <c r="G569" s="7" t="s">
        <v>141</v>
      </c>
      <c r="H569" s="7"/>
      <c r="I569" s="7"/>
      <c r="J569" s="7"/>
      <c r="K569" s="7"/>
      <c r="L569" s="7">
        <v>5703451</v>
      </c>
      <c r="M569" s="22">
        <v>45043</v>
      </c>
      <c r="N569" s="8" t="s">
        <v>184</v>
      </c>
      <c r="O569" s="8"/>
      <c r="P569" s="7">
        <v>5478.4900000000007</v>
      </c>
      <c r="Q569" s="7">
        <v>14099606.499999998</v>
      </c>
      <c r="R569" s="7">
        <v>41071200</v>
      </c>
      <c r="S569" s="7">
        <v>0</v>
      </c>
      <c r="T569" s="7" t="s">
        <v>261</v>
      </c>
      <c r="U569" s="7" t="s">
        <v>178</v>
      </c>
      <c r="V569" s="6">
        <f t="shared" si="103"/>
        <v>0</v>
      </c>
      <c r="W569" s="6">
        <f t="shared" si="104"/>
        <v>0</v>
      </c>
      <c r="X569" s="6">
        <f t="shared" si="105"/>
        <v>0</v>
      </c>
      <c r="Y569" s="6">
        <f t="shared" si="106"/>
        <v>0</v>
      </c>
      <c r="Z569" s="6">
        <f t="shared" si="107"/>
        <v>2573.6300513462643</v>
      </c>
      <c r="AA569" s="9">
        <f t="shared" si="108"/>
        <v>5478.4900000000007</v>
      </c>
      <c r="AB569" s="10">
        <v>1893</v>
      </c>
      <c r="AC569" s="11">
        <f t="shared" si="110"/>
        <v>0</v>
      </c>
      <c r="AD569" s="12">
        <f t="shared" si="109"/>
        <v>5478.4900000000007</v>
      </c>
      <c r="AE569" s="13">
        <f t="shared" si="112"/>
        <v>0</v>
      </c>
    </row>
    <row r="570" spans="1:31">
      <c r="A570" s="6">
        <v>19</v>
      </c>
      <c r="B570" s="6">
        <f t="shared" si="111"/>
        <v>22</v>
      </c>
      <c r="C570" s="6" t="str">
        <f t="shared" si="102"/>
        <v>656011400ALEATHER, HIDE TOP GRAIN, GREY, FOSSIL GREY, T9Y,7374452451543703.92</v>
      </c>
      <c r="D570" s="6" t="s">
        <v>252</v>
      </c>
      <c r="E570" s="6" t="s">
        <v>162</v>
      </c>
      <c r="F570" s="6"/>
      <c r="G570" s="7" t="s">
        <v>140</v>
      </c>
      <c r="H570" s="7"/>
      <c r="I570" s="7"/>
      <c r="J570" s="7"/>
      <c r="K570" s="7"/>
      <c r="L570" s="7">
        <v>7374452</v>
      </c>
      <c r="M570" s="22">
        <v>45154</v>
      </c>
      <c r="N570" s="8" t="s">
        <v>190</v>
      </c>
      <c r="O570" s="8" t="s">
        <v>383</v>
      </c>
      <c r="P570" s="7">
        <v>3703.9199999999996</v>
      </c>
      <c r="Q570" s="7">
        <v>8436783.4900000002</v>
      </c>
      <c r="R570" s="7">
        <v>41071200</v>
      </c>
      <c r="S570" s="7">
        <v>0</v>
      </c>
      <c r="T570" s="7" t="s">
        <v>293</v>
      </c>
      <c r="U570" s="7" t="s">
        <v>178</v>
      </c>
      <c r="V570" s="6">
        <f t="shared" si="103"/>
        <v>0</v>
      </c>
      <c r="W570" s="6">
        <f t="shared" si="104"/>
        <v>0</v>
      </c>
      <c r="X570" s="6">
        <f t="shared" si="105"/>
        <v>0</v>
      </c>
      <c r="Y570" s="6">
        <f t="shared" si="106"/>
        <v>0</v>
      </c>
      <c r="Z570" s="6">
        <f t="shared" si="107"/>
        <v>2277.7985188664984</v>
      </c>
      <c r="AA570" s="9">
        <f t="shared" si="108"/>
        <v>3703.9199999999996</v>
      </c>
      <c r="AB570" s="10">
        <v>45.819663999999996</v>
      </c>
      <c r="AC570" s="11">
        <f t="shared" si="110"/>
        <v>0</v>
      </c>
      <c r="AD570" s="12">
        <f t="shared" si="109"/>
        <v>634.38362100000006</v>
      </c>
      <c r="AE570" s="13">
        <f t="shared" si="112"/>
        <v>3069.5363789999997</v>
      </c>
    </row>
    <row r="571" spans="1:31">
      <c r="A571" s="6">
        <v>19</v>
      </c>
      <c r="B571" s="6">
        <f t="shared" si="111"/>
        <v>23</v>
      </c>
      <c r="C571" s="6" t="str">
        <f t="shared" si="102"/>
        <v>630580800ALABEL, RAW MATERIAL, BLA K12 TPC BUCKLE5160585449362400000</v>
      </c>
      <c r="D571" s="6" t="s">
        <v>252</v>
      </c>
      <c r="E571" s="6" t="s">
        <v>71</v>
      </c>
      <c r="F571" s="6"/>
      <c r="G571" s="7" t="s">
        <v>31</v>
      </c>
      <c r="H571" s="7"/>
      <c r="I571" s="7"/>
      <c r="J571" s="7"/>
      <c r="K571" s="7"/>
      <c r="L571" s="7">
        <v>5160585</v>
      </c>
      <c r="M571" s="22">
        <v>44936</v>
      </c>
      <c r="N571" s="8" t="s">
        <v>196</v>
      </c>
      <c r="O571" s="8" t="s">
        <v>333</v>
      </c>
      <c r="P571" s="7">
        <v>2400000</v>
      </c>
      <c r="Q571" s="7">
        <v>86522.34</v>
      </c>
      <c r="R571" s="7">
        <v>87082900</v>
      </c>
      <c r="S571" s="7">
        <v>15</v>
      </c>
      <c r="T571" s="7" t="s">
        <v>265</v>
      </c>
      <c r="U571" s="7" t="s">
        <v>178</v>
      </c>
      <c r="V571" s="6">
        <f t="shared" si="103"/>
        <v>12978.350999999999</v>
      </c>
      <c r="W571" s="6">
        <f t="shared" si="104"/>
        <v>1297.8351</v>
      </c>
      <c r="X571" s="6">
        <f t="shared" si="105"/>
        <v>14276.186099999999</v>
      </c>
      <c r="Y571" s="6">
        <f t="shared" si="106"/>
        <v>5.9484108749999999E-3</v>
      </c>
      <c r="Z571" s="6">
        <f t="shared" si="107"/>
        <v>3.6050974999999999E-2</v>
      </c>
      <c r="AA571" s="9">
        <f t="shared" si="108"/>
        <v>2400000</v>
      </c>
      <c r="AB571" s="10">
        <v>13200</v>
      </c>
      <c r="AC571" s="11">
        <f t="shared" si="110"/>
        <v>78.51902355</v>
      </c>
      <c r="AD571" s="12">
        <f t="shared" si="109"/>
        <v>548546</v>
      </c>
      <c r="AE571" s="13">
        <f t="shared" si="112"/>
        <v>1851454</v>
      </c>
    </row>
    <row r="572" spans="1:31">
      <c r="A572" s="6">
        <v>19</v>
      </c>
      <c r="B572" s="6">
        <f t="shared" si="111"/>
        <v>24</v>
      </c>
      <c r="C572" s="6" t="str">
        <f t="shared" si="102"/>
        <v>653052600AINFLATOR, APP-4.6, 2.2MO STANDARD_MIB, SQUARE_61X6505272450983456</v>
      </c>
      <c r="D572" s="6" t="s">
        <v>252</v>
      </c>
      <c r="E572" s="6" t="s">
        <v>161</v>
      </c>
      <c r="F572" s="6"/>
      <c r="G572" s="7" t="s">
        <v>139</v>
      </c>
      <c r="H572" s="7"/>
      <c r="I572" s="7"/>
      <c r="J572" s="7"/>
      <c r="K572" s="7"/>
      <c r="L572" s="7">
        <v>6505272</v>
      </c>
      <c r="M572" s="22">
        <v>45098</v>
      </c>
      <c r="N572" s="8" t="s">
        <v>184</v>
      </c>
      <c r="O572" s="8"/>
      <c r="P572" s="7">
        <v>3456</v>
      </c>
      <c r="Q572" s="7">
        <v>1818691.99</v>
      </c>
      <c r="R572" s="7">
        <v>87089500</v>
      </c>
      <c r="S572" s="7">
        <v>15</v>
      </c>
      <c r="T572" s="7" t="s">
        <v>277</v>
      </c>
      <c r="U572" s="7" t="s">
        <v>200</v>
      </c>
      <c r="V572" s="6">
        <f t="shared" si="103"/>
        <v>272803.79849999998</v>
      </c>
      <c r="W572" s="6">
        <f t="shared" si="104"/>
        <v>27280.379849999998</v>
      </c>
      <c r="X572" s="6">
        <f t="shared" si="105"/>
        <v>300084.17834999994</v>
      </c>
      <c r="Y572" s="6">
        <f t="shared" si="106"/>
        <v>86.829912717013869</v>
      </c>
      <c r="Z572" s="6">
        <f t="shared" si="107"/>
        <v>526.24189525462964</v>
      </c>
      <c r="AA572" s="9">
        <f t="shared" si="108"/>
        <v>3456</v>
      </c>
      <c r="AB572" s="10">
        <v>960</v>
      </c>
      <c r="AC572" s="11">
        <f t="shared" si="110"/>
        <v>83356.71620833331</v>
      </c>
      <c r="AD572" s="12">
        <f t="shared" si="109"/>
        <v>3360</v>
      </c>
      <c r="AE572" s="13">
        <f t="shared" si="112"/>
        <v>96</v>
      </c>
    </row>
    <row r="573" spans="1:31">
      <c r="A573" s="6">
        <v>19</v>
      </c>
      <c r="B573" s="6">
        <f t="shared" si="111"/>
        <v>25</v>
      </c>
      <c r="C573" s="6" t="str">
        <f t="shared" si="102"/>
        <v>634240200AHORN CONTACT, CU 521662145010720000</v>
      </c>
      <c r="D573" s="6" t="s">
        <v>252</v>
      </c>
      <c r="E573" s="6" t="s">
        <v>160</v>
      </c>
      <c r="F573" s="6"/>
      <c r="G573" s="7" t="s">
        <v>138</v>
      </c>
      <c r="H573" s="7"/>
      <c r="I573" s="7"/>
      <c r="J573" s="7"/>
      <c r="K573" s="7"/>
      <c r="L573" s="7">
        <v>5216621</v>
      </c>
      <c r="M573" s="22">
        <v>45010</v>
      </c>
      <c r="N573" s="8" t="s">
        <v>189</v>
      </c>
      <c r="O573" s="8"/>
      <c r="P573" s="7">
        <v>720000</v>
      </c>
      <c r="Q573" s="7">
        <v>803516.76</v>
      </c>
      <c r="R573" s="7">
        <v>87089900</v>
      </c>
      <c r="S573" s="7">
        <v>15</v>
      </c>
      <c r="T573" s="7" t="s">
        <v>258</v>
      </c>
      <c r="U573" s="7" t="s">
        <v>178</v>
      </c>
      <c r="V573" s="6">
        <f t="shared" si="103"/>
        <v>120527.514</v>
      </c>
      <c r="W573" s="6">
        <f t="shared" si="104"/>
        <v>12052.751400000001</v>
      </c>
      <c r="X573" s="6">
        <f t="shared" si="105"/>
        <v>132580.2654</v>
      </c>
      <c r="Y573" s="6">
        <f t="shared" si="106"/>
        <v>0.18413925750000001</v>
      </c>
      <c r="Z573" s="6">
        <f t="shared" si="107"/>
        <v>1.1159954999999999</v>
      </c>
      <c r="AA573" s="9">
        <f t="shared" si="108"/>
        <v>720000</v>
      </c>
      <c r="AB573" s="10">
        <v>52800</v>
      </c>
      <c r="AC573" s="11">
        <f t="shared" si="110"/>
        <v>9722.5527959999999</v>
      </c>
      <c r="AD573" s="12">
        <f t="shared" si="109"/>
        <v>707364</v>
      </c>
      <c r="AE573" s="13">
        <f t="shared" si="112"/>
        <v>12636</v>
      </c>
    </row>
    <row r="574" spans="1:31">
      <c r="A574" s="6">
        <v>19</v>
      </c>
      <c r="B574" s="6">
        <f t="shared" si="111"/>
        <v>26</v>
      </c>
      <c r="C574" s="6" t="str">
        <f t="shared" si="102"/>
        <v>650557200GCUSHION, FOLDED, C AND S HONDA 2JX4101790449351080</v>
      </c>
      <c r="D574" s="6" t="s">
        <v>252</v>
      </c>
      <c r="E574" s="6" t="s">
        <v>159</v>
      </c>
      <c r="F574" s="6"/>
      <c r="G574" s="7" t="s">
        <v>136</v>
      </c>
      <c r="H574" s="7"/>
      <c r="I574" s="7"/>
      <c r="J574" s="7"/>
      <c r="K574" s="7"/>
      <c r="L574" s="7">
        <v>4101790</v>
      </c>
      <c r="M574" s="22">
        <v>44935</v>
      </c>
      <c r="N574" s="8" t="s">
        <v>189</v>
      </c>
      <c r="O574" s="8"/>
      <c r="P574" s="7">
        <v>1080</v>
      </c>
      <c r="Q574" s="7">
        <v>1332212.3400000001</v>
      </c>
      <c r="R574" s="7">
        <v>87089500</v>
      </c>
      <c r="S574" s="7">
        <v>5</v>
      </c>
      <c r="T574" s="7" t="s">
        <v>267</v>
      </c>
      <c r="U574" s="7" t="s">
        <v>178</v>
      </c>
      <c r="V574" s="6">
        <f t="shared" si="103"/>
        <v>66610.617000000013</v>
      </c>
      <c r="W574" s="6">
        <f t="shared" si="104"/>
        <v>6661.061700000002</v>
      </c>
      <c r="X574" s="6">
        <f t="shared" si="105"/>
        <v>73271.678700000019</v>
      </c>
      <c r="Y574" s="6">
        <f t="shared" si="106"/>
        <v>67.844146944444461</v>
      </c>
      <c r="Z574" s="6">
        <f t="shared" si="107"/>
        <v>1233.5299444444445</v>
      </c>
      <c r="AA574" s="9">
        <f t="shared" si="108"/>
        <v>1080</v>
      </c>
      <c r="AB574" s="10">
        <v>960</v>
      </c>
      <c r="AC574" s="11">
        <f t="shared" si="110"/>
        <v>65130.381066666683</v>
      </c>
      <c r="AD574" s="12">
        <f t="shared" si="109"/>
        <v>960</v>
      </c>
      <c r="AE574" s="13">
        <f t="shared" si="112"/>
        <v>120</v>
      </c>
    </row>
    <row r="575" spans="1:31">
      <c r="A575" s="6">
        <v>19</v>
      </c>
      <c r="B575" s="6">
        <f t="shared" si="111"/>
        <v>27</v>
      </c>
      <c r="C575" s="6" t="str">
        <f t="shared" si="102"/>
        <v>652466500ALEATHER, HIDE TOP GRAIN, OBSIDIAN BLACK, NNB, BLA4153321449381567.04</v>
      </c>
      <c r="D575" s="6" t="s">
        <v>252</v>
      </c>
      <c r="E575" s="6" t="s">
        <v>163</v>
      </c>
      <c r="F575" s="6"/>
      <c r="G575" s="7" t="s">
        <v>141</v>
      </c>
      <c r="H575" s="7"/>
      <c r="I575" s="7"/>
      <c r="J575" s="7"/>
      <c r="K575" s="7"/>
      <c r="L575" s="7">
        <v>4153321</v>
      </c>
      <c r="M575" s="22">
        <v>44938</v>
      </c>
      <c r="N575" s="8" t="s">
        <v>190</v>
      </c>
      <c r="O575" s="8"/>
      <c r="P575" s="7">
        <v>1567.04</v>
      </c>
      <c r="Q575" s="7">
        <v>4229818.33</v>
      </c>
      <c r="R575" s="7">
        <v>41071200</v>
      </c>
      <c r="S575" s="7">
        <v>0</v>
      </c>
      <c r="T575" s="7" t="s">
        <v>279</v>
      </c>
      <c r="U575" s="7" t="s">
        <v>178</v>
      </c>
      <c r="V575" s="6">
        <f t="shared" si="103"/>
        <v>0</v>
      </c>
      <c r="W575" s="6">
        <f t="shared" si="104"/>
        <v>0</v>
      </c>
      <c r="X575" s="6">
        <f t="shared" si="105"/>
        <v>0</v>
      </c>
      <c r="Y575" s="6">
        <f t="shared" si="106"/>
        <v>0</v>
      </c>
      <c r="Z575" s="6">
        <f t="shared" si="107"/>
        <v>2699.2408170818871</v>
      </c>
      <c r="AA575" s="9">
        <f t="shared" si="108"/>
        <v>1567.04</v>
      </c>
      <c r="AB575" s="10">
        <v>441</v>
      </c>
      <c r="AC575" s="11">
        <f t="shared" si="110"/>
        <v>0</v>
      </c>
      <c r="AD575" s="12">
        <f t="shared" si="109"/>
        <v>1567</v>
      </c>
      <c r="AE575" s="13">
        <f t="shared" si="112"/>
        <v>3.999999999996362E-2</v>
      </c>
    </row>
    <row r="576" spans="1:31">
      <c r="A576" s="6">
        <v>20</v>
      </c>
      <c r="B576" s="6">
        <v>1</v>
      </c>
      <c r="C576" s="6" t="str">
        <f t="shared" si="102"/>
        <v>655931500AARMATURE, MONOBLOCK ASW4, HYUNDAI BC3-CUV7624853446163240</v>
      </c>
      <c r="D576" s="6" t="s">
        <v>326</v>
      </c>
      <c r="E576" s="6" t="s">
        <v>157</v>
      </c>
      <c r="F576" s="6"/>
      <c r="G576" s="7" t="s">
        <v>134</v>
      </c>
      <c r="H576" s="7"/>
      <c r="I576" s="7"/>
      <c r="J576" s="7"/>
      <c r="K576" s="7"/>
      <c r="L576" s="7">
        <v>7624853</v>
      </c>
      <c r="M576" s="22">
        <v>44616</v>
      </c>
      <c r="N576" s="8"/>
      <c r="O576" s="8"/>
      <c r="P576" s="7">
        <v>3240</v>
      </c>
      <c r="Q576" s="7">
        <v>2003388.7800000003</v>
      </c>
      <c r="R576" s="7"/>
      <c r="S576" s="7">
        <v>15</v>
      </c>
      <c r="T576" s="7"/>
      <c r="U576" s="7"/>
      <c r="V576" s="6">
        <f t="shared" si="103"/>
        <v>300508.31700000004</v>
      </c>
      <c r="W576" s="6">
        <f t="shared" si="104"/>
        <v>30050.831700000006</v>
      </c>
      <c r="X576" s="6">
        <f t="shared" si="105"/>
        <v>330559.14870000002</v>
      </c>
      <c r="Y576" s="6">
        <f t="shared" si="106"/>
        <v>102.02442861111112</v>
      </c>
      <c r="Z576" s="6">
        <f t="shared" si="107"/>
        <v>618.32987037037049</v>
      </c>
      <c r="AA576" s="9">
        <f t="shared" si="108"/>
        <v>3240</v>
      </c>
      <c r="AB576" s="10">
        <v>3240</v>
      </c>
      <c r="AC576" s="11">
        <f t="shared" si="110"/>
        <v>330559.14870000002</v>
      </c>
      <c r="AD576" s="12">
        <f t="shared" si="109"/>
        <v>3240</v>
      </c>
      <c r="AE576" s="13">
        <f t="shared" si="112"/>
        <v>0</v>
      </c>
    </row>
    <row r="577" spans="1:31">
      <c r="A577" s="6">
        <v>20</v>
      </c>
      <c r="B577" s="6">
        <f t="shared" si="111"/>
        <v>2</v>
      </c>
      <c r="C577" s="6" t="str">
        <f t="shared" si="102"/>
        <v>655818900BACTUATOR VIBRATION MOTOR ASSY WITH BRACKET BC3 CU2489530453592400</v>
      </c>
      <c r="D577" s="6" t="s">
        <v>326</v>
      </c>
      <c r="E577" s="6" t="s">
        <v>156</v>
      </c>
      <c r="F577" s="6"/>
      <c r="G577" s="7" t="s">
        <v>133</v>
      </c>
      <c r="H577" s="7"/>
      <c r="I577" s="7"/>
      <c r="J577" s="7"/>
      <c r="K577" s="7"/>
      <c r="L577" s="7">
        <v>2489530</v>
      </c>
      <c r="M577" s="22">
        <v>45359</v>
      </c>
      <c r="N577" s="8"/>
      <c r="O577" s="8"/>
      <c r="P577" s="7">
        <v>2400</v>
      </c>
      <c r="Q577" s="7">
        <v>855307.2</v>
      </c>
      <c r="R577" s="7"/>
      <c r="S577" s="7">
        <v>15</v>
      </c>
      <c r="T577" s="7"/>
      <c r="U577" s="7"/>
      <c r="V577" s="6">
        <f t="shared" si="103"/>
        <v>128296.07999999999</v>
      </c>
      <c r="W577" s="6">
        <f t="shared" si="104"/>
        <v>12829.608</v>
      </c>
      <c r="X577" s="6">
        <f t="shared" si="105"/>
        <v>141125.68799999999</v>
      </c>
      <c r="Y577" s="6">
        <f t="shared" si="106"/>
        <v>58.802369999999996</v>
      </c>
      <c r="Z577" s="6">
        <f t="shared" si="107"/>
        <v>356.37799999999999</v>
      </c>
      <c r="AA577" s="9">
        <f t="shared" si="108"/>
        <v>2400</v>
      </c>
      <c r="AB577" s="10">
        <v>2400</v>
      </c>
      <c r="AC577" s="11">
        <f t="shared" si="110"/>
        <v>141125.68799999999</v>
      </c>
      <c r="AD577" s="12">
        <f t="shared" si="109"/>
        <v>2400</v>
      </c>
      <c r="AE577" s="13">
        <f t="shared" si="112"/>
        <v>0</v>
      </c>
    </row>
    <row r="578" spans="1:31">
      <c r="A578" s="6">
        <v>20</v>
      </c>
      <c r="B578" s="6">
        <f t="shared" si="111"/>
        <v>3</v>
      </c>
      <c r="C578" s="6" t="str">
        <f t="shared" ref="C578:C641" si="113">E578&amp;G578&amp;L578&amp;M578&amp;P578</f>
        <v>655818900BACTUATOR VIBRATION MOTOR ASSY WITH BRACKET BC3 CU6778902452814800</v>
      </c>
      <c r="D578" s="6" t="s">
        <v>326</v>
      </c>
      <c r="E578" s="6" t="s">
        <v>156</v>
      </c>
      <c r="F578" s="6"/>
      <c r="G578" s="7" t="s">
        <v>133</v>
      </c>
      <c r="H578" s="7"/>
      <c r="I578" s="7"/>
      <c r="J578" s="7"/>
      <c r="K578" s="7"/>
      <c r="L578" s="7">
        <v>6778902</v>
      </c>
      <c r="M578" s="22">
        <v>45281</v>
      </c>
      <c r="N578" s="8"/>
      <c r="O578" s="8"/>
      <c r="P578" s="7">
        <v>4800</v>
      </c>
      <c r="Q578" s="7">
        <v>1602865.51</v>
      </c>
      <c r="R578" s="7"/>
      <c r="S578" s="7">
        <v>10</v>
      </c>
      <c r="T578" s="7"/>
      <c r="U578" s="7"/>
      <c r="V578" s="6">
        <f t="shared" ref="V578:V641" si="114">Q578*S578%</f>
        <v>160286.55100000001</v>
      </c>
      <c r="W578" s="6">
        <f t="shared" ref="W578:W641" si="115">V578*0.1</f>
        <v>16028.655100000002</v>
      </c>
      <c r="X578" s="6">
        <f t="shared" ref="X578:X641" si="116">V578+W578</f>
        <v>176315.20610000001</v>
      </c>
      <c r="Y578" s="6">
        <f t="shared" ref="Y578:Y641" si="117">X578/P578</f>
        <v>36.732334604166667</v>
      </c>
      <c r="Z578" s="6">
        <f t="shared" ref="Z578:Z641" si="118">Q578/P578</f>
        <v>333.93031458333331</v>
      </c>
      <c r="AA578" s="9">
        <f t="shared" ref="AA578:AA641" si="119">P578</f>
        <v>4800</v>
      </c>
      <c r="AB578" s="10">
        <v>961</v>
      </c>
      <c r="AC578" s="11">
        <f t="shared" si="110"/>
        <v>35299.773554604166</v>
      </c>
      <c r="AD578" s="12">
        <f t="shared" ref="AD578:AD641" si="120">SUMIF($C$2:$C$2284,C578,$AB$2:$AB$2284)</f>
        <v>4632</v>
      </c>
      <c r="AE578" s="13">
        <f t="shared" si="112"/>
        <v>168</v>
      </c>
    </row>
    <row r="579" spans="1:31">
      <c r="A579" s="6">
        <v>20</v>
      </c>
      <c r="B579" s="6">
        <f t="shared" si="111"/>
        <v>4</v>
      </c>
      <c r="C579" s="6" t="str">
        <f t="shared" si="113"/>
        <v>651015100AARMATURE, MONOBLOCK, ASW4, HYUNDAI BC37263786445891134</v>
      </c>
      <c r="D579" s="6" t="s">
        <v>326</v>
      </c>
      <c r="E579" s="6" t="s">
        <v>158</v>
      </c>
      <c r="F579" s="6"/>
      <c r="G579" s="7" t="s">
        <v>135</v>
      </c>
      <c r="H579" s="7"/>
      <c r="I579" s="7"/>
      <c r="J579" s="7"/>
      <c r="K579" s="7"/>
      <c r="L579" s="7">
        <v>7263786</v>
      </c>
      <c r="M579" s="22">
        <v>44589</v>
      </c>
      <c r="N579" s="8"/>
      <c r="O579" s="8"/>
      <c r="P579" s="7">
        <v>1134</v>
      </c>
      <c r="Q579" s="7">
        <v>573606</v>
      </c>
      <c r="R579" s="7"/>
      <c r="S579" s="7">
        <v>15</v>
      </c>
      <c r="T579" s="7"/>
      <c r="U579" s="7"/>
      <c r="V579" s="6">
        <f t="shared" si="114"/>
        <v>86040.9</v>
      </c>
      <c r="W579" s="6">
        <f t="shared" si="115"/>
        <v>8604.09</v>
      </c>
      <c r="X579" s="6">
        <f t="shared" si="116"/>
        <v>94644.989999999991</v>
      </c>
      <c r="Y579" s="6">
        <f t="shared" si="117"/>
        <v>83.461190476190467</v>
      </c>
      <c r="Z579" s="6">
        <f t="shared" si="118"/>
        <v>505.82539682539681</v>
      </c>
      <c r="AA579" s="9">
        <f t="shared" si="119"/>
        <v>1134</v>
      </c>
      <c r="AB579" s="10">
        <v>360</v>
      </c>
      <c r="AC579" s="11">
        <f t="shared" ref="AC579:AC642" si="121">AB579*Y579</f>
        <v>30046.028571428567</v>
      </c>
      <c r="AD579" s="12">
        <f t="shared" si="120"/>
        <v>1025</v>
      </c>
      <c r="AE579" s="13">
        <f t="shared" si="112"/>
        <v>109</v>
      </c>
    </row>
    <row r="580" spans="1:31">
      <c r="A580" s="6">
        <v>20</v>
      </c>
      <c r="B580" s="6">
        <f t="shared" si="111"/>
        <v>5</v>
      </c>
      <c r="C580" s="6" t="str">
        <f t="shared" si="113"/>
        <v>651166400CSPRING, COIL, UPPER 73271424515055000</v>
      </c>
      <c r="D580" s="6" t="s">
        <v>326</v>
      </c>
      <c r="E580" s="6" t="s">
        <v>170</v>
      </c>
      <c r="F580" s="6"/>
      <c r="G580" s="7" t="s">
        <v>148</v>
      </c>
      <c r="H580" s="7"/>
      <c r="I580" s="7"/>
      <c r="J580" s="7"/>
      <c r="K580" s="7"/>
      <c r="L580" s="7">
        <v>7327142</v>
      </c>
      <c r="M580" s="22">
        <v>45150</v>
      </c>
      <c r="N580" s="8"/>
      <c r="O580" s="8"/>
      <c r="P580" s="7">
        <v>55000</v>
      </c>
      <c r="Q580" s="7">
        <v>100568.15</v>
      </c>
      <c r="R580" s="7"/>
      <c r="S580" s="7">
        <v>15</v>
      </c>
      <c r="T580" s="7"/>
      <c r="U580" s="7"/>
      <c r="V580" s="6">
        <f t="shared" si="114"/>
        <v>15085.222499999998</v>
      </c>
      <c r="W580" s="6">
        <f t="shared" si="115"/>
        <v>1508.52225</v>
      </c>
      <c r="X580" s="6">
        <f t="shared" si="116"/>
        <v>16593.744749999998</v>
      </c>
      <c r="Y580" s="6">
        <f t="shared" si="117"/>
        <v>0.30170444999999996</v>
      </c>
      <c r="Z580" s="6">
        <f t="shared" si="118"/>
        <v>1.8285118181818181</v>
      </c>
      <c r="AA580" s="9">
        <f t="shared" si="119"/>
        <v>55000</v>
      </c>
      <c r="AB580" s="10">
        <v>1761</v>
      </c>
      <c r="AC580" s="11">
        <f t="shared" si="121"/>
        <v>531.30153644999996</v>
      </c>
      <c r="AD580" s="12">
        <f t="shared" si="120"/>
        <v>55000</v>
      </c>
      <c r="AE580" s="13">
        <f t="shared" si="112"/>
        <v>0</v>
      </c>
    </row>
    <row r="581" spans="1:31">
      <c r="A581" s="6">
        <v>20</v>
      </c>
      <c r="B581" s="6">
        <f t="shared" si="111"/>
        <v>6</v>
      </c>
      <c r="C581" s="6" t="str">
        <f t="shared" si="113"/>
        <v>651166400CSPRING, COIL, UPPER 96737754476445000</v>
      </c>
      <c r="D581" s="6" t="s">
        <v>326</v>
      </c>
      <c r="E581" s="6" t="s">
        <v>170</v>
      </c>
      <c r="F581" s="6"/>
      <c r="G581" s="7" t="s">
        <v>148</v>
      </c>
      <c r="H581" s="7"/>
      <c r="I581" s="7"/>
      <c r="J581" s="7"/>
      <c r="K581" s="7"/>
      <c r="L581" s="7">
        <v>9673775</v>
      </c>
      <c r="M581" s="22">
        <v>44764</v>
      </c>
      <c r="N581" s="8"/>
      <c r="O581" s="8"/>
      <c r="P581" s="7">
        <v>45000</v>
      </c>
      <c r="Q581" s="7">
        <v>66305.789999999994</v>
      </c>
      <c r="R581" s="7"/>
      <c r="S581" s="7">
        <v>15</v>
      </c>
      <c r="T581" s="7"/>
      <c r="U581" s="7"/>
      <c r="V581" s="6">
        <f t="shared" si="114"/>
        <v>9945.8684999999987</v>
      </c>
      <c r="W581" s="6">
        <f t="shared" si="115"/>
        <v>994.58684999999991</v>
      </c>
      <c r="X581" s="6">
        <f t="shared" si="116"/>
        <v>10940.455349999998</v>
      </c>
      <c r="Y581" s="6">
        <f t="shared" si="117"/>
        <v>0.24312122999999997</v>
      </c>
      <c r="Z581" s="6">
        <f t="shared" si="118"/>
        <v>1.4734619999999998</v>
      </c>
      <c r="AA581" s="9">
        <f t="shared" si="119"/>
        <v>45000</v>
      </c>
      <c r="AB581" s="10">
        <v>1240</v>
      </c>
      <c r="AC581" s="11">
        <f t="shared" si="121"/>
        <v>301.47032519999993</v>
      </c>
      <c r="AD581" s="12">
        <f t="shared" si="120"/>
        <v>45000</v>
      </c>
      <c r="AE581" s="13">
        <f t="shared" si="112"/>
        <v>0</v>
      </c>
    </row>
    <row r="582" spans="1:31">
      <c r="A582" s="6">
        <v>20</v>
      </c>
      <c r="B582" s="6">
        <f t="shared" si="111"/>
        <v>7</v>
      </c>
      <c r="C582" s="6" t="str">
        <f t="shared" si="113"/>
        <v>651166400CSPRING, COIL, UPPER 97724674527845000</v>
      </c>
      <c r="D582" s="6" t="s">
        <v>326</v>
      </c>
      <c r="E582" s="6" t="s">
        <v>170</v>
      </c>
      <c r="F582" s="6"/>
      <c r="G582" s="7" t="s">
        <v>148</v>
      </c>
      <c r="H582" s="7"/>
      <c r="I582" s="7"/>
      <c r="J582" s="7"/>
      <c r="K582" s="7"/>
      <c r="L582" s="7">
        <v>9772467</v>
      </c>
      <c r="M582" s="22">
        <v>45278</v>
      </c>
      <c r="N582" s="8"/>
      <c r="O582" s="8"/>
      <c r="P582" s="7">
        <v>45000</v>
      </c>
      <c r="Q582" s="7">
        <v>81521.94</v>
      </c>
      <c r="R582" s="7"/>
      <c r="S582" s="7">
        <v>15</v>
      </c>
      <c r="T582" s="7"/>
      <c r="U582" s="7"/>
      <c r="V582" s="6">
        <f t="shared" si="114"/>
        <v>12228.290999999999</v>
      </c>
      <c r="W582" s="6">
        <f t="shared" si="115"/>
        <v>1222.8290999999999</v>
      </c>
      <c r="X582" s="6">
        <f t="shared" si="116"/>
        <v>13451.1201</v>
      </c>
      <c r="Y582" s="6">
        <f t="shared" si="117"/>
        <v>0.29891378000000002</v>
      </c>
      <c r="Z582" s="6">
        <f t="shared" si="118"/>
        <v>1.8115986666666668</v>
      </c>
      <c r="AA582" s="9">
        <f t="shared" si="119"/>
        <v>45000</v>
      </c>
      <c r="AB582" s="10">
        <v>1740</v>
      </c>
      <c r="AC582" s="11">
        <f t="shared" si="121"/>
        <v>520.1099772</v>
      </c>
      <c r="AD582" s="12">
        <f t="shared" si="120"/>
        <v>45000</v>
      </c>
      <c r="AE582" s="13">
        <f t="shared" si="112"/>
        <v>0</v>
      </c>
    </row>
    <row r="583" spans="1:31">
      <c r="A583" s="6">
        <v>20</v>
      </c>
      <c r="B583" s="6">
        <f t="shared" si="111"/>
        <v>8</v>
      </c>
      <c r="C583" s="6" t="str">
        <f t="shared" si="113"/>
        <v>651166400CSPRING, COIL, UPPER 78703654518520000</v>
      </c>
      <c r="D583" s="6" t="s">
        <v>326</v>
      </c>
      <c r="E583" s="6" t="s">
        <v>170</v>
      </c>
      <c r="F583" s="6"/>
      <c r="G583" s="7" t="s">
        <v>148</v>
      </c>
      <c r="H583" s="7"/>
      <c r="I583" s="7"/>
      <c r="J583" s="7"/>
      <c r="K583" s="7"/>
      <c r="L583" s="7">
        <v>7870365</v>
      </c>
      <c r="M583" s="22">
        <v>45185</v>
      </c>
      <c r="N583" s="8"/>
      <c r="O583" s="8"/>
      <c r="P583" s="7">
        <v>20000</v>
      </c>
      <c r="Q583" s="7">
        <v>35926.910000000003</v>
      </c>
      <c r="R583" s="7"/>
      <c r="S583" s="7">
        <v>15</v>
      </c>
      <c r="T583" s="7"/>
      <c r="U583" s="7"/>
      <c r="V583" s="6">
        <f t="shared" si="114"/>
        <v>5389.0365000000002</v>
      </c>
      <c r="W583" s="6">
        <f t="shared" si="115"/>
        <v>538.90365000000008</v>
      </c>
      <c r="X583" s="6">
        <f t="shared" si="116"/>
        <v>5927.9401500000004</v>
      </c>
      <c r="Y583" s="6">
        <f t="shared" si="117"/>
        <v>0.29639700750000003</v>
      </c>
      <c r="Z583" s="6">
        <f t="shared" si="118"/>
        <v>1.7963455000000002</v>
      </c>
      <c r="AA583" s="9">
        <f t="shared" si="119"/>
        <v>20000</v>
      </c>
      <c r="AB583" s="10">
        <v>6422</v>
      </c>
      <c r="AC583" s="11">
        <f t="shared" si="121"/>
        <v>1903.4615821650002</v>
      </c>
      <c r="AD583" s="12">
        <f t="shared" si="120"/>
        <v>20000</v>
      </c>
      <c r="AE583" s="13">
        <f t="shared" si="112"/>
        <v>0</v>
      </c>
    </row>
    <row r="584" spans="1:31">
      <c r="A584" s="6">
        <v>20</v>
      </c>
      <c r="B584" s="6">
        <f t="shared" si="111"/>
        <v>9</v>
      </c>
      <c r="C584" s="6" t="str">
        <f t="shared" si="113"/>
        <v>608225700ASCREW,STD METRIIC HEXALOBULAR  M5 T25 12MM35476634543035000</v>
      </c>
      <c r="D584" s="6" t="s">
        <v>326</v>
      </c>
      <c r="E584" s="6" t="s">
        <v>169</v>
      </c>
      <c r="F584" s="6"/>
      <c r="G584" s="7" t="s">
        <v>147</v>
      </c>
      <c r="H584" s="7"/>
      <c r="I584" s="7"/>
      <c r="J584" s="7"/>
      <c r="K584" s="7"/>
      <c r="L584" s="7">
        <v>3547663</v>
      </c>
      <c r="M584" s="22">
        <v>45430</v>
      </c>
      <c r="N584" s="8"/>
      <c r="O584" s="8"/>
      <c r="P584" s="7">
        <v>35000</v>
      </c>
      <c r="Q584" s="7">
        <v>109744.19</v>
      </c>
      <c r="R584" s="7"/>
      <c r="S584" s="7">
        <v>15</v>
      </c>
      <c r="T584" s="7"/>
      <c r="U584" s="7"/>
      <c r="V584" s="6">
        <f t="shared" si="114"/>
        <v>16461.628499999999</v>
      </c>
      <c r="W584" s="6">
        <f t="shared" si="115"/>
        <v>1646.1628499999999</v>
      </c>
      <c r="X584" s="6">
        <f t="shared" si="116"/>
        <v>18107.79135</v>
      </c>
      <c r="Y584" s="6">
        <f t="shared" si="117"/>
        <v>0.51736546714285714</v>
      </c>
      <c r="Z584" s="6">
        <f t="shared" si="118"/>
        <v>3.1355482857142856</v>
      </c>
      <c r="AA584" s="9">
        <f t="shared" si="119"/>
        <v>35000</v>
      </c>
      <c r="AB584" s="10">
        <v>6722</v>
      </c>
      <c r="AC584" s="11">
        <f t="shared" si="121"/>
        <v>3477.7306701342859</v>
      </c>
      <c r="AD584" s="12">
        <f t="shared" si="120"/>
        <v>35000</v>
      </c>
      <c r="AE584" s="13">
        <f t="shared" si="112"/>
        <v>0</v>
      </c>
    </row>
    <row r="585" spans="1:31">
      <c r="A585" s="6">
        <v>20</v>
      </c>
      <c r="B585" s="6">
        <f t="shared" si="111"/>
        <v>10</v>
      </c>
      <c r="C585" s="6" t="str">
        <f t="shared" si="113"/>
        <v>651409900ASCREW, STD METRIC M6 HEXALOBULAR INTERNAL, T499777444478530000</v>
      </c>
      <c r="D585" s="6" t="s">
        <v>326</v>
      </c>
      <c r="E585" s="6" t="s">
        <v>168</v>
      </c>
      <c r="F585" s="6"/>
      <c r="G585" s="7" t="s">
        <v>146</v>
      </c>
      <c r="H585" s="7"/>
      <c r="I585" s="7"/>
      <c r="J585" s="7"/>
      <c r="K585" s="7"/>
      <c r="L585" s="7">
        <v>9977744</v>
      </c>
      <c r="M585" s="22">
        <v>44785</v>
      </c>
      <c r="N585" s="8"/>
      <c r="O585" s="8"/>
      <c r="P585" s="7">
        <v>30000</v>
      </c>
      <c r="Q585" s="7">
        <v>99837.24</v>
      </c>
      <c r="R585" s="7"/>
      <c r="S585" s="7">
        <v>15</v>
      </c>
      <c r="T585" s="7"/>
      <c r="U585" s="7"/>
      <c r="V585" s="6">
        <f t="shared" si="114"/>
        <v>14975.585999999999</v>
      </c>
      <c r="W585" s="6">
        <f t="shared" si="115"/>
        <v>1497.5586000000001</v>
      </c>
      <c r="X585" s="6">
        <f t="shared" si="116"/>
        <v>16473.1446</v>
      </c>
      <c r="Y585" s="6">
        <f t="shared" si="117"/>
        <v>0.54910481999999994</v>
      </c>
      <c r="Z585" s="6">
        <f t="shared" si="118"/>
        <v>3.3279080000000003</v>
      </c>
      <c r="AA585" s="9">
        <f t="shared" si="119"/>
        <v>30000</v>
      </c>
      <c r="AB585" s="10">
        <v>3586</v>
      </c>
      <c r="AC585" s="11">
        <f t="shared" si="121"/>
        <v>1969.0898845199997</v>
      </c>
      <c r="AD585" s="12">
        <f t="shared" si="120"/>
        <v>28166</v>
      </c>
      <c r="AE585" s="13">
        <f t="shared" si="112"/>
        <v>1834</v>
      </c>
    </row>
    <row r="586" spans="1:31">
      <c r="A586" s="6">
        <v>20</v>
      </c>
      <c r="B586" s="6">
        <f t="shared" si="111"/>
        <v>11</v>
      </c>
      <c r="C586" s="6" t="str">
        <f t="shared" si="113"/>
        <v>651409900ASCREW, STD METRIC M6 HEXALOBULAR INTERNAL, T492818664527830000</v>
      </c>
      <c r="D586" s="6" t="s">
        <v>326</v>
      </c>
      <c r="E586" s="6" t="s">
        <v>168</v>
      </c>
      <c r="F586" s="6"/>
      <c r="G586" s="7" t="s">
        <v>146</v>
      </c>
      <c r="H586" s="7"/>
      <c r="I586" s="7"/>
      <c r="J586" s="7"/>
      <c r="K586" s="7"/>
      <c r="L586" s="7">
        <v>9281866</v>
      </c>
      <c r="M586" s="22">
        <v>45278</v>
      </c>
      <c r="N586" s="8"/>
      <c r="O586" s="8"/>
      <c r="P586" s="7">
        <v>30000</v>
      </c>
      <c r="Q586" s="7">
        <v>99670.29</v>
      </c>
      <c r="R586" s="7"/>
      <c r="S586" s="7">
        <v>15</v>
      </c>
      <c r="T586" s="7"/>
      <c r="U586" s="7"/>
      <c r="V586" s="6">
        <f t="shared" si="114"/>
        <v>14950.543499999998</v>
      </c>
      <c r="W586" s="6">
        <f t="shared" si="115"/>
        <v>1495.0543499999999</v>
      </c>
      <c r="X586" s="6">
        <f t="shared" si="116"/>
        <v>16445.597849999998</v>
      </c>
      <c r="Y586" s="6">
        <f t="shared" si="117"/>
        <v>0.54818659499999989</v>
      </c>
      <c r="Z586" s="6">
        <f t="shared" si="118"/>
        <v>3.3223429999999996</v>
      </c>
      <c r="AA586" s="9">
        <f t="shared" si="119"/>
        <v>30000</v>
      </c>
      <c r="AB586" s="10">
        <v>3856</v>
      </c>
      <c r="AC586" s="11">
        <f t="shared" si="121"/>
        <v>2113.8075103199994</v>
      </c>
      <c r="AD586" s="12">
        <f t="shared" si="120"/>
        <v>30000</v>
      </c>
      <c r="AE586" s="13">
        <f t="shared" si="112"/>
        <v>0</v>
      </c>
    </row>
    <row r="587" spans="1:31">
      <c r="A587" s="6">
        <v>20</v>
      </c>
      <c r="B587" s="6">
        <f t="shared" si="111"/>
        <v>12</v>
      </c>
      <c r="C587" s="6" t="str">
        <f t="shared" si="113"/>
        <v>628408700ASCREW, STANDARD, METRIC, M5, HEXALOBULAR INTERNAL95252474529545000</v>
      </c>
      <c r="D587" s="6" t="s">
        <v>326</v>
      </c>
      <c r="E587" s="6" t="s">
        <v>167</v>
      </c>
      <c r="F587" s="6"/>
      <c r="G587" s="7" t="s">
        <v>145</v>
      </c>
      <c r="H587" s="7"/>
      <c r="I587" s="7"/>
      <c r="J587" s="7"/>
      <c r="K587" s="7"/>
      <c r="L587" s="7">
        <v>9525247</v>
      </c>
      <c r="M587" s="22">
        <v>45295</v>
      </c>
      <c r="N587" s="8" t="s">
        <v>190</v>
      </c>
      <c r="O587" s="8" t="s">
        <v>333</v>
      </c>
      <c r="P587" s="7">
        <v>45000</v>
      </c>
      <c r="Q587" s="7">
        <v>229052.28</v>
      </c>
      <c r="R587" s="7">
        <v>87089400</v>
      </c>
      <c r="S587" s="7">
        <v>15</v>
      </c>
      <c r="T587" s="7" t="s">
        <v>367</v>
      </c>
      <c r="U587" s="7" t="s">
        <v>178</v>
      </c>
      <c r="V587" s="6">
        <f t="shared" si="114"/>
        <v>34357.841999999997</v>
      </c>
      <c r="W587" s="6">
        <f t="shared" si="115"/>
        <v>3435.7842000000001</v>
      </c>
      <c r="X587" s="6">
        <f t="shared" si="116"/>
        <v>37793.626199999999</v>
      </c>
      <c r="Y587" s="6">
        <f t="shared" si="117"/>
        <v>0.83985836000000003</v>
      </c>
      <c r="Z587" s="6">
        <f t="shared" si="118"/>
        <v>5.0900506666666665</v>
      </c>
      <c r="AA587" s="9">
        <f t="shared" si="119"/>
        <v>45000</v>
      </c>
      <c r="AB587" s="10">
        <v>11163</v>
      </c>
      <c r="AC587" s="11">
        <f t="shared" si="121"/>
        <v>9375.3388726800003</v>
      </c>
      <c r="AD587" s="12">
        <f t="shared" si="120"/>
        <v>45000</v>
      </c>
      <c r="AE587" s="13">
        <f t="shared" si="112"/>
        <v>0</v>
      </c>
    </row>
    <row r="588" spans="1:31">
      <c r="A588" s="6">
        <v>20</v>
      </c>
      <c r="B588" s="6">
        <f t="shared" si="111"/>
        <v>13</v>
      </c>
      <c r="C588" s="6" t="str">
        <f t="shared" si="113"/>
        <v>644345600ASCREW, SELF-TAPPING, PLA PLASTIC, 3.0, CROSS90853734472590000</v>
      </c>
      <c r="D588" s="6" t="s">
        <v>326</v>
      </c>
      <c r="E588" s="6" t="s">
        <v>166</v>
      </c>
      <c r="F588" s="6"/>
      <c r="G588" s="7" t="s">
        <v>144</v>
      </c>
      <c r="H588" s="7"/>
      <c r="I588" s="7"/>
      <c r="J588" s="7"/>
      <c r="K588" s="7"/>
      <c r="L588" s="7">
        <v>9085373</v>
      </c>
      <c r="M588" s="22">
        <v>44725</v>
      </c>
      <c r="N588" s="8"/>
      <c r="O588" s="8"/>
      <c r="P588" s="7">
        <v>90000</v>
      </c>
      <c r="Q588" s="7">
        <v>68392.240000000005</v>
      </c>
      <c r="R588" s="7"/>
      <c r="S588" s="7">
        <v>15</v>
      </c>
      <c r="T588" s="7"/>
      <c r="U588" s="7"/>
      <c r="V588" s="6">
        <f t="shared" si="114"/>
        <v>10258.836000000001</v>
      </c>
      <c r="W588" s="6">
        <f t="shared" si="115"/>
        <v>1025.8836000000001</v>
      </c>
      <c r="X588" s="6">
        <f t="shared" si="116"/>
        <v>11284.7196</v>
      </c>
      <c r="Y588" s="6">
        <f t="shared" si="117"/>
        <v>0.12538577333333334</v>
      </c>
      <c r="Z588" s="6">
        <f t="shared" si="118"/>
        <v>0.7599137777777778</v>
      </c>
      <c r="AA588" s="9">
        <f t="shared" si="119"/>
        <v>90000</v>
      </c>
      <c r="AB588" s="10">
        <v>7442</v>
      </c>
      <c r="AC588" s="11">
        <f t="shared" si="121"/>
        <v>933.12092514666676</v>
      </c>
      <c r="AD588" s="12">
        <f t="shared" si="120"/>
        <v>89034</v>
      </c>
      <c r="AE588" s="13">
        <f t="shared" si="112"/>
        <v>966</v>
      </c>
    </row>
    <row r="589" spans="1:31">
      <c r="A589" s="6">
        <v>20</v>
      </c>
      <c r="B589" s="6">
        <f t="shared" si="111"/>
        <v>14</v>
      </c>
      <c r="C589" s="6" t="str">
        <f t="shared" si="113"/>
        <v>639590100BSCREW SELF TAPPING INTERNAL T15, 15.01029545325120000</v>
      </c>
      <c r="D589" s="6" t="s">
        <v>326</v>
      </c>
      <c r="E589" s="6" t="s">
        <v>165</v>
      </c>
      <c r="F589" s="6"/>
      <c r="G589" s="7" t="s">
        <v>143</v>
      </c>
      <c r="H589" s="7"/>
      <c r="I589" s="7"/>
      <c r="J589" s="7"/>
      <c r="K589" s="7"/>
      <c r="L589" s="7">
        <v>10295</v>
      </c>
      <c r="M589" s="22">
        <v>45325</v>
      </c>
      <c r="N589" s="8" t="s">
        <v>180</v>
      </c>
      <c r="O589" s="19" t="s">
        <v>332</v>
      </c>
      <c r="P589" s="7">
        <v>120000</v>
      </c>
      <c r="Q589" s="7">
        <v>157172.87</v>
      </c>
      <c r="R589" s="7">
        <v>73181500</v>
      </c>
      <c r="S589" s="7">
        <v>15</v>
      </c>
      <c r="T589" s="24" t="s">
        <v>291</v>
      </c>
      <c r="U589" s="24" t="s">
        <v>178</v>
      </c>
      <c r="V589" s="6">
        <f t="shared" si="114"/>
        <v>23575.930499999999</v>
      </c>
      <c r="W589" s="6">
        <f t="shared" si="115"/>
        <v>2357.5930499999999</v>
      </c>
      <c r="X589" s="6">
        <f t="shared" si="116"/>
        <v>25933.523549999998</v>
      </c>
      <c r="Y589" s="6">
        <f t="shared" si="117"/>
        <v>0.21611269624999999</v>
      </c>
      <c r="Z589" s="6">
        <f t="shared" si="118"/>
        <v>1.3097739166666666</v>
      </c>
      <c r="AA589" s="9">
        <f t="shared" si="119"/>
        <v>120000</v>
      </c>
      <c r="AB589" s="10">
        <v>22796</v>
      </c>
      <c r="AC589" s="11">
        <f t="shared" si="121"/>
        <v>4926.5050237149999</v>
      </c>
      <c r="AD589" s="12">
        <f t="shared" si="120"/>
        <v>120000</v>
      </c>
      <c r="AE589" s="13">
        <f t="shared" si="112"/>
        <v>0</v>
      </c>
    </row>
    <row r="590" spans="1:31">
      <c r="A590" s="6">
        <v>20</v>
      </c>
      <c r="B590" s="6">
        <f t="shared" si="111"/>
        <v>15</v>
      </c>
      <c r="C590" s="6" t="str">
        <f t="shared" si="113"/>
        <v>652466500ALEATHER, HIDE TOP GRAIN, OBSIDIAN BLACK, NNB, BLA4153391449382144.6</v>
      </c>
      <c r="D590" s="6" t="s">
        <v>326</v>
      </c>
      <c r="E590" s="6" t="s">
        <v>163</v>
      </c>
      <c r="F590" s="6"/>
      <c r="G590" s="7" t="s">
        <v>141</v>
      </c>
      <c r="H590" s="7"/>
      <c r="I590" s="7"/>
      <c r="J590" s="7"/>
      <c r="K590" s="7"/>
      <c r="L590" s="7">
        <v>4153391</v>
      </c>
      <c r="M590" s="22">
        <v>44938</v>
      </c>
      <c r="N590" s="8"/>
      <c r="O590" s="8"/>
      <c r="P590" s="7">
        <v>2144.6</v>
      </c>
      <c r="Q590" s="7">
        <v>5171904</v>
      </c>
      <c r="R590" s="7"/>
      <c r="S590" s="7">
        <v>0</v>
      </c>
      <c r="T590" s="7"/>
      <c r="U590" s="7"/>
      <c r="V590" s="6">
        <f t="shared" si="114"/>
        <v>0</v>
      </c>
      <c r="W590" s="6">
        <f t="shared" si="115"/>
        <v>0</v>
      </c>
      <c r="X590" s="6">
        <f t="shared" si="116"/>
        <v>0</v>
      </c>
      <c r="Y590" s="6">
        <f t="shared" si="117"/>
        <v>0</v>
      </c>
      <c r="Z590" s="6">
        <f t="shared" si="118"/>
        <v>2411.5937704000748</v>
      </c>
      <c r="AA590" s="9">
        <f t="shared" si="119"/>
        <v>2144.6</v>
      </c>
      <c r="AB590" s="10">
        <v>597.62491399999999</v>
      </c>
      <c r="AC590" s="11">
        <f t="shared" si="121"/>
        <v>0</v>
      </c>
      <c r="AD590" s="12">
        <f t="shared" si="120"/>
        <v>2117.624914</v>
      </c>
      <c r="AE590" s="13">
        <f t="shared" si="112"/>
        <v>26.975085999999919</v>
      </c>
    </row>
    <row r="591" spans="1:31">
      <c r="A591" s="6">
        <v>20</v>
      </c>
      <c r="B591" s="6">
        <f t="shared" si="111"/>
        <v>16</v>
      </c>
      <c r="C591" s="6" t="str">
        <f t="shared" si="113"/>
        <v>652466500ALEATHER, HIDE TOP GRAIN, OBSIDIAN BLACK, NNB, BLA4153321449381567.04</v>
      </c>
      <c r="D591" s="6" t="s">
        <v>326</v>
      </c>
      <c r="E591" s="6" t="s">
        <v>163</v>
      </c>
      <c r="F591" s="6"/>
      <c r="G591" s="7" t="s">
        <v>141</v>
      </c>
      <c r="H591" s="7"/>
      <c r="I591" s="7"/>
      <c r="J591" s="7"/>
      <c r="K591" s="7"/>
      <c r="L591" s="7">
        <v>4153321</v>
      </c>
      <c r="M591" s="22">
        <v>44938</v>
      </c>
      <c r="N591" s="8"/>
      <c r="O591" s="8"/>
      <c r="P591" s="7">
        <v>1567.04</v>
      </c>
      <c r="Q591" s="7">
        <v>4229818.33</v>
      </c>
      <c r="R591" s="7"/>
      <c r="S591" s="7">
        <v>0</v>
      </c>
      <c r="T591" s="7"/>
      <c r="U591" s="7"/>
      <c r="V591" s="6">
        <f t="shared" si="114"/>
        <v>0</v>
      </c>
      <c r="W591" s="6">
        <f t="shared" si="115"/>
        <v>0</v>
      </c>
      <c r="X591" s="6">
        <f t="shared" si="116"/>
        <v>0</v>
      </c>
      <c r="Y591" s="6">
        <f t="shared" si="117"/>
        <v>0</v>
      </c>
      <c r="Z591" s="6">
        <f t="shared" si="118"/>
        <v>2699.2408170818871</v>
      </c>
      <c r="AA591" s="9">
        <f t="shared" si="119"/>
        <v>1567.04</v>
      </c>
      <c r="AB591" s="10">
        <v>339</v>
      </c>
      <c r="AC591" s="11">
        <f t="shared" si="121"/>
        <v>0</v>
      </c>
      <c r="AD591" s="12">
        <f t="shared" si="120"/>
        <v>1567</v>
      </c>
      <c r="AE591" s="13">
        <f t="shared" si="112"/>
        <v>3.999999999996362E-2</v>
      </c>
    </row>
    <row r="592" spans="1:31">
      <c r="A592" s="6">
        <v>20</v>
      </c>
      <c r="B592" s="6">
        <f t="shared" si="111"/>
        <v>17</v>
      </c>
      <c r="C592" s="6" t="str">
        <f t="shared" si="113"/>
        <v>630580800ALABEL, RAW MATERIAL, BLA K12 TPC BUCKLE5160585449362400000</v>
      </c>
      <c r="D592" s="6" t="s">
        <v>326</v>
      </c>
      <c r="E592" s="6" t="s">
        <v>71</v>
      </c>
      <c r="F592" s="6"/>
      <c r="G592" s="7" t="s">
        <v>31</v>
      </c>
      <c r="H592" s="7"/>
      <c r="I592" s="7"/>
      <c r="J592" s="7"/>
      <c r="K592" s="7"/>
      <c r="L592" s="7">
        <v>5160585</v>
      </c>
      <c r="M592" s="22">
        <v>44936</v>
      </c>
      <c r="N592" s="8" t="s">
        <v>196</v>
      </c>
      <c r="O592" s="8" t="s">
        <v>333</v>
      </c>
      <c r="P592" s="7">
        <v>2400000</v>
      </c>
      <c r="Q592" s="7">
        <v>86522.34</v>
      </c>
      <c r="R592" s="7">
        <v>87082900</v>
      </c>
      <c r="S592" s="7">
        <v>15</v>
      </c>
      <c r="T592" s="7" t="s">
        <v>265</v>
      </c>
      <c r="U592" s="7" t="s">
        <v>178</v>
      </c>
      <c r="V592" s="6">
        <f t="shared" si="114"/>
        <v>12978.350999999999</v>
      </c>
      <c r="W592" s="6">
        <f t="shared" si="115"/>
        <v>1297.8351</v>
      </c>
      <c r="X592" s="6">
        <f t="shared" si="116"/>
        <v>14276.186099999999</v>
      </c>
      <c r="Y592" s="6">
        <f t="shared" si="117"/>
        <v>5.9484108749999999E-3</v>
      </c>
      <c r="Z592" s="6">
        <f t="shared" si="118"/>
        <v>3.6050974999999999E-2</v>
      </c>
      <c r="AA592" s="9">
        <f t="shared" si="119"/>
        <v>2400000</v>
      </c>
      <c r="AB592" s="10">
        <v>3721</v>
      </c>
      <c r="AC592" s="11">
        <f t="shared" si="121"/>
        <v>22.134036865875</v>
      </c>
      <c r="AD592" s="12">
        <f t="shared" si="120"/>
        <v>548546</v>
      </c>
      <c r="AE592" s="13">
        <f t="shared" si="112"/>
        <v>1851454</v>
      </c>
    </row>
    <row r="593" spans="1:31">
      <c r="A593" s="6">
        <v>20</v>
      </c>
      <c r="B593" s="6">
        <f t="shared" si="111"/>
        <v>18</v>
      </c>
      <c r="C593" s="6" t="str">
        <f t="shared" si="113"/>
        <v>634240200AHORN CONTACT, CU 521662145010720000</v>
      </c>
      <c r="D593" s="6" t="s">
        <v>326</v>
      </c>
      <c r="E593" s="6" t="s">
        <v>160</v>
      </c>
      <c r="F593" s="6"/>
      <c r="G593" s="7" t="s">
        <v>138</v>
      </c>
      <c r="H593" s="7"/>
      <c r="I593" s="7"/>
      <c r="J593" s="7"/>
      <c r="K593" s="7"/>
      <c r="L593" s="7">
        <v>5216621</v>
      </c>
      <c r="M593" s="22">
        <v>45010</v>
      </c>
      <c r="N593" s="8" t="s">
        <v>189</v>
      </c>
      <c r="O593" s="8"/>
      <c r="P593" s="7">
        <v>720000</v>
      </c>
      <c r="Q593" s="7">
        <v>803516.76</v>
      </c>
      <c r="R593" s="7">
        <v>87089900</v>
      </c>
      <c r="S593" s="7">
        <v>15</v>
      </c>
      <c r="T593" s="7" t="s">
        <v>258</v>
      </c>
      <c r="U593" s="7" t="s">
        <v>178</v>
      </c>
      <c r="V593" s="6">
        <f t="shared" si="114"/>
        <v>120527.514</v>
      </c>
      <c r="W593" s="6">
        <f t="shared" si="115"/>
        <v>12052.751400000001</v>
      </c>
      <c r="X593" s="6">
        <f t="shared" si="116"/>
        <v>132580.2654</v>
      </c>
      <c r="Y593" s="6">
        <f t="shared" si="117"/>
        <v>0.18413925750000001</v>
      </c>
      <c r="Z593" s="6">
        <f t="shared" si="118"/>
        <v>1.1159954999999999</v>
      </c>
      <c r="AA593" s="9">
        <f t="shared" si="119"/>
        <v>720000</v>
      </c>
      <c r="AB593" s="10">
        <v>14884</v>
      </c>
      <c r="AC593" s="11">
        <f t="shared" si="121"/>
        <v>2740.7287086300003</v>
      </c>
      <c r="AD593" s="12">
        <f t="shared" si="120"/>
        <v>707364</v>
      </c>
      <c r="AE593" s="13">
        <f t="shared" si="112"/>
        <v>12636</v>
      </c>
    </row>
    <row r="594" spans="1:31">
      <c r="A594" s="6">
        <v>20</v>
      </c>
      <c r="B594" s="6">
        <f t="shared" si="111"/>
        <v>19</v>
      </c>
      <c r="C594" s="6" t="str">
        <f t="shared" si="113"/>
        <v>651015300BELEMENT, HEATER, HYBRID 9152258452692240</v>
      </c>
      <c r="D594" s="6" t="s">
        <v>326</v>
      </c>
      <c r="E594" s="6" t="s">
        <v>155</v>
      </c>
      <c r="F594" s="6"/>
      <c r="G594" s="7" t="s">
        <v>137</v>
      </c>
      <c r="H594" s="7"/>
      <c r="I594" s="7"/>
      <c r="J594" s="7"/>
      <c r="K594" s="7"/>
      <c r="L594" s="7">
        <v>9152258</v>
      </c>
      <c r="M594" s="22">
        <v>45269</v>
      </c>
      <c r="N594" s="8"/>
      <c r="O594" s="8"/>
      <c r="P594" s="7">
        <v>2240</v>
      </c>
      <c r="Q594" s="7">
        <v>1401744.82</v>
      </c>
      <c r="R594" s="7"/>
      <c r="S594" s="7">
        <v>15</v>
      </c>
      <c r="T594" s="7"/>
      <c r="U594" s="7"/>
      <c r="V594" s="6">
        <f t="shared" si="114"/>
        <v>210261.723</v>
      </c>
      <c r="W594" s="6">
        <f t="shared" si="115"/>
        <v>21026.172300000002</v>
      </c>
      <c r="X594" s="6">
        <f t="shared" si="116"/>
        <v>231287.8953</v>
      </c>
      <c r="Y594" s="6">
        <f t="shared" si="117"/>
        <v>103.2535246875</v>
      </c>
      <c r="Z594" s="6">
        <f t="shared" si="118"/>
        <v>625.77893749999998</v>
      </c>
      <c r="AA594" s="9">
        <f t="shared" si="119"/>
        <v>2240</v>
      </c>
      <c r="AB594" s="10">
        <v>872</v>
      </c>
      <c r="AC594" s="11">
        <f t="shared" si="121"/>
        <v>90037.073527500004</v>
      </c>
      <c r="AD594" s="12">
        <f t="shared" si="120"/>
        <v>1526</v>
      </c>
      <c r="AE594" s="13">
        <f t="shared" si="112"/>
        <v>714</v>
      </c>
    </row>
    <row r="595" spans="1:31">
      <c r="A595" s="6">
        <v>20</v>
      </c>
      <c r="B595" s="6">
        <f t="shared" si="111"/>
        <v>20</v>
      </c>
      <c r="C595" s="6" t="str">
        <f t="shared" si="113"/>
        <v>655931500AARMATURE, MONOBLOCK ASW4, HYUNDAI BC3-CUV2007229453284860</v>
      </c>
      <c r="D595" s="6" t="s">
        <v>326</v>
      </c>
      <c r="E595" s="6" t="s">
        <v>157</v>
      </c>
      <c r="F595" s="6"/>
      <c r="G595" s="7" t="s">
        <v>134</v>
      </c>
      <c r="H595" s="7"/>
      <c r="I595" s="7"/>
      <c r="J595" s="7"/>
      <c r="K595" s="7"/>
      <c r="L595" s="7">
        <v>2007229</v>
      </c>
      <c r="M595" s="22">
        <v>45328</v>
      </c>
      <c r="N595" s="8"/>
      <c r="O595" s="8"/>
      <c r="P595" s="7">
        <v>4860</v>
      </c>
      <c r="Q595" s="7">
        <v>2042646.03</v>
      </c>
      <c r="R595" s="7"/>
      <c r="S595" s="7">
        <v>15</v>
      </c>
      <c r="T595" s="7"/>
      <c r="U595" s="7"/>
      <c r="V595" s="6">
        <f t="shared" si="114"/>
        <v>306396.9045</v>
      </c>
      <c r="W595" s="6">
        <f t="shared" si="115"/>
        <v>30639.690450000002</v>
      </c>
      <c r="X595" s="6">
        <f t="shared" si="116"/>
        <v>337036.59495</v>
      </c>
      <c r="Y595" s="6">
        <f t="shared" si="117"/>
        <v>69.349093611111115</v>
      </c>
      <c r="Z595" s="6">
        <f t="shared" si="118"/>
        <v>420.29753703703705</v>
      </c>
      <c r="AA595" s="9">
        <f t="shared" si="119"/>
        <v>4860</v>
      </c>
      <c r="AB595" s="10">
        <v>121</v>
      </c>
      <c r="AC595" s="11">
        <f t="shared" si="121"/>
        <v>8391.2403269444458</v>
      </c>
      <c r="AD595" s="12">
        <f t="shared" si="120"/>
        <v>4860</v>
      </c>
      <c r="AE595" s="13">
        <f t="shared" si="112"/>
        <v>0</v>
      </c>
    </row>
    <row r="596" spans="1:31" ht="30">
      <c r="A596" s="6">
        <v>21</v>
      </c>
      <c r="B596" s="6">
        <v>1</v>
      </c>
      <c r="C596" s="6" t="str">
        <f t="shared" si="113"/>
        <v>655931500AARMATURE, MONOBLOCK ASW4, HYUNDAI BC3-CUV3641315454367452</v>
      </c>
      <c r="D596" s="6" t="s">
        <v>327</v>
      </c>
      <c r="E596" s="6" t="s">
        <v>157</v>
      </c>
      <c r="F596" s="6"/>
      <c r="G596" s="7" t="s">
        <v>134</v>
      </c>
      <c r="H596" s="7"/>
      <c r="I596" s="7"/>
      <c r="J596" s="7"/>
      <c r="K596" s="7"/>
      <c r="L596" s="7">
        <v>3641315</v>
      </c>
      <c r="M596" s="22">
        <v>45436</v>
      </c>
      <c r="N596" s="8" t="s">
        <v>185</v>
      </c>
      <c r="O596" s="8" t="s">
        <v>332</v>
      </c>
      <c r="P596" s="7">
        <v>7452</v>
      </c>
      <c r="Q596" s="7">
        <v>2990444</v>
      </c>
      <c r="R596" s="7">
        <v>87089400</v>
      </c>
      <c r="S596" s="7">
        <v>15</v>
      </c>
      <c r="T596" s="7" t="s">
        <v>194</v>
      </c>
      <c r="U596" s="7" t="s">
        <v>178</v>
      </c>
      <c r="V596" s="6">
        <f t="shared" si="114"/>
        <v>448566.6</v>
      </c>
      <c r="W596" s="6">
        <f t="shared" si="115"/>
        <v>44856.66</v>
      </c>
      <c r="X596" s="6">
        <f t="shared" si="116"/>
        <v>493423.26</v>
      </c>
      <c r="Y596" s="6">
        <f t="shared" si="117"/>
        <v>66.213534621578106</v>
      </c>
      <c r="Z596" s="6">
        <f t="shared" si="118"/>
        <v>401.29414922168547</v>
      </c>
      <c r="AA596" s="9">
        <f t="shared" si="119"/>
        <v>7452</v>
      </c>
      <c r="AB596" s="10">
        <v>6025</v>
      </c>
      <c r="AC596" s="11">
        <f t="shared" si="121"/>
        <v>398936.54609500809</v>
      </c>
      <c r="AD596" s="12">
        <f t="shared" si="120"/>
        <v>7452</v>
      </c>
      <c r="AE596" s="13">
        <f t="shared" si="112"/>
        <v>0</v>
      </c>
    </row>
    <row r="597" spans="1:31">
      <c r="A597" s="6">
        <v>21</v>
      </c>
      <c r="B597" s="6">
        <f t="shared" si="111"/>
        <v>2</v>
      </c>
      <c r="C597" s="6" t="str">
        <f t="shared" si="113"/>
        <v>650557200GCUSHION, FOLDED, C AND S HONDA 2JX7084771451352160</v>
      </c>
      <c r="D597" s="6" t="s">
        <v>327</v>
      </c>
      <c r="E597" s="6" t="s">
        <v>159</v>
      </c>
      <c r="F597" s="6"/>
      <c r="G597" s="7" t="s">
        <v>136</v>
      </c>
      <c r="H597" s="7"/>
      <c r="I597" s="7"/>
      <c r="J597" s="7"/>
      <c r="K597" s="7"/>
      <c r="L597" s="7">
        <v>7084771</v>
      </c>
      <c r="M597" s="22">
        <v>45135</v>
      </c>
      <c r="N597" s="8"/>
      <c r="O597" s="8"/>
      <c r="P597" s="7">
        <v>2160</v>
      </c>
      <c r="Q597" s="7">
        <v>2639662.4</v>
      </c>
      <c r="R597" s="7"/>
      <c r="S597" s="7">
        <v>5</v>
      </c>
      <c r="T597" s="7"/>
      <c r="U597" s="7"/>
      <c r="V597" s="6">
        <f t="shared" si="114"/>
        <v>131983.12</v>
      </c>
      <c r="W597" s="6">
        <f t="shared" si="115"/>
        <v>13198.312</v>
      </c>
      <c r="X597" s="6">
        <f t="shared" si="116"/>
        <v>145181.432</v>
      </c>
      <c r="Y597" s="6">
        <f t="shared" si="117"/>
        <v>67.213625925925925</v>
      </c>
      <c r="Z597" s="6">
        <f t="shared" si="118"/>
        <v>1222.065925925926</v>
      </c>
      <c r="AA597" s="9">
        <f t="shared" si="119"/>
        <v>2160</v>
      </c>
      <c r="AB597" s="10">
        <v>960</v>
      </c>
      <c r="AC597" s="11">
        <f t="shared" si="121"/>
        <v>64525.080888888886</v>
      </c>
      <c r="AD597" s="12">
        <f t="shared" si="120"/>
        <v>2140</v>
      </c>
      <c r="AE597" s="13">
        <f t="shared" si="112"/>
        <v>20</v>
      </c>
    </row>
    <row r="598" spans="1:31">
      <c r="A598" s="6">
        <v>21</v>
      </c>
      <c r="B598" s="6">
        <f t="shared" si="111"/>
        <v>3</v>
      </c>
      <c r="C598" s="6" t="str">
        <f t="shared" si="113"/>
        <v>634240200AHORN CONTACT, CU 681124845118600000</v>
      </c>
      <c r="D598" s="6" t="s">
        <v>327</v>
      </c>
      <c r="E598" s="6" t="s">
        <v>160</v>
      </c>
      <c r="F598" s="6"/>
      <c r="G598" s="7" t="s">
        <v>138</v>
      </c>
      <c r="H598" s="7"/>
      <c r="I598" s="7"/>
      <c r="J598" s="7"/>
      <c r="K598" s="7"/>
      <c r="L598" s="7">
        <v>6811248</v>
      </c>
      <c r="M598" s="22">
        <v>45118</v>
      </c>
      <c r="N598" s="8" t="s">
        <v>189</v>
      </c>
      <c r="O598" s="8" t="s">
        <v>332</v>
      </c>
      <c r="P598" s="7">
        <v>600000</v>
      </c>
      <c r="Q598" s="7">
        <v>627311.64</v>
      </c>
      <c r="R598" s="7">
        <v>87089900</v>
      </c>
      <c r="S598" s="7">
        <v>15</v>
      </c>
      <c r="T598" s="7" t="s">
        <v>258</v>
      </c>
      <c r="U598" s="7" t="s">
        <v>178</v>
      </c>
      <c r="V598" s="6">
        <f t="shared" si="114"/>
        <v>94096.745999999999</v>
      </c>
      <c r="W598" s="6">
        <f t="shared" si="115"/>
        <v>9409.6746000000003</v>
      </c>
      <c r="X598" s="6">
        <f t="shared" si="116"/>
        <v>103506.4206</v>
      </c>
      <c r="Y598" s="6">
        <f t="shared" si="117"/>
        <v>0.17251070099999999</v>
      </c>
      <c r="Z598" s="6">
        <f t="shared" si="118"/>
        <v>1.0455194000000001</v>
      </c>
      <c r="AA598" s="9">
        <f t="shared" si="119"/>
        <v>600000</v>
      </c>
      <c r="AB598" s="10">
        <v>38400</v>
      </c>
      <c r="AC598" s="11">
        <f t="shared" si="121"/>
        <v>6624.4109183999999</v>
      </c>
      <c r="AD598" s="12">
        <f t="shared" si="120"/>
        <v>577364</v>
      </c>
      <c r="AE598" s="13">
        <f t="shared" si="112"/>
        <v>22636</v>
      </c>
    </row>
    <row r="599" spans="1:31">
      <c r="A599" s="6">
        <v>21</v>
      </c>
      <c r="B599" s="6">
        <f t="shared" si="111"/>
        <v>4</v>
      </c>
      <c r="C599" s="6" t="str">
        <f t="shared" si="113"/>
        <v>652466500ALEATHER, HIDE TOP GRAIN, OBSIDIAN BLACK, NNB, BLA351315745428534.7</v>
      </c>
      <c r="D599" s="6" t="s">
        <v>327</v>
      </c>
      <c r="E599" s="6" t="s">
        <v>163</v>
      </c>
      <c r="F599" s="6"/>
      <c r="G599" s="7" t="s">
        <v>141</v>
      </c>
      <c r="H599" s="7"/>
      <c r="I599" s="7"/>
      <c r="J599" s="7"/>
      <c r="K599" s="7"/>
      <c r="L599" s="7">
        <v>3513157</v>
      </c>
      <c r="M599" s="22">
        <v>45428</v>
      </c>
      <c r="N599" s="8"/>
      <c r="O599" s="8"/>
      <c r="P599" s="7">
        <v>534.70000000000005</v>
      </c>
      <c r="Q599" s="7">
        <v>1403461.94</v>
      </c>
      <c r="R599" s="7"/>
      <c r="S599" s="7">
        <v>10</v>
      </c>
      <c r="T599" s="7"/>
      <c r="U599" s="7"/>
      <c r="V599" s="6">
        <f t="shared" si="114"/>
        <v>140346.19399999999</v>
      </c>
      <c r="W599" s="6">
        <f t="shared" si="115"/>
        <v>14034.6194</v>
      </c>
      <c r="X599" s="6">
        <f t="shared" si="116"/>
        <v>154380.81339999998</v>
      </c>
      <c r="Y599" s="6">
        <f t="shared" si="117"/>
        <v>288.72416944080788</v>
      </c>
      <c r="Z599" s="6">
        <f t="shared" si="118"/>
        <v>2624.7651767346174</v>
      </c>
      <c r="AA599" s="9">
        <f t="shared" si="119"/>
        <v>534.70000000000005</v>
      </c>
      <c r="AB599" s="10">
        <v>534.70000000000005</v>
      </c>
      <c r="AC599" s="11">
        <f t="shared" si="121"/>
        <v>154380.81339999998</v>
      </c>
      <c r="AD599" s="12">
        <f t="shared" si="120"/>
        <v>534.70000000000005</v>
      </c>
      <c r="AE599" s="13">
        <f t="shared" si="112"/>
        <v>0</v>
      </c>
    </row>
    <row r="600" spans="1:31">
      <c r="A600" s="6">
        <v>21</v>
      </c>
      <c r="B600" s="6">
        <f t="shared" si="111"/>
        <v>5</v>
      </c>
      <c r="C600" s="6" t="str">
        <f t="shared" si="113"/>
        <v>652466500ALEATHER, HIDE TOP GRAIN, OBSIDIAN BLACK, NNB, BLA3568131454322589.17</v>
      </c>
      <c r="D600" s="6" t="s">
        <v>327</v>
      </c>
      <c r="E600" s="6" t="s">
        <v>163</v>
      </c>
      <c r="F600" s="6"/>
      <c r="G600" s="7" t="s">
        <v>141</v>
      </c>
      <c r="H600" s="7"/>
      <c r="I600" s="7"/>
      <c r="J600" s="7"/>
      <c r="K600" s="7"/>
      <c r="L600" s="7">
        <v>3568131</v>
      </c>
      <c r="M600" s="22">
        <v>45432</v>
      </c>
      <c r="N600" s="8"/>
      <c r="O600" s="8"/>
      <c r="P600" s="7">
        <v>2589.17</v>
      </c>
      <c r="Q600" s="7">
        <v>5821678</v>
      </c>
      <c r="R600" s="7"/>
      <c r="S600" s="7">
        <v>0</v>
      </c>
      <c r="T600" s="7"/>
      <c r="U600" s="7"/>
      <c r="V600" s="6">
        <f t="shared" si="114"/>
        <v>0</v>
      </c>
      <c r="W600" s="6">
        <f t="shared" si="115"/>
        <v>0</v>
      </c>
      <c r="X600" s="6">
        <f t="shared" si="116"/>
        <v>0</v>
      </c>
      <c r="Y600" s="6">
        <f t="shared" si="117"/>
        <v>0</v>
      </c>
      <c r="Z600" s="6">
        <f t="shared" si="118"/>
        <v>2248.4726765720288</v>
      </c>
      <c r="AA600" s="9">
        <f t="shared" si="119"/>
        <v>2589.17</v>
      </c>
      <c r="AB600" s="10">
        <v>1756</v>
      </c>
      <c r="AC600" s="11">
        <f t="shared" si="121"/>
        <v>0</v>
      </c>
      <c r="AD600" s="12">
        <f t="shared" si="120"/>
        <v>2589.17</v>
      </c>
      <c r="AE600" s="13">
        <f t="shared" si="112"/>
        <v>0</v>
      </c>
    </row>
    <row r="601" spans="1:31">
      <c r="A601" s="6">
        <v>21</v>
      </c>
      <c r="B601" s="6">
        <f t="shared" si="111"/>
        <v>6</v>
      </c>
      <c r="C601" s="6" t="str">
        <f t="shared" si="113"/>
        <v>639590100BSCREW SELF TAPPING INTERNAL T15, 15.01040745351120000</v>
      </c>
      <c r="D601" s="6" t="s">
        <v>327</v>
      </c>
      <c r="E601" s="6" t="s">
        <v>165</v>
      </c>
      <c r="F601" s="6"/>
      <c r="G601" s="7" t="s">
        <v>143</v>
      </c>
      <c r="H601" s="7"/>
      <c r="I601" s="7"/>
      <c r="J601" s="7"/>
      <c r="K601" s="7"/>
      <c r="L601" s="7">
        <v>10407</v>
      </c>
      <c r="M601" s="22">
        <v>45351</v>
      </c>
      <c r="N601" s="8"/>
      <c r="O601" s="8"/>
      <c r="P601" s="7">
        <v>120000</v>
      </c>
      <c r="Q601" s="7">
        <v>157076.74</v>
      </c>
      <c r="R601" s="7"/>
      <c r="S601" s="7">
        <v>15</v>
      </c>
      <c r="T601" s="7"/>
      <c r="U601" s="7"/>
      <c r="V601" s="6">
        <f t="shared" si="114"/>
        <v>23561.510999999999</v>
      </c>
      <c r="W601" s="6">
        <f t="shared" si="115"/>
        <v>2356.1511</v>
      </c>
      <c r="X601" s="6">
        <f t="shared" si="116"/>
        <v>25917.662099999998</v>
      </c>
      <c r="Y601" s="6">
        <f t="shared" si="117"/>
        <v>0.21598051749999997</v>
      </c>
      <c r="Z601" s="6">
        <f t="shared" si="118"/>
        <v>1.3089728333333333</v>
      </c>
      <c r="AA601" s="9">
        <f t="shared" si="119"/>
        <v>120000</v>
      </c>
      <c r="AB601" s="10">
        <v>53148</v>
      </c>
      <c r="AC601" s="11">
        <f t="shared" si="121"/>
        <v>11478.932544089997</v>
      </c>
      <c r="AD601" s="12">
        <f t="shared" si="120"/>
        <v>120000</v>
      </c>
      <c r="AE601" s="13">
        <f t="shared" si="112"/>
        <v>0</v>
      </c>
    </row>
    <row r="602" spans="1:31">
      <c r="A602" s="6">
        <v>21</v>
      </c>
      <c r="B602" s="6">
        <f t="shared" si="111"/>
        <v>7</v>
      </c>
      <c r="C602" s="6" t="str">
        <f t="shared" si="113"/>
        <v>651409900ASCREW, STD METRIC M6 HEXALOBULAR INTERNAL, T432015224540730000</v>
      </c>
      <c r="D602" s="6" t="s">
        <v>327</v>
      </c>
      <c r="E602" s="6" t="s">
        <v>168</v>
      </c>
      <c r="F602" s="6"/>
      <c r="G602" s="7" t="s">
        <v>146</v>
      </c>
      <c r="H602" s="7"/>
      <c r="I602" s="7"/>
      <c r="J602" s="7"/>
      <c r="K602" s="7"/>
      <c r="L602" s="7">
        <v>3201522</v>
      </c>
      <c r="M602" s="22">
        <v>45407</v>
      </c>
      <c r="N602" s="8"/>
      <c r="O602" s="8"/>
      <c r="P602" s="7">
        <v>30000</v>
      </c>
      <c r="Q602" s="7">
        <v>99525.2</v>
      </c>
      <c r="R602" s="7"/>
      <c r="S602" s="7">
        <v>15</v>
      </c>
      <c r="T602" s="7"/>
      <c r="U602" s="7"/>
      <c r="V602" s="6">
        <f t="shared" si="114"/>
        <v>14928.779999999999</v>
      </c>
      <c r="W602" s="6">
        <f t="shared" si="115"/>
        <v>1492.8779999999999</v>
      </c>
      <c r="X602" s="6">
        <f t="shared" si="116"/>
        <v>16421.657999999999</v>
      </c>
      <c r="Y602" s="6">
        <f t="shared" si="117"/>
        <v>0.5473886</v>
      </c>
      <c r="Z602" s="6">
        <f t="shared" si="118"/>
        <v>3.3175066666666666</v>
      </c>
      <c r="AA602" s="9">
        <f t="shared" si="119"/>
        <v>30000</v>
      </c>
      <c r="AB602" s="10">
        <v>19200</v>
      </c>
      <c r="AC602" s="11">
        <f t="shared" si="121"/>
        <v>10509.86112</v>
      </c>
      <c r="AD602" s="12">
        <f t="shared" si="120"/>
        <v>28036</v>
      </c>
      <c r="AE602" s="13">
        <f t="shared" si="112"/>
        <v>1964</v>
      </c>
    </row>
    <row r="603" spans="1:31">
      <c r="A603" s="6">
        <v>21</v>
      </c>
      <c r="B603" s="6">
        <f t="shared" si="111"/>
        <v>8</v>
      </c>
      <c r="C603" s="6" t="str">
        <f t="shared" si="113"/>
        <v>651166400CSPRING, COIL, UPPER 29724154485445000</v>
      </c>
      <c r="D603" s="6" t="s">
        <v>327</v>
      </c>
      <c r="E603" s="6" t="s">
        <v>170</v>
      </c>
      <c r="F603" s="6"/>
      <c r="G603" s="7" t="s">
        <v>148</v>
      </c>
      <c r="H603" s="7"/>
      <c r="I603" s="7"/>
      <c r="J603" s="7"/>
      <c r="K603" s="7"/>
      <c r="L603" s="7">
        <v>2972415</v>
      </c>
      <c r="M603" s="22">
        <v>44854</v>
      </c>
      <c r="N603" s="8"/>
      <c r="O603" s="8"/>
      <c r="P603" s="7">
        <v>45000</v>
      </c>
      <c r="Q603" s="7">
        <v>89946.95</v>
      </c>
      <c r="R603" s="7"/>
      <c r="S603" s="7">
        <v>15</v>
      </c>
      <c r="T603" s="7"/>
      <c r="U603" s="7"/>
      <c r="V603" s="6">
        <f t="shared" si="114"/>
        <v>13492.0425</v>
      </c>
      <c r="W603" s="6">
        <f t="shared" si="115"/>
        <v>1349.20425</v>
      </c>
      <c r="X603" s="6">
        <f t="shared" si="116"/>
        <v>14841.24675</v>
      </c>
      <c r="Y603" s="6">
        <f t="shared" si="117"/>
        <v>0.32980548333333332</v>
      </c>
      <c r="Z603" s="6">
        <f t="shared" si="118"/>
        <v>1.9988211111111109</v>
      </c>
      <c r="AA603" s="9">
        <f t="shared" si="119"/>
        <v>45000</v>
      </c>
      <c r="AB603" s="10">
        <v>28800</v>
      </c>
      <c r="AC603" s="11">
        <f t="shared" si="121"/>
        <v>9498.3979199999994</v>
      </c>
      <c r="AD603" s="12">
        <f t="shared" si="120"/>
        <v>43476</v>
      </c>
      <c r="AE603" s="13">
        <f t="shared" si="112"/>
        <v>1524</v>
      </c>
    </row>
    <row r="604" spans="1:31">
      <c r="A604" s="6">
        <v>21</v>
      </c>
      <c r="B604" s="6">
        <f t="shared" si="111"/>
        <v>9</v>
      </c>
      <c r="C604" s="6" t="str">
        <f t="shared" si="113"/>
        <v>651015100AARMATURE, MONOBLOCK, ASW4, HYUNDAI BC33353058448834860</v>
      </c>
      <c r="D604" s="6" t="s">
        <v>327</v>
      </c>
      <c r="E604" s="6" t="s">
        <v>158</v>
      </c>
      <c r="F604" s="6"/>
      <c r="G604" s="7" t="s">
        <v>135</v>
      </c>
      <c r="H604" s="7"/>
      <c r="I604" s="7"/>
      <c r="J604" s="7"/>
      <c r="K604" s="7"/>
      <c r="L604" s="7">
        <v>3353058</v>
      </c>
      <c r="M604" s="22">
        <v>44883</v>
      </c>
      <c r="N604" s="8"/>
      <c r="O604" s="8"/>
      <c r="P604" s="7">
        <v>4860</v>
      </c>
      <c r="Q604" s="7">
        <v>2360668.77</v>
      </c>
      <c r="R604" s="7"/>
      <c r="S604" s="7">
        <v>15</v>
      </c>
      <c r="T604" s="7"/>
      <c r="U604" s="7"/>
      <c r="V604" s="6">
        <f t="shared" si="114"/>
        <v>354100.31549999997</v>
      </c>
      <c r="W604" s="6">
        <f t="shared" si="115"/>
        <v>35410.03155</v>
      </c>
      <c r="X604" s="6">
        <f t="shared" si="116"/>
        <v>389510.34704999998</v>
      </c>
      <c r="Y604" s="6">
        <f t="shared" si="117"/>
        <v>80.146161944444444</v>
      </c>
      <c r="Z604" s="6">
        <f t="shared" si="118"/>
        <v>485.73431481481481</v>
      </c>
      <c r="AA604" s="9">
        <f t="shared" si="119"/>
        <v>4860</v>
      </c>
      <c r="AB604" s="10">
        <v>48</v>
      </c>
      <c r="AC604" s="11">
        <f t="shared" si="121"/>
        <v>3847.0157733333335</v>
      </c>
      <c r="AD604" s="12">
        <f t="shared" si="120"/>
        <v>4814</v>
      </c>
      <c r="AE604" s="13">
        <f t="shared" si="112"/>
        <v>46</v>
      </c>
    </row>
    <row r="605" spans="1:31">
      <c r="A605" s="6">
        <v>21</v>
      </c>
      <c r="B605" s="6">
        <f t="shared" si="111"/>
        <v>10</v>
      </c>
      <c r="C605" s="6" t="str">
        <f t="shared" si="113"/>
        <v>653052600AINFLATOR, APP-4.6, 2.2MO STANDARD_MIB, SQUARE_61X6505272450983456</v>
      </c>
      <c r="D605" s="6" t="s">
        <v>327</v>
      </c>
      <c r="E605" s="6" t="s">
        <v>161</v>
      </c>
      <c r="F605" s="6"/>
      <c r="G605" s="7" t="s">
        <v>139</v>
      </c>
      <c r="H605" s="7"/>
      <c r="I605" s="7"/>
      <c r="J605" s="7"/>
      <c r="K605" s="7"/>
      <c r="L605" s="7">
        <v>6505272</v>
      </c>
      <c r="M605" s="22">
        <v>45098</v>
      </c>
      <c r="N605" s="8" t="s">
        <v>184</v>
      </c>
      <c r="O605" s="8"/>
      <c r="P605" s="7">
        <v>3456</v>
      </c>
      <c r="Q605" s="7">
        <v>1818691.99</v>
      </c>
      <c r="R605" s="7">
        <v>87089500</v>
      </c>
      <c r="S605" s="7">
        <v>15</v>
      </c>
      <c r="T605" s="7" t="s">
        <v>277</v>
      </c>
      <c r="U605" s="7" t="s">
        <v>200</v>
      </c>
      <c r="V605" s="6">
        <f t="shared" si="114"/>
        <v>272803.79849999998</v>
      </c>
      <c r="W605" s="6">
        <f t="shared" si="115"/>
        <v>27280.379849999998</v>
      </c>
      <c r="X605" s="6">
        <f t="shared" si="116"/>
        <v>300084.17834999994</v>
      </c>
      <c r="Y605" s="6">
        <f t="shared" si="117"/>
        <v>86.829912717013869</v>
      </c>
      <c r="Z605" s="6">
        <f t="shared" si="118"/>
        <v>526.24189525462964</v>
      </c>
      <c r="AA605" s="9">
        <f t="shared" si="119"/>
        <v>3456</v>
      </c>
      <c r="AB605" s="10">
        <v>960</v>
      </c>
      <c r="AC605" s="11">
        <f t="shared" si="121"/>
        <v>83356.71620833331</v>
      </c>
      <c r="AD605" s="12">
        <f t="shared" si="120"/>
        <v>3360</v>
      </c>
      <c r="AE605" s="13">
        <f t="shared" si="112"/>
        <v>96</v>
      </c>
    </row>
    <row r="606" spans="1:31">
      <c r="A606" s="6">
        <v>21</v>
      </c>
      <c r="B606" s="6">
        <f t="shared" si="111"/>
        <v>11</v>
      </c>
      <c r="C606" s="6" t="str">
        <f t="shared" si="113"/>
        <v>651015300BELEMENT, HEATER, HYBRID 9610877453013500</v>
      </c>
      <c r="D606" s="6" t="s">
        <v>327</v>
      </c>
      <c r="E606" s="6" t="s">
        <v>155</v>
      </c>
      <c r="F606" s="6"/>
      <c r="G606" s="7" t="s">
        <v>137</v>
      </c>
      <c r="H606" s="7"/>
      <c r="I606" s="7"/>
      <c r="J606" s="7"/>
      <c r="K606" s="7"/>
      <c r="L606" s="7">
        <v>9610877</v>
      </c>
      <c r="M606" s="22">
        <v>45301</v>
      </c>
      <c r="N606" s="8"/>
      <c r="O606" s="8"/>
      <c r="P606" s="7">
        <v>3500</v>
      </c>
      <c r="Q606" s="7">
        <v>1931239.6</v>
      </c>
      <c r="R606" s="7"/>
      <c r="S606" s="7">
        <v>15</v>
      </c>
      <c r="T606" s="7"/>
      <c r="U606" s="7"/>
      <c r="V606" s="6">
        <f t="shared" si="114"/>
        <v>289685.94</v>
      </c>
      <c r="W606" s="6">
        <f t="shared" si="115"/>
        <v>28968.594000000001</v>
      </c>
      <c r="X606" s="6">
        <f t="shared" si="116"/>
        <v>318654.53399999999</v>
      </c>
      <c r="Y606" s="6">
        <f t="shared" si="117"/>
        <v>91.044152571428569</v>
      </c>
      <c r="Z606" s="6">
        <f t="shared" si="118"/>
        <v>551.78274285714292</v>
      </c>
      <c r="AA606" s="9">
        <f t="shared" si="119"/>
        <v>3500</v>
      </c>
      <c r="AB606" s="10">
        <v>2894</v>
      </c>
      <c r="AC606" s="11">
        <f t="shared" si="121"/>
        <v>263481.77754171425</v>
      </c>
      <c r="AD606" s="12">
        <f t="shared" si="120"/>
        <v>3500</v>
      </c>
      <c r="AE606" s="13">
        <f t="shared" si="112"/>
        <v>0</v>
      </c>
    </row>
    <row r="607" spans="1:31">
      <c r="A607" s="6">
        <v>21</v>
      </c>
      <c r="B607" s="6">
        <f t="shared" si="111"/>
        <v>12</v>
      </c>
      <c r="C607" s="6" t="str">
        <f t="shared" si="113"/>
        <v>630580800ALABEL, RAW MATERIAL, BLA K12 TPC BUCKLE5160585449362400000</v>
      </c>
      <c r="D607" s="6" t="s">
        <v>327</v>
      </c>
      <c r="E607" s="6" t="s">
        <v>71</v>
      </c>
      <c r="F607" s="6"/>
      <c r="G607" s="7" t="s">
        <v>31</v>
      </c>
      <c r="H607" s="7"/>
      <c r="I607" s="7"/>
      <c r="J607" s="7"/>
      <c r="K607" s="7"/>
      <c r="L607" s="7">
        <v>5160585</v>
      </c>
      <c r="M607" s="22">
        <v>44936</v>
      </c>
      <c r="N607" s="8" t="s">
        <v>196</v>
      </c>
      <c r="O607" s="8" t="s">
        <v>333</v>
      </c>
      <c r="P607" s="7">
        <v>2400000</v>
      </c>
      <c r="Q607" s="7">
        <v>86522.34</v>
      </c>
      <c r="R607" s="7">
        <v>87082900</v>
      </c>
      <c r="S607" s="7">
        <v>15</v>
      </c>
      <c r="T607" s="7" t="s">
        <v>265</v>
      </c>
      <c r="U607" s="7" t="s">
        <v>178</v>
      </c>
      <c r="V607" s="6">
        <f t="shared" si="114"/>
        <v>12978.350999999999</v>
      </c>
      <c r="W607" s="6">
        <f t="shared" si="115"/>
        <v>1297.8351</v>
      </c>
      <c r="X607" s="6">
        <f t="shared" si="116"/>
        <v>14276.186099999999</v>
      </c>
      <c r="Y607" s="6">
        <f t="shared" si="117"/>
        <v>5.9484108749999999E-3</v>
      </c>
      <c r="Z607" s="6">
        <f t="shared" si="118"/>
        <v>3.6050974999999999E-2</v>
      </c>
      <c r="AA607" s="9">
        <f t="shared" si="119"/>
        <v>2400000</v>
      </c>
      <c r="AB607" s="10">
        <v>9600</v>
      </c>
      <c r="AC607" s="11">
        <f t="shared" si="121"/>
        <v>57.104744400000001</v>
      </c>
      <c r="AD607" s="12">
        <f t="shared" si="120"/>
        <v>548546</v>
      </c>
      <c r="AE607" s="13">
        <f t="shared" si="112"/>
        <v>1851454</v>
      </c>
    </row>
    <row r="608" spans="1:31">
      <c r="A608" s="6">
        <v>21</v>
      </c>
      <c r="B608" s="6">
        <f t="shared" si="111"/>
        <v>13</v>
      </c>
      <c r="C608" s="6" t="str">
        <f t="shared" si="113"/>
        <v>608067201ANUT, ISO, M5 351094044894800000</v>
      </c>
      <c r="D608" s="6" t="s">
        <v>327</v>
      </c>
      <c r="E608" s="6" t="s">
        <v>164</v>
      </c>
      <c r="F608" s="6"/>
      <c r="G608" s="7" t="s">
        <v>142</v>
      </c>
      <c r="H608" s="7"/>
      <c r="I608" s="7"/>
      <c r="J608" s="7"/>
      <c r="K608" s="7"/>
      <c r="L608" s="7">
        <v>3510940</v>
      </c>
      <c r="M608" s="22">
        <v>44894</v>
      </c>
      <c r="N608" s="8" t="s">
        <v>189</v>
      </c>
      <c r="O608" s="8" t="s">
        <v>332</v>
      </c>
      <c r="P608" s="7">
        <v>800000</v>
      </c>
      <c r="Q608" s="7">
        <v>1498489.13</v>
      </c>
      <c r="R608" s="7">
        <v>87089500</v>
      </c>
      <c r="S608" s="7">
        <v>15</v>
      </c>
      <c r="T608" s="7" t="s">
        <v>183</v>
      </c>
      <c r="U608" s="7" t="s">
        <v>178</v>
      </c>
      <c r="V608" s="6">
        <f t="shared" si="114"/>
        <v>224773.36949999997</v>
      </c>
      <c r="W608" s="6">
        <f t="shared" si="115"/>
        <v>22477.336949999997</v>
      </c>
      <c r="X608" s="6">
        <f t="shared" si="116"/>
        <v>247250.70644999997</v>
      </c>
      <c r="Y608" s="6">
        <f t="shared" si="117"/>
        <v>0.30906338306249997</v>
      </c>
      <c r="Z608" s="6">
        <f t="shared" si="118"/>
        <v>1.8731114124999999</v>
      </c>
      <c r="AA608" s="9">
        <f t="shared" si="119"/>
        <v>800000</v>
      </c>
      <c r="AB608" s="10">
        <v>3840</v>
      </c>
      <c r="AC608" s="11">
        <f t="shared" si="121"/>
        <v>1186.8033909599999</v>
      </c>
      <c r="AD608" s="12">
        <f t="shared" si="120"/>
        <v>70960</v>
      </c>
      <c r="AE608" s="13">
        <f t="shared" si="112"/>
        <v>729040</v>
      </c>
    </row>
    <row r="609" spans="1:31">
      <c r="A609" s="6">
        <v>21</v>
      </c>
      <c r="B609" s="6">
        <f t="shared" si="111"/>
        <v>14</v>
      </c>
      <c r="C609" s="6" t="str">
        <f t="shared" si="113"/>
        <v>644345600ASCREW, SELF-TAPPING, PLA PLASTIC, 3.0, CROSS467246744973120000</v>
      </c>
      <c r="D609" s="6" t="s">
        <v>327</v>
      </c>
      <c r="E609" s="6" t="s">
        <v>166</v>
      </c>
      <c r="F609" s="6"/>
      <c r="G609" s="7" t="s">
        <v>144</v>
      </c>
      <c r="H609" s="7"/>
      <c r="I609" s="7"/>
      <c r="J609" s="7"/>
      <c r="K609" s="7"/>
      <c r="L609" s="7">
        <v>4672467</v>
      </c>
      <c r="M609" s="22">
        <v>44973</v>
      </c>
      <c r="N609" s="8"/>
      <c r="O609" s="8"/>
      <c r="P609" s="7">
        <v>120000</v>
      </c>
      <c r="Q609" s="7">
        <v>96772.74</v>
      </c>
      <c r="R609" s="7"/>
      <c r="S609" s="7">
        <v>15</v>
      </c>
      <c r="T609" s="7"/>
      <c r="U609" s="7"/>
      <c r="V609" s="6">
        <f t="shared" si="114"/>
        <v>14515.911</v>
      </c>
      <c r="W609" s="6">
        <f t="shared" si="115"/>
        <v>1451.5911000000001</v>
      </c>
      <c r="X609" s="6">
        <f t="shared" si="116"/>
        <v>15967.5021</v>
      </c>
      <c r="Y609" s="6">
        <f t="shared" si="117"/>
        <v>0.1330625175</v>
      </c>
      <c r="Z609" s="6">
        <f t="shared" si="118"/>
        <v>0.80643950000000009</v>
      </c>
      <c r="AA609" s="9">
        <f t="shared" si="119"/>
        <v>120000</v>
      </c>
      <c r="AB609" s="10">
        <v>19200</v>
      </c>
      <c r="AC609" s="11">
        <f t="shared" si="121"/>
        <v>2554.8003360000002</v>
      </c>
      <c r="AD609" s="12">
        <f t="shared" si="120"/>
        <v>117964</v>
      </c>
      <c r="AE609" s="13">
        <f t="shared" si="112"/>
        <v>2036</v>
      </c>
    </row>
    <row r="610" spans="1:31">
      <c r="A610" s="6">
        <v>21</v>
      </c>
      <c r="B610" s="6">
        <f t="shared" si="111"/>
        <v>15</v>
      </c>
      <c r="C610" s="6" t="str">
        <f t="shared" si="113"/>
        <v>628408700ASCREW, STANDARD, METRIC, M5, HEXALOBULAR INTERNAL97016534530845000</v>
      </c>
      <c r="D610" s="6" t="s">
        <v>327</v>
      </c>
      <c r="E610" s="6" t="s">
        <v>167</v>
      </c>
      <c r="F610" s="6"/>
      <c r="G610" s="7" t="s">
        <v>145</v>
      </c>
      <c r="H610" s="7"/>
      <c r="I610" s="7"/>
      <c r="J610" s="7"/>
      <c r="K610" s="7"/>
      <c r="L610" s="7">
        <v>9701653</v>
      </c>
      <c r="M610" s="22">
        <v>45308</v>
      </c>
      <c r="N610" s="8" t="s">
        <v>190</v>
      </c>
      <c r="O610" s="8" t="s">
        <v>333</v>
      </c>
      <c r="P610" s="7">
        <v>45000</v>
      </c>
      <c r="Q610" s="7">
        <v>230282.27</v>
      </c>
      <c r="R610" s="7">
        <v>87089400</v>
      </c>
      <c r="S610" s="7">
        <v>15</v>
      </c>
      <c r="T610" s="7" t="s">
        <v>391</v>
      </c>
      <c r="U610" s="20" t="s">
        <v>178</v>
      </c>
      <c r="V610" s="6">
        <f t="shared" si="114"/>
        <v>34542.340499999998</v>
      </c>
      <c r="W610" s="6">
        <f t="shared" si="115"/>
        <v>3454.23405</v>
      </c>
      <c r="X610" s="6">
        <f t="shared" si="116"/>
        <v>37996.574549999998</v>
      </c>
      <c r="Y610" s="6">
        <f t="shared" si="117"/>
        <v>0.84436832333333323</v>
      </c>
      <c r="Z610" s="6">
        <f t="shared" si="118"/>
        <v>5.1173837777777775</v>
      </c>
      <c r="AA610" s="9">
        <f t="shared" si="119"/>
        <v>45000</v>
      </c>
      <c r="AB610" s="10">
        <v>28800</v>
      </c>
      <c r="AC610" s="11">
        <f t="shared" si="121"/>
        <v>24317.807711999998</v>
      </c>
      <c r="AD610" s="12">
        <f t="shared" si="120"/>
        <v>45000</v>
      </c>
      <c r="AE610" s="13">
        <f t="shared" si="112"/>
        <v>0</v>
      </c>
    </row>
    <row r="611" spans="1:31">
      <c r="A611" s="6">
        <v>21</v>
      </c>
      <c r="B611" s="6">
        <f t="shared" si="111"/>
        <v>16</v>
      </c>
      <c r="C611" s="6" t="str">
        <f t="shared" si="113"/>
        <v>608225700ASCREW,STD METRIIC HEXALOBULAR  M5 T25 12MM35476634543035000</v>
      </c>
      <c r="D611" s="6" t="s">
        <v>327</v>
      </c>
      <c r="E611" s="6" t="s">
        <v>169</v>
      </c>
      <c r="F611" s="6"/>
      <c r="G611" s="7" t="s">
        <v>147</v>
      </c>
      <c r="H611" s="7"/>
      <c r="I611" s="7"/>
      <c r="J611" s="7"/>
      <c r="K611" s="7"/>
      <c r="L611" s="7">
        <v>3547663</v>
      </c>
      <c r="M611" s="22">
        <v>45430</v>
      </c>
      <c r="N611" s="8"/>
      <c r="O611" s="8"/>
      <c r="P611" s="7">
        <v>35000</v>
      </c>
      <c r="Q611" s="7">
        <v>109744.19</v>
      </c>
      <c r="R611" s="7"/>
      <c r="S611" s="7">
        <v>15</v>
      </c>
      <c r="T611" s="7"/>
      <c r="U611" s="7"/>
      <c r="V611" s="6">
        <f t="shared" si="114"/>
        <v>16461.628499999999</v>
      </c>
      <c r="W611" s="6">
        <f t="shared" si="115"/>
        <v>1646.1628499999999</v>
      </c>
      <c r="X611" s="6">
        <f t="shared" si="116"/>
        <v>18107.79135</v>
      </c>
      <c r="Y611" s="6">
        <f t="shared" si="117"/>
        <v>0.51736546714285714</v>
      </c>
      <c r="Z611" s="6">
        <f t="shared" si="118"/>
        <v>3.1355482857142856</v>
      </c>
      <c r="AA611" s="9">
        <f t="shared" si="119"/>
        <v>35000</v>
      </c>
      <c r="AB611" s="10">
        <v>19104</v>
      </c>
      <c r="AC611" s="11">
        <f t="shared" si="121"/>
        <v>9883.7498842971436</v>
      </c>
      <c r="AD611" s="12">
        <f t="shared" si="120"/>
        <v>35000</v>
      </c>
      <c r="AE611" s="13">
        <f t="shared" si="112"/>
        <v>0</v>
      </c>
    </row>
    <row r="612" spans="1:31">
      <c r="A612" s="6">
        <v>21</v>
      </c>
      <c r="B612" s="6">
        <f t="shared" si="111"/>
        <v>17</v>
      </c>
      <c r="C612" s="6" t="str">
        <f t="shared" si="113"/>
        <v>655818900BACTUATOR VIBRATION MOTOR ASSY WITH BRACKET BC3 CU7906636451889600</v>
      </c>
      <c r="D612" s="6" t="s">
        <v>327</v>
      </c>
      <c r="E612" s="6" t="s">
        <v>156</v>
      </c>
      <c r="F612" s="6"/>
      <c r="G612" s="7" t="s">
        <v>133</v>
      </c>
      <c r="H612" s="7"/>
      <c r="I612" s="7"/>
      <c r="J612" s="7"/>
      <c r="K612" s="7"/>
      <c r="L612" s="7">
        <v>7906636</v>
      </c>
      <c r="M612" s="22">
        <v>45188</v>
      </c>
      <c r="N612" s="8"/>
      <c r="O612" s="8"/>
      <c r="P612" s="7">
        <v>9600</v>
      </c>
      <c r="Q612" s="7">
        <v>3211146.3</v>
      </c>
      <c r="R612" s="7"/>
      <c r="S612" s="7">
        <v>15</v>
      </c>
      <c r="T612" s="7"/>
      <c r="U612" s="7"/>
      <c r="V612" s="6">
        <f t="shared" si="114"/>
        <v>481671.94499999995</v>
      </c>
      <c r="W612" s="6">
        <f t="shared" si="115"/>
        <v>48167.194499999998</v>
      </c>
      <c r="X612" s="6">
        <f t="shared" si="116"/>
        <v>529839.13949999993</v>
      </c>
      <c r="Y612" s="6">
        <f t="shared" si="117"/>
        <v>55.191577031249992</v>
      </c>
      <c r="Z612" s="6">
        <f t="shared" si="118"/>
        <v>334.49440625</v>
      </c>
      <c r="AA612" s="9">
        <f t="shared" si="119"/>
        <v>9600</v>
      </c>
      <c r="AB612" s="10">
        <v>186</v>
      </c>
      <c r="AC612" s="11">
        <f t="shared" si="121"/>
        <v>10265.633327812498</v>
      </c>
      <c r="AD612" s="12">
        <f t="shared" si="120"/>
        <v>9600</v>
      </c>
      <c r="AE612" s="13">
        <f t="shared" si="112"/>
        <v>0</v>
      </c>
    </row>
    <row r="613" spans="1:31">
      <c r="A613" s="6">
        <v>21</v>
      </c>
      <c r="B613" s="6">
        <f t="shared" si="111"/>
        <v>18</v>
      </c>
      <c r="C613" s="6" t="str">
        <f t="shared" si="113"/>
        <v>655818900BACTUATOR VIBRATION MOTOR ASSY WITH BRACKET BC3 CU8750403452434800</v>
      </c>
      <c r="D613" s="6" t="s">
        <v>327</v>
      </c>
      <c r="E613" s="6" t="s">
        <v>156</v>
      </c>
      <c r="F613" s="6"/>
      <c r="G613" s="7" t="s">
        <v>133</v>
      </c>
      <c r="H613" s="7"/>
      <c r="I613" s="7"/>
      <c r="J613" s="7"/>
      <c r="K613" s="7"/>
      <c r="L613" s="7">
        <v>8750403</v>
      </c>
      <c r="M613" s="22">
        <v>45243</v>
      </c>
      <c r="N613" s="8"/>
      <c r="O613" s="8"/>
      <c r="P613" s="7">
        <v>4800</v>
      </c>
      <c r="Q613" s="7">
        <v>1703705.55</v>
      </c>
      <c r="R613" s="7"/>
      <c r="S613" s="7">
        <v>15</v>
      </c>
      <c r="T613" s="7"/>
      <c r="U613" s="7"/>
      <c r="V613" s="6">
        <f t="shared" si="114"/>
        <v>255555.83249999999</v>
      </c>
      <c r="W613" s="6">
        <f t="shared" si="115"/>
        <v>25555.58325</v>
      </c>
      <c r="X613" s="6">
        <f t="shared" si="116"/>
        <v>281111.41574999999</v>
      </c>
      <c r="Y613" s="6">
        <f t="shared" si="117"/>
        <v>58.564878281249996</v>
      </c>
      <c r="Z613" s="6">
        <f t="shared" si="118"/>
        <v>354.93865625000001</v>
      </c>
      <c r="AA613" s="9">
        <f t="shared" si="119"/>
        <v>4800</v>
      </c>
      <c r="AB613" s="10">
        <v>1724</v>
      </c>
      <c r="AC613" s="11">
        <f t="shared" si="121"/>
        <v>100965.85015687499</v>
      </c>
      <c r="AD613" s="12">
        <f t="shared" si="120"/>
        <v>4800</v>
      </c>
      <c r="AE613" s="13">
        <f t="shared" si="112"/>
        <v>0</v>
      </c>
    </row>
    <row r="614" spans="1:31">
      <c r="A614" s="6">
        <v>21</v>
      </c>
      <c r="B614" s="6">
        <f t="shared" si="111"/>
        <v>19</v>
      </c>
      <c r="C614" s="6" t="str">
        <f t="shared" si="113"/>
        <v>655818900BACTUATOR VIBRATION MOTOR ASSY WITH BRACKET BC3 CU9282299452789600</v>
      </c>
      <c r="D614" s="6" t="s">
        <v>327</v>
      </c>
      <c r="E614" s="6" t="s">
        <v>156</v>
      </c>
      <c r="F614" s="6"/>
      <c r="G614" s="7" t="s">
        <v>133</v>
      </c>
      <c r="H614" s="7"/>
      <c r="I614" s="7"/>
      <c r="J614" s="7"/>
      <c r="K614" s="7"/>
      <c r="L614" s="7">
        <v>9282299</v>
      </c>
      <c r="M614" s="22">
        <v>45278</v>
      </c>
      <c r="N614" s="8"/>
      <c r="O614" s="8"/>
      <c r="P614" s="7">
        <v>9600</v>
      </c>
      <c r="Q614" s="7">
        <v>3210461.08</v>
      </c>
      <c r="R614" s="7"/>
      <c r="S614" s="7">
        <v>15</v>
      </c>
      <c r="T614" s="7"/>
      <c r="U614" s="7"/>
      <c r="V614" s="6">
        <f t="shared" si="114"/>
        <v>481569.16200000001</v>
      </c>
      <c r="W614" s="6">
        <f t="shared" si="115"/>
        <v>48156.916200000007</v>
      </c>
      <c r="X614" s="6">
        <f t="shared" si="116"/>
        <v>529726.07819999999</v>
      </c>
      <c r="Y614" s="6">
        <f t="shared" si="117"/>
        <v>55.179799812500001</v>
      </c>
      <c r="Z614" s="6">
        <f t="shared" si="118"/>
        <v>334.42302916666665</v>
      </c>
      <c r="AA614" s="9">
        <f t="shared" si="119"/>
        <v>9600</v>
      </c>
      <c r="AB614" s="10">
        <v>1209</v>
      </c>
      <c r="AC614" s="11">
        <f t="shared" si="121"/>
        <v>66712.377973312497</v>
      </c>
      <c r="AD614" s="12">
        <f t="shared" si="120"/>
        <v>9600</v>
      </c>
      <c r="AE614" s="13">
        <f t="shared" si="112"/>
        <v>0</v>
      </c>
    </row>
    <row r="615" spans="1:31">
      <c r="A615" s="6">
        <v>21</v>
      </c>
      <c r="B615" s="6">
        <f t="shared" si="111"/>
        <v>20</v>
      </c>
      <c r="C615" s="6" t="str">
        <f t="shared" si="113"/>
        <v>655818900BACTUATOR VIBRATION MOTOR ASSY WITH BRACKET BC3 CU7319524445934800</v>
      </c>
      <c r="D615" s="6" t="s">
        <v>327</v>
      </c>
      <c r="E615" s="6" t="s">
        <v>156</v>
      </c>
      <c r="F615" s="6"/>
      <c r="G615" s="7" t="s">
        <v>133</v>
      </c>
      <c r="H615" s="7"/>
      <c r="I615" s="7"/>
      <c r="J615" s="7"/>
      <c r="K615" s="7"/>
      <c r="L615" s="7">
        <v>7319524</v>
      </c>
      <c r="M615" s="22">
        <v>44593</v>
      </c>
      <c r="N615" s="8"/>
      <c r="O615" s="8"/>
      <c r="P615" s="7">
        <v>4800</v>
      </c>
      <c r="Q615" s="7">
        <v>1452080.25</v>
      </c>
      <c r="R615" s="7"/>
      <c r="S615" s="7">
        <v>10</v>
      </c>
      <c r="T615" s="7"/>
      <c r="U615" s="7"/>
      <c r="V615" s="6">
        <f t="shared" si="114"/>
        <v>145208.02499999999</v>
      </c>
      <c r="W615" s="6">
        <f t="shared" si="115"/>
        <v>14520.8025</v>
      </c>
      <c r="X615" s="6">
        <f t="shared" si="116"/>
        <v>159728.82749999998</v>
      </c>
      <c r="Y615" s="6">
        <f t="shared" si="117"/>
        <v>33.276839062499995</v>
      </c>
      <c r="Z615" s="6">
        <f t="shared" si="118"/>
        <v>302.51671875</v>
      </c>
      <c r="AA615" s="9">
        <f t="shared" si="119"/>
        <v>4800</v>
      </c>
      <c r="AB615" s="10">
        <v>1562</v>
      </c>
      <c r="AC615" s="11">
        <f t="shared" si="121"/>
        <v>51978.422615624993</v>
      </c>
      <c r="AD615" s="12">
        <f t="shared" si="120"/>
        <v>4800</v>
      </c>
      <c r="AE615" s="13">
        <f t="shared" si="112"/>
        <v>0</v>
      </c>
    </row>
    <row r="616" spans="1:31">
      <c r="A616" s="6">
        <v>21</v>
      </c>
      <c r="B616" s="6">
        <f t="shared" si="111"/>
        <v>21</v>
      </c>
      <c r="C616" s="6" t="str">
        <f t="shared" si="113"/>
        <v>655818900BACTUATOR VIBRATION MOTOR ASSY WITH BRACKET BC3 CU2137598453369600</v>
      </c>
      <c r="D616" s="6" t="s">
        <v>327</v>
      </c>
      <c r="E616" s="6" t="s">
        <v>156</v>
      </c>
      <c r="F616" s="6"/>
      <c r="G616" s="7" t="s">
        <v>133</v>
      </c>
      <c r="H616" s="7"/>
      <c r="I616" s="7"/>
      <c r="J616" s="7"/>
      <c r="K616" s="7"/>
      <c r="L616" s="7">
        <v>2137598</v>
      </c>
      <c r="M616" s="22">
        <v>45336</v>
      </c>
      <c r="N616" s="8"/>
      <c r="O616" s="8"/>
      <c r="P616" s="7">
        <v>9600</v>
      </c>
      <c r="Q616" s="7">
        <v>3197064.6</v>
      </c>
      <c r="R616" s="7"/>
      <c r="S616" s="7">
        <v>15</v>
      </c>
      <c r="T616" s="7"/>
      <c r="U616" s="7"/>
      <c r="V616" s="6">
        <f t="shared" si="114"/>
        <v>479559.69</v>
      </c>
      <c r="W616" s="6">
        <f t="shared" si="115"/>
        <v>47955.969000000005</v>
      </c>
      <c r="X616" s="6">
        <f t="shared" si="116"/>
        <v>527515.65899999999</v>
      </c>
      <c r="Y616" s="6">
        <f t="shared" si="117"/>
        <v>54.949547812500001</v>
      </c>
      <c r="Z616" s="6">
        <f t="shared" si="118"/>
        <v>333.02756249999999</v>
      </c>
      <c r="AA616" s="9">
        <f t="shared" si="119"/>
        <v>9600</v>
      </c>
      <c r="AB616" s="10">
        <v>1200</v>
      </c>
      <c r="AC616" s="11">
        <f t="shared" si="121"/>
        <v>65939.457374999998</v>
      </c>
      <c r="AD616" s="12">
        <f t="shared" si="120"/>
        <v>9600</v>
      </c>
      <c r="AE616" s="13">
        <f t="shared" si="112"/>
        <v>0</v>
      </c>
    </row>
    <row r="617" spans="1:31">
      <c r="A617" s="6">
        <v>21</v>
      </c>
      <c r="B617" s="6">
        <f t="shared" si="111"/>
        <v>22</v>
      </c>
      <c r="C617" s="6" t="str">
        <f t="shared" si="113"/>
        <v>655818900BACTUATOR VIBRATION MOTOR ASSY WITH BRACKET BC3 CU6778902452814800</v>
      </c>
      <c r="D617" s="6" t="s">
        <v>327</v>
      </c>
      <c r="E617" s="6" t="s">
        <v>156</v>
      </c>
      <c r="F617" s="6"/>
      <c r="G617" s="7" t="s">
        <v>133</v>
      </c>
      <c r="H617" s="7"/>
      <c r="I617" s="7"/>
      <c r="J617" s="7"/>
      <c r="K617" s="7"/>
      <c r="L617" s="7">
        <v>6778902</v>
      </c>
      <c r="M617" s="22">
        <v>45281</v>
      </c>
      <c r="N617" s="8"/>
      <c r="O617" s="8"/>
      <c r="P617" s="7">
        <v>4800</v>
      </c>
      <c r="Q617" s="7">
        <v>1602865.51</v>
      </c>
      <c r="R617" s="7"/>
      <c r="S617" s="7">
        <v>10</v>
      </c>
      <c r="T617" s="7"/>
      <c r="U617" s="7"/>
      <c r="V617" s="6">
        <f t="shared" si="114"/>
        <v>160286.55100000001</v>
      </c>
      <c r="W617" s="6">
        <f t="shared" si="115"/>
        <v>16028.655100000002</v>
      </c>
      <c r="X617" s="6">
        <f t="shared" si="116"/>
        <v>176315.20610000001</v>
      </c>
      <c r="Y617" s="6">
        <f t="shared" si="117"/>
        <v>36.732334604166667</v>
      </c>
      <c r="Z617" s="6">
        <f t="shared" si="118"/>
        <v>333.93031458333331</v>
      </c>
      <c r="AA617" s="9">
        <f t="shared" si="119"/>
        <v>4800</v>
      </c>
      <c r="AB617" s="10">
        <v>3671</v>
      </c>
      <c r="AC617" s="11">
        <f t="shared" si="121"/>
        <v>134844.40033189583</v>
      </c>
      <c r="AD617" s="12">
        <f t="shared" si="120"/>
        <v>4632</v>
      </c>
      <c r="AE617" s="13">
        <f t="shared" si="112"/>
        <v>168</v>
      </c>
    </row>
    <row r="618" spans="1:31">
      <c r="A618" s="6">
        <v>21</v>
      </c>
      <c r="B618" s="6">
        <f t="shared" si="111"/>
        <v>23</v>
      </c>
      <c r="C618" s="6" t="str">
        <f t="shared" si="113"/>
        <v>655931500AARMATURE, MONOBLOCK ASW4, HYUNDAI BC3-CUV2007229453284860</v>
      </c>
      <c r="D618" s="6" t="s">
        <v>327</v>
      </c>
      <c r="E618" s="6" t="s">
        <v>157</v>
      </c>
      <c r="F618" s="6"/>
      <c r="G618" s="7" t="s">
        <v>134</v>
      </c>
      <c r="H618" s="7"/>
      <c r="I618" s="7"/>
      <c r="J618" s="7"/>
      <c r="K618" s="7"/>
      <c r="L618" s="7">
        <v>2007229</v>
      </c>
      <c r="M618" s="22">
        <v>45328</v>
      </c>
      <c r="N618" s="8"/>
      <c r="O618" s="8"/>
      <c r="P618" s="7">
        <v>4860</v>
      </c>
      <c r="Q618" s="7">
        <v>2042646.03</v>
      </c>
      <c r="R618" s="7"/>
      <c r="S618" s="7">
        <v>15</v>
      </c>
      <c r="T618" s="7"/>
      <c r="U618" s="7"/>
      <c r="V618" s="6">
        <f t="shared" si="114"/>
        <v>306396.9045</v>
      </c>
      <c r="W618" s="6">
        <f t="shared" si="115"/>
        <v>30639.690450000002</v>
      </c>
      <c r="X618" s="6">
        <f t="shared" si="116"/>
        <v>337036.59495</v>
      </c>
      <c r="Y618" s="6">
        <f t="shared" si="117"/>
        <v>69.349093611111115</v>
      </c>
      <c r="Z618" s="6">
        <f t="shared" si="118"/>
        <v>420.29753703703705</v>
      </c>
      <c r="AA618" s="9">
        <f t="shared" si="119"/>
        <v>4860</v>
      </c>
      <c r="AB618" s="10">
        <v>3527</v>
      </c>
      <c r="AC618" s="11">
        <f t="shared" si="121"/>
        <v>244594.25316638889</v>
      </c>
      <c r="AD618" s="12">
        <f t="shared" si="120"/>
        <v>4860</v>
      </c>
      <c r="AE618" s="13">
        <f t="shared" si="112"/>
        <v>0</v>
      </c>
    </row>
    <row r="619" spans="1:31">
      <c r="A619" s="6">
        <v>22</v>
      </c>
      <c r="B619" s="6">
        <v>1</v>
      </c>
      <c r="C619" s="6" t="str">
        <f t="shared" si="113"/>
        <v>628408700ASCREW, STANDARD, METRIC, M5, HEXALOBULAR INTERNAL9133284452688000</v>
      </c>
      <c r="D619" s="6" t="s">
        <v>328</v>
      </c>
      <c r="E619" s="6" t="s">
        <v>167</v>
      </c>
      <c r="F619" s="6"/>
      <c r="G619" s="7" t="s">
        <v>145</v>
      </c>
      <c r="H619" s="7"/>
      <c r="I619" s="7"/>
      <c r="J619" s="7"/>
      <c r="K619" s="7"/>
      <c r="L619" s="7">
        <v>9133284</v>
      </c>
      <c r="M619" s="22">
        <v>45268</v>
      </c>
      <c r="N619" s="8" t="s">
        <v>126</v>
      </c>
      <c r="O619" s="8"/>
      <c r="P619" s="7">
        <v>8000</v>
      </c>
      <c r="Q619" s="7">
        <v>42086.77</v>
      </c>
      <c r="R619" s="7"/>
      <c r="S619" s="7">
        <v>15</v>
      </c>
      <c r="T619" s="7"/>
      <c r="U619" s="7"/>
      <c r="V619" s="6">
        <f t="shared" si="114"/>
        <v>6313.0154999999995</v>
      </c>
      <c r="W619" s="6">
        <f t="shared" si="115"/>
        <v>631.30155000000002</v>
      </c>
      <c r="X619" s="6">
        <f t="shared" si="116"/>
        <v>6944.3170499999997</v>
      </c>
      <c r="Y619" s="6">
        <f t="shared" si="117"/>
        <v>0.86803963124999994</v>
      </c>
      <c r="Z619" s="6">
        <f t="shared" si="118"/>
        <v>5.2608462499999993</v>
      </c>
      <c r="AA619" s="9">
        <f t="shared" si="119"/>
        <v>8000</v>
      </c>
      <c r="AB619" s="10">
        <v>7254</v>
      </c>
      <c r="AC619" s="11">
        <f t="shared" si="121"/>
        <v>6296.7594850874993</v>
      </c>
      <c r="AD619" s="12">
        <f t="shared" si="120"/>
        <v>7254</v>
      </c>
      <c r="AE619" s="13">
        <f t="shared" si="112"/>
        <v>746</v>
      </c>
    </row>
    <row r="620" spans="1:31">
      <c r="A620" s="6">
        <v>22</v>
      </c>
      <c r="B620" s="6">
        <f t="shared" ref="B620:B683" si="122">B619+1</f>
        <v>2</v>
      </c>
      <c r="C620" s="6" t="str">
        <f t="shared" si="113"/>
        <v>628408700ASCREW, STANDARD, METRIC, M5, HEXALOBULAR INTERNAL91332974526815000</v>
      </c>
      <c r="D620" s="6" t="s">
        <v>328</v>
      </c>
      <c r="E620" s="6" t="s">
        <v>167</v>
      </c>
      <c r="F620" s="6"/>
      <c r="G620" s="7" t="s">
        <v>145</v>
      </c>
      <c r="H620" s="7"/>
      <c r="I620" s="7"/>
      <c r="J620" s="7"/>
      <c r="K620" s="7"/>
      <c r="L620" s="7">
        <v>9133297</v>
      </c>
      <c r="M620" s="22">
        <v>45268</v>
      </c>
      <c r="N620" s="8"/>
      <c r="O620" s="8"/>
      <c r="P620" s="7">
        <v>15000</v>
      </c>
      <c r="Q620" s="7">
        <v>78912.69</v>
      </c>
      <c r="R620" s="7"/>
      <c r="S620" s="7">
        <v>15</v>
      </c>
      <c r="T620" s="7"/>
      <c r="U620" s="7"/>
      <c r="V620" s="6">
        <f t="shared" si="114"/>
        <v>11836.9035</v>
      </c>
      <c r="W620" s="6">
        <f t="shared" si="115"/>
        <v>1183.6903500000001</v>
      </c>
      <c r="X620" s="6">
        <f t="shared" si="116"/>
        <v>13020.593850000001</v>
      </c>
      <c r="Y620" s="6">
        <f t="shared" si="117"/>
        <v>0.86803959000000008</v>
      </c>
      <c r="Z620" s="6">
        <f t="shared" si="118"/>
        <v>5.2608459999999999</v>
      </c>
      <c r="AA620" s="9">
        <f t="shared" si="119"/>
        <v>15000</v>
      </c>
      <c r="AB620" s="10">
        <v>15000</v>
      </c>
      <c r="AC620" s="11">
        <f t="shared" si="121"/>
        <v>13020.593850000001</v>
      </c>
      <c r="AD620" s="12">
        <f t="shared" si="120"/>
        <v>15000</v>
      </c>
      <c r="AE620" s="13">
        <f t="shared" si="112"/>
        <v>0</v>
      </c>
    </row>
    <row r="621" spans="1:31" ht="30">
      <c r="A621" s="6">
        <v>22</v>
      </c>
      <c r="B621" s="6">
        <f t="shared" si="122"/>
        <v>3</v>
      </c>
      <c r="C621" s="6" t="str">
        <f t="shared" si="113"/>
        <v>655931500AARMATURE, MONOBLOCK ASW4, HYUNDAI BC3-CUV9695579453086480</v>
      </c>
      <c r="D621" s="6" t="s">
        <v>328</v>
      </c>
      <c r="E621" s="6" t="s">
        <v>157</v>
      </c>
      <c r="F621" s="6"/>
      <c r="G621" s="7" t="s">
        <v>134</v>
      </c>
      <c r="H621" s="7"/>
      <c r="I621" s="7"/>
      <c r="J621" s="7"/>
      <c r="K621" s="7"/>
      <c r="L621" s="7">
        <v>9695579</v>
      </c>
      <c r="M621" s="22">
        <v>45308</v>
      </c>
      <c r="N621" s="8" t="s">
        <v>185</v>
      </c>
      <c r="O621" s="8" t="s">
        <v>332</v>
      </c>
      <c r="P621" s="7">
        <v>6480</v>
      </c>
      <c r="Q621" s="7">
        <v>2724238.16</v>
      </c>
      <c r="R621" s="7">
        <v>87089400</v>
      </c>
      <c r="S621" s="7">
        <v>15</v>
      </c>
      <c r="T621" s="7" t="s">
        <v>194</v>
      </c>
      <c r="U621" s="7" t="s">
        <v>178</v>
      </c>
      <c r="V621" s="6">
        <f t="shared" si="114"/>
        <v>408635.72399999999</v>
      </c>
      <c r="W621" s="6">
        <f t="shared" si="115"/>
        <v>40863.572400000005</v>
      </c>
      <c r="X621" s="6">
        <f t="shared" si="116"/>
        <v>449499.29639999999</v>
      </c>
      <c r="Y621" s="6">
        <f t="shared" si="117"/>
        <v>69.367175370370376</v>
      </c>
      <c r="Z621" s="6">
        <f t="shared" si="118"/>
        <v>420.40712345679015</v>
      </c>
      <c r="AA621" s="9">
        <f t="shared" si="119"/>
        <v>6480</v>
      </c>
      <c r="AB621" s="10">
        <v>4717</v>
      </c>
      <c r="AC621" s="11">
        <f t="shared" si="121"/>
        <v>327204.96622203704</v>
      </c>
      <c r="AD621" s="12">
        <f t="shared" si="120"/>
        <v>6480</v>
      </c>
      <c r="AE621" s="13">
        <f t="shared" si="112"/>
        <v>0</v>
      </c>
    </row>
    <row r="622" spans="1:31">
      <c r="A622" s="6">
        <v>22</v>
      </c>
      <c r="B622" s="6">
        <f t="shared" si="122"/>
        <v>4</v>
      </c>
      <c r="C622" s="6" t="str">
        <f t="shared" si="113"/>
        <v>655931500AARMATURE, MONOBLOCK ASW4, HYUNDAI BC3-CUV9700863453082430</v>
      </c>
      <c r="D622" s="6" t="s">
        <v>328</v>
      </c>
      <c r="E622" s="6" t="s">
        <v>157</v>
      </c>
      <c r="F622" s="6"/>
      <c r="G622" s="7" t="s">
        <v>134</v>
      </c>
      <c r="H622" s="7"/>
      <c r="I622" s="7"/>
      <c r="J622" s="7"/>
      <c r="K622" s="7"/>
      <c r="L622" s="7">
        <v>9700863</v>
      </c>
      <c r="M622" s="22">
        <v>45308</v>
      </c>
      <c r="N622" s="8"/>
      <c r="O622" s="8"/>
      <c r="P622" s="7">
        <v>2430</v>
      </c>
      <c r="Q622" s="7">
        <v>1017655.61</v>
      </c>
      <c r="R622" s="7"/>
      <c r="S622" s="7">
        <v>15</v>
      </c>
      <c r="T622" s="7"/>
      <c r="U622" s="7"/>
      <c r="V622" s="6">
        <f t="shared" si="114"/>
        <v>152648.34149999998</v>
      </c>
      <c r="W622" s="6">
        <f t="shared" si="115"/>
        <v>15264.834149999999</v>
      </c>
      <c r="X622" s="6">
        <f t="shared" si="116"/>
        <v>167913.17564999999</v>
      </c>
      <c r="Y622" s="6">
        <f t="shared" si="117"/>
        <v>69.10007228395061</v>
      </c>
      <c r="Z622" s="6">
        <f t="shared" si="118"/>
        <v>418.78831687242797</v>
      </c>
      <c r="AA622" s="9">
        <f t="shared" si="119"/>
        <v>2430</v>
      </c>
      <c r="AB622" s="10">
        <v>2430</v>
      </c>
      <c r="AC622" s="11">
        <f t="shared" si="121"/>
        <v>167913.17564999999</v>
      </c>
      <c r="AD622" s="12">
        <f t="shared" si="120"/>
        <v>2430</v>
      </c>
      <c r="AE622" s="13">
        <f t="shared" si="112"/>
        <v>0</v>
      </c>
    </row>
    <row r="623" spans="1:31">
      <c r="A623" s="6">
        <v>22</v>
      </c>
      <c r="B623" s="6">
        <f t="shared" si="122"/>
        <v>5</v>
      </c>
      <c r="C623" s="6" t="str">
        <f t="shared" si="113"/>
        <v>655818900BACTUATOR VIBRATION MOTOR ASSY WITH BRACKET BC3 CU9685069453079600</v>
      </c>
      <c r="D623" s="6" t="s">
        <v>328</v>
      </c>
      <c r="E623" s="6" t="s">
        <v>156</v>
      </c>
      <c r="F623" s="6"/>
      <c r="G623" s="7" t="s">
        <v>133</v>
      </c>
      <c r="H623" s="7"/>
      <c r="I623" s="7"/>
      <c r="J623" s="7"/>
      <c r="K623" s="7"/>
      <c r="L623" s="7">
        <v>9685069</v>
      </c>
      <c r="M623" s="22">
        <v>45307</v>
      </c>
      <c r="N623" s="8" t="s">
        <v>190</v>
      </c>
      <c r="O623" s="8" t="s">
        <v>333</v>
      </c>
      <c r="P623" s="7">
        <v>9600</v>
      </c>
      <c r="Q623" s="7">
        <v>3208455.8</v>
      </c>
      <c r="R623" s="7">
        <v>87089400</v>
      </c>
      <c r="S623" s="7">
        <v>15</v>
      </c>
      <c r="T623" s="7" t="s">
        <v>382</v>
      </c>
      <c r="U623" s="7" t="s">
        <v>178</v>
      </c>
      <c r="V623" s="6">
        <f t="shared" si="114"/>
        <v>481268.36999999994</v>
      </c>
      <c r="W623" s="6">
        <f t="shared" si="115"/>
        <v>48126.837</v>
      </c>
      <c r="X623" s="6">
        <f t="shared" si="116"/>
        <v>529395.20699999994</v>
      </c>
      <c r="Y623" s="6">
        <f t="shared" si="117"/>
        <v>55.145334062499991</v>
      </c>
      <c r="Z623" s="6">
        <f t="shared" si="118"/>
        <v>334.2141458333333</v>
      </c>
      <c r="AA623" s="9">
        <f t="shared" si="119"/>
        <v>9600</v>
      </c>
      <c r="AB623" s="10">
        <v>7147</v>
      </c>
      <c r="AC623" s="11">
        <f t="shared" si="121"/>
        <v>394123.70254468743</v>
      </c>
      <c r="AD623" s="12">
        <f t="shared" si="120"/>
        <v>9600</v>
      </c>
      <c r="AE623" s="13">
        <f t="shared" si="112"/>
        <v>0</v>
      </c>
    </row>
    <row r="624" spans="1:31">
      <c r="A624" s="6">
        <v>22</v>
      </c>
      <c r="B624" s="6">
        <f t="shared" si="122"/>
        <v>6</v>
      </c>
      <c r="C624" s="6" t="str">
        <f t="shared" si="113"/>
        <v>651015100AARMATURE, MONOBLOCK, ASW4, HYUNDAI BC37263786445891134</v>
      </c>
      <c r="D624" s="6" t="s">
        <v>328</v>
      </c>
      <c r="E624" s="6" t="s">
        <v>158</v>
      </c>
      <c r="F624" s="6"/>
      <c r="G624" s="7" t="s">
        <v>135</v>
      </c>
      <c r="H624" s="7"/>
      <c r="I624" s="7"/>
      <c r="J624" s="7"/>
      <c r="K624" s="7"/>
      <c r="L624" s="7">
        <v>7263786</v>
      </c>
      <c r="M624" s="22">
        <v>44589</v>
      </c>
      <c r="N624" s="8"/>
      <c r="O624" s="8"/>
      <c r="P624" s="7">
        <v>1134</v>
      </c>
      <c r="Q624" s="7">
        <v>573606</v>
      </c>
      <c r="R624" s="7"/>
      <c r="S624" s="7">
        <v>15</v>
      </c>
      <c r="T624" s="7"/>
      <c r="U624" s="7"/>
      <c r="V624" s="6">
        <f t="shared" si="114"/>
        <v>86040.9</v>
      </c>
      <c r="W624" s="6">
        <f t="shared" si="115"/>
        <v>8604.09</v>
      </c>
      <c r="X624" s="6">
        <f t="shared" si="116"/>
        <v>94644.989999999991</v>
      </c>
      <c r="Y624" s="6">
        <f t="shared" si="117"/>
        <v>83.461190476190467</v>
      </c>
      <c r="Z624" s="6">
        <f t="shared" si="118"/>
        <v>505.82539682539681</v>
      </c>
      <c r="AA624" s="9">
        <f t="shared" si="119"/>
        <v>1134</v>
      </c>
      <c r="AB624" s="10">
        <v>271</v>
      </c>
      <c r="AC624" s="11">
        <f t="shared" si="121"/>
        <v>22617.982619047616</v>
      </c>
      <c r="AD624" s="12">
        <f t="shared" si="120"/>
        <v>1025</v>
      </c>
      <c r="AE624" s="13">
        <f t="shared" si="112"/>
        <v>109</v>
      </c>
    </row>
    <row r="625" spans="1:31">
      <c r="A625" s="6">
        <v>22</v>
      </c>
      <c r="B625" s="6">
        <f t="shared" si="122"/>
        <v>7</v>
      </c>
      <c r="C625" s="6" t="str">
        <f t="shared" si="113"/>
        <v>651015300BELEMENT, HEATER, HYBRID 3293276454142520</v>
      </c>
      <c r="D625" s="6" t="s">
        <v>328</v>
      </c>
      <c r="E625" s="6" t="s">
        <v>155</v>
      </c>
      <c r="F625" s="6"/>
      <c r="G625" s="7" t="s">
        <v>137</v>
      </c>
      <c r="H625" s="7"/>
      <c r="I625" s="7"/>
      <c r="J625" s="7"/>
      <c r="K625" s="7"/>
      <c r="L625" s="7">
        <v>3293276</v>
      </c>
      <c r="M625" s="22">
        <v>45414</v>
      </c>
      <c r="N625" s="8"/>
      <c r="O625" s="8"/>
      <c r="P625" s="7">
        <v>2520</v>
      </c>
      <c r="Q625" s="7">
        <v>1341655.22</v>
      </c>
      <c r="R625" s="7"/>
      <c r="S625" s="7">
        <v>15</v>
      </c>
      <c r="T625" s="7"/>
      <c r="U625" s="7"/>
      <c r="V625" s="6">
        <f t="shared" si="114"/>
        <v>201248.283</v>
      </c>
      <c r="W625" s="6">
        <f t="shared" si="115"/>
        <v>20124.828300000001</v>
      </c>
      <c r="X625" s="6">
        <f t="shared" si="116"/>
        <v>221373.11129999999</v>
      </c>
      <c r="Y625" s="6">
        <f t="shared" si="117"/>
        <v>87.84647273809523</v>
      </c>
      <c r="Z625" s="6">
        <f t="shared" si="118"/>
        <v>532.40286507936503</v>
      </c>
      <c r="AA625" s="9">
        <f t="shared" si="119"/>
        <v>2520</v>
      </c>
      <c r="AB625" s="10">
        <v>850</v>
      </c>
      <c r="AC625" s="11">
        <f t="shared" si="121"/>
        <v>74669.50182738094</v>
      </c>
      <c r="AD625" s="12">
        <f t="shared" si="120"/>
        <v>2390</v>
      </c>
      <c r="AE625" s="13">
        <f t="shared" si="112"/>
        <v>130</v>
      </c>
    </row>
    <row r="626" spans="1:31">
      <c r="A626" s="6">
        <v>22</v>
      </c>
      <c r="B626" s="6">
        <f t="shared" si="122"/>
        <v>8</v>
      </c>
      <c r="C626" s="6" t="str">
        <f t="shared" si="113"/>
        <v>651015300BELEMENT, HEATER, HYBRID 9610877453013500</v>
      </c>
      <c r="D626" s="6" t="s">
        <v>328</v>
      </c>
      <c r="E626" s="6" t="s">
        <v>155</v>
      </c>
      <c r="F626" s="6"/>
      <c r="G626" s="7" t="s">
        <v>137</v>
      </c>
      <c r="H626" s="7"/>
      <c r="I626" s="7"/>
      <c r="J626" s="7"/>
      <c r="K626" s="7"/>
      <c r="L626" s="7">
        <v>9610877</v>
      </c>
      <c r="M626" s="22">
        <v>45301</v>
      </c>
      <c r="N626" s="8"/>
      <c r="O626" s="8"/>
      <c r="P626" s="7">
        <v>3500</v>
      </c>
      <c r="Q626" s="7">
        <v>1931239.6</v>
      </c>
      <c r="R626" s="7"/>
      <c r="S626" s="7">
        <v>15</v>
      </c>
      <c r="T626" s="7"/>
      <c r="U626" s="7"/>
      <c r="V626" s="6">
        <f t="shared" si="114"/>
        <v>289685.94</v>
      </c>
      <c r="W626" s="6">
        <f t="shared" si="115"/>
        <v>28968.594000000001</v>
      </c>
      <c r="X626" s="6">
        <f t="shared" si="116"/>
        <v>318654.53399999999</v>
      </c>
      <c r="Y626" s="6">
        <f t="shared" si="117"/>
        <v>91.044152571428569</v>
      </c>
      <c r="Z626" s="6">
        <f t="shared" si="118"/>
        <v>551.78274285714292</v>
      </c>
      <c r="AA626" s="9">
        <f t="shared" si="119"/>
        <v>3500</v>
      </c>
      <c r="AB626" s="10">
        <v>606</v>
      </c>
      <c r="AC626" s="11">
        <f t="shared" si="121"/>
        <v>55172.756458285716</v>
      </c>
      <c r="AD626" s="12">
        <f t="shared" si="120"/>
        <v>3500</v>
      </c>
      <c r="AE626" s="13">
        <f t="shared" si="112"/>
        <v>0</v>
      </c>
    </row>
    <row r="627" spans="1:31">
      <c r="A627" s="6">
        <v>22</v>
      </c>
      <c r="B627" s="6">
        <f t="shared" si="122"/>
        <v>9</v>
      </c>
      <c r="C627" s="6" t="str">
        <f t="shared" si="113"/>
        <v>634240200AHORN CONTACT, CU 681124845118600000</v>
      </c>
      <c r="D627" s="6" t="s">
        <v>328</v>
      </c>
      <c r="E627" s="6" t="s">
        <v>160</v>
      </c>
      <c r="F627" s="6"/>
      <c r="G627" s="7" t="s">
        <v>138</v>
      </c>
      <c r="H627" s="7"/>
      <c r="I627" s="7"/>
      <c r="J627" s="7"/>
      <c r="K627" s="7"/>
      <c r="L627" s="7">
        <v>6811248</v>
      </c>
      <c r="M627" s="22">
        <v>45118</v>
      </c>
      <c r="N627" s="8" t="s">
        <v>189</v>
      </c>
      <c r="O627" s="8" t="s">
        <v>332</v>
      </c>
      <c r="P627" s="7">
        <v>600000</v>
      </c>
      <c r="Q627" s="7">
        <v>627311.64</v>
      </c>
      <c r="R627" s="7">
        <v>87089900</v>
      </c>
      <c r="S627" s="7">
        <v>15</v>
      </c>
      <c r="T627" s="7" t="s">
        <v>258</v>
      </c>
      <c r="U627" s="7" t="s">
        <v>178</v>
      </c>
      <c r="V627" s="6">
        <f t="shared" si="114"/>
        <v>94096.745999999999</v>
      </c>
      <c r="W627" s="6">
        <f t="shared" si="115"/>
        <v>9409.6746000000003</v>
      </c>
      <c r="X627" s="6">
        <f t="shared" si="116"/>
        <v>103506.4206</v>
      </c>
      <c r="Y627" s="6">
        <f t="shared" si="117"/>
        <v>0.17251070099999999</v>
      </c>
      <c r="Z627" s="6">
        <f t="shared" si="118"/>
        <v>1.0455194000000001</v>
      </c>
      <c r="AA627" s="9">
        <f t="shared" si="119"/>
        <v>600000</v>
      </c>
      <c r="AB627" s="10">
        <v>29672</v>
      </c>
      <c r="AC627" s="11">
        <f t="shared" si="121"/>
        <v>5118.7375200719998</v>
      </c>
      <c r="AD627" s="12">
        <f t="shared" si="120"/>
        <v>577364</v>
      </c>
      <c r="AE627" s="13">
        <f t="shared" si="112"/>
        <v>22636</v>
      </c>
    </row>
    <row r="628" spans="1:31">
      <c r="A628" s="6">
        <v>22</v>
      </c>
      <c r="B628" s="6">
        <f t="shared" si="122"/>
        <v>10</v>
      </c>
      <c r="C628" s="6" t="str">
        <f t="shared" si="113"/>
        <v>630580800ALABEL, RAW MATERIAL, BLA K12 TPC BUCKLE5160585449362400000</v>
      </c>
      <c r="D628" s="6" t="s">
        <v>328</v>
      </c>
      <c r="E628" s="6" t="s">
        <v>71</v>
      </c>
      <c r="F628" s="6"/>
      <c r="G628" s="7" t="s">
        <v>31</v>
      </c>
      <c r="H628" s="7"/>
      <c r="I628" s="7"/>
      <c r="J628" s="7"/>
      <c r="K628" s="7"/>
      <c r="L628" s="7">
        <v>5160585</v>
      </c>
      <c r="M628" s="22">
        <v>44936</v>
      </c>
      <c r="N628" s="8" t="s">
        <v>196</v>
      </c>
      <c r="O628" s="8" t="s">
        <v>333</v>
      </c>
      <c r="P628" s="7">
        <v>2400000</v>
      </c>
      <c r="Q628" s="7">
        <v>86522.34</v>
      </c>
      <c r="R628" s="7">
        <v>87082900</v>
      </c>
      <c r="S628" s="7">
        <v>15</v>
      </c>
      <c r="T628" s="7" t="s">
        <v>265</v>
      </c>
      <c r="U628" s="7" t="s">
        <v>178</v>
      </c>
      <c r="V628" s="6">
        <f t="shared" si="114"/>
        <v>12978.350999999999</v>
      </c>
      <c r="W628" s="6">
        <f t="shared" si="115"/>
        <v>1297.8351</v>
      </c>
      <c r="X628" s="6">
        <f t="shared" si="116"/>
        <v>14276.186099999999</v>
      </c>
      <c r="Y628" s="6">
        <f t="shared" si="117"/>
        <v>5.9484108749999999E-3</v>
      </c>
      <c r="Z628" s="6">
        <f t="shared" si="118"/>
        <v>3.6050974999999999E-2</v>
      </c>
      <c r="AA628" s="9">
        <f t="shared" si="119"/>
        <v>2400000</v>
      </c>
      <c r="AB628" s="10">
        <v>7418</v>
      </c>
      <c r="AC628" s="11">
        <f t="shared" si="121"/>
        <v>44.125311870749997</v>
      </c>
      <c r="AD628" s="12">
        <f t="shared" si="120"/>
        <v>548546</v>
      </c>
      <c r="AE628" s="13">
        <f t="shared" si="112"/>
        <v>1851454</v>
      </c>
    </row>
    <row r="629" spans="1:31">
      <c r="A629" s="6">
        <v>22</v>
      </c>
      <c r="B629" s="6">
        <f t="shared" si="122"/>
        <v>11</v>
      </c>
      <c r="C629" s="6" t="str">
        <f t="shared" si="113"/>
        <v>656011400ALEATHER, HIDE TOP GRAIN, GREY, FOSSIL GREY, T9Y,7374452451543703.92</v>
      </c>
      <c r="D629" s="6" t="s">
        <v>328</v>
      </c>
      <c r="E629" s="6" t="s">
        <v>162</v>
      </c>
      <c r="F629" s="6"/>
      <c r="G629" s="7" t="s">
        <v>140</v>
      </c>
      <c r="H629" s="7"/>
      <c r="I629" s="7"/>
      <c r="J629" s="7"/>
      <c r="K629" s="7"/>
      <c r="L629" s="7">
        <v>7374452</v>
      </c>
      <c r="M629" s="22">
        <v>45154</v>
      </c>
      <c r="N629" s="8" t="s">
        <v>190</v>
      </c>
      <c r="O629" s="8" t="s">
        <v>383</v>
      </c>
      <c r="P629" s="7">
        <v>3703.9199999999996</v>
      </c>
      <c r="Q629" s="7">
        <v>8436783.4900000002</v>
      </c>
      <c r="R629" s="7">
        <v>41071200</v>
      </c>
      <c r="S629" s="7">
        <v>0</v>
      </c>
      <c r="T629" s="7" t="s">
        <v>293</v>
      </c>
      <c r="U629" s="7" t="s">
        <v>178</v>
      </c>
      <c r="V629" s="6">
        <f t="shared" si="114"/>
        <v>0</v>
      </c>
      <c r="W629" s="6">
        <f t="shared" si="115"/>
        <v>0</v>
      </c>
      <c r="X629" s="6">
        <f t="shared" si="116"/>
        <v>0</v>
      </c>
      <c r="Y629" s="6">
        <f t="shared" si="117"/>
        <v>0</v>
      </c>
      <c r="Z629" s="6">
        <f t="shared" si="118"/>
        <v>2277.7985188664984</v>
      </c>
      <c r="AA629" s="9">
        <f t="shared" si="119"/>
        <v>3703.9199999999996</v>
      </c>
      <c r="AB629" s="10">
        <v>124.442042</v>
      </c>
      <c r="AC629" s="11">
        <f t="shared" si="121"/>
        <v>0</v>
      </c>
      <c r="AD629" s="12">
        <f t="shared" si="120"/>
        <v>634.38362100000006</v>
      </c>
      <c r="AE629" s="13">
        <f t="shared" si="112"/>
        <v>3069.5363789999997</v>
      </c>
    </row>
    <row r="630" spans="1:31">
      <c r="A630" s="6">
        <v>22</v>
      </c>
      <c r="B630" s="6">
        <f t="shared" si="122"/>
        <v>12</v>
      </c>
      <c r="C630" s="6" t="str">
        <f t="shared" si="113"/>
        <v>652466500ALEATHER, HIDE TOP GRAIN, OBSIDIAN BLACK, NNB, BLA3568131454322589.17</v>
      </c>
      <c r="D630" s="6" t="s">
        <v>328</v>
      </c>
      <c r="E630" s="6" t="s">
        <v>163</v>
      </c>
      <c r="F630" s="6"/>
      <c r="G630" s="7" t="s">
        <v>141</v>
      </c>
      <c r="H630" s="7"/>
      <c r="I630" s="7"/>
      <c r="J630" s="7"/>
      <c r="K630" s="7"/>
      <c r="L630" s="7">
        <v>3568131</v>
      </c>
      <c r="M630" s="22">
        <v>45432</v>
      </c>
      <c r="N630" s="8" t="s">
        <v>190</v>
      </c>
      <c r="O630" s="8"/>
      <c r="P630" s="7">
        <v>2589.17</v>
      </c>
      <c r="Q630" s="7">
        <v>5821678</v>
      </c>
      <c r="R630" s="7">
        <v>41071200</v>
      </c>
      <c r="S630" s="7">
        <v>0</v>
      </c>
      <c r="T630" s="7" t="s">
        <v>261</v>
      </c>
      <c r="U630" s="7" t="s">
        <v>178</v>
      </c>
      <c r="V630" s="6">
        <f t="shared" si="114"/>
        <v>0</v>
      </c>
      <c r="W630" s="6">
        <f t="shared" si="115"/>
        <v>0</v>
      </c>
      <c r="X630" s="6">
        <f t="shared" si="116"/>
        <v>0</v>
      </c>
      <c r="Y630" s="6">
        <f t="shared" si="117"/>
        <v>0</v>
      </c>
      <c r="Z630" s="6">
        <f t="shared" si="118"/>
        <v>2248.4726765720288</v>
      </c>
      <c r="AA630" s="9">
        <f t="shared" si="119"/>
        <v>2589.17</v>
      </c>
      <c r="AB630" s="10">
        <v>696.82</v>
      </c>
      <c r="AC630" s="11">
        <f t="shared" si="121"/>
        <v>0</v>
      </c>
      <c r="AD630" s="12">
        <f t="shared" si="120"/>
        <v>2589.17</v>
      </c>
      <c r="AE630" s="13">
        <f t="shared" si="112"/>
        <v>0</v>
      </c>
    </row>
    <row r="631" spans="1:31">
      <c r="A631" s="6">
        <v>22</v>
      </c>
      <c r="B631" s="6">
        <f t="shared" si="122"/>
        <v>13</v>
      </c>
      <c r="C631" s="6" t="str">
        <f t="shared" si="113"/>
        <v>652466500ALEATHER, HIDE TOP GRAIN, OBSIDIAN BLACK, NNB, BLA4153321449381567.04</v>
      </c>
      <c r="D631" s="6" t="s">
        <v>328</v>
      </c>
      <c r="E631" s="6" t="s">
        <v>163</v>
      </c>
      <c r="F631" s="6"/>
      <c r="G631" s="7" t="s">
        <v>141</v>
      </c>
      <c r="H631" s="7"/>
      <c r="I631" s="7"/>
      <c r="J631" s="7"/>
      <c r="K631" s="7"/>
      <c r="L631" s="7">
        <v>4153321</v>
      </c>
      <c r="M631" s="22">
        <v>44938</v>
      </c>
      <c r="N631" s="8"/>
      <c r="O631" s="8"/>
      <c r="P631" s="7">
        <v>1567.04</v>
      </c>
      <c r="Q631" s="7">
        <v>4229818.33</v>
      </c>
      <c r="R631" s="7"/>
      <c r="S631" s="7">
        <v>0</v>
      </c>
      <c r="T631" s="7"/>
      <c r="U631" s="7"/>
      <c r="V631" s="6">
        <f t="shared" si="114"/>
        <v>0</v>
      </c>
      <c r="W631" s="6">
        <f t="shared" si="115"/>
        <v>0</v>
      </c>
      <c r="X631" s="6">
        <f t="shared" si="116"/>
        <v>0</v>
      </c>
      <c r="Y631" s="6">
        <f t="shared" si="117"/>
        <v>0</v>
      </c>
      <c r="Z631" s="6">
        <f t="shared" si="118"/>
        <v>2699.2408170818871</v>
      </c>
      <c r="AA631" s="9">
        <f t="shared" si="119"/>
        <v>1567.04</v>
      </c>
      <c r="AB631" s="10">
        <v>314</v>
      </c>
      <c r="AC631" s="11">
        <f t="shared" si="121"/>
        <v>0</v>
      </c>
      <c r="AD631" s="12">
        <f t="shared" si="120"/>
        <v>1567</v>
      </c>
      <c r="AE631" s="13">
        <f t="shared" si="112"/>
        <v>3.999999999996362E-2</v>
      </c>
    </row>
    <row r="632" spans="1:31">
      <c r="A632" s="6">
        <v>22</v>
      </c>
      <c r="B632" s="6">
        <f t="shared" si="122"/>
        <v>14</v>
      </c>
      <c r="C632" s="6" t="str">
        <f t="shared" si="113"/>
        <v>652466500ALEATHER, HIDE TOP GRAIN, OBSIDIAN BLACK, NNB, BLA5183416450082652</v>
      </c>
      <c r="D632" s="6" t="s">
        <v>328</v>
      </c>
      <c r="E632" s="6" t="s">
        <v>163</v>
      </c>
      <c r="F632" s="6"/>
      <c r="G632" s="7" t="s">
        <v>141</v>
      </c>
      <c r="H632" s="7"/>
      <c r="I632" s="7"/>
      <c r="J632" s="7"/>
      <c r="K632" s="7"/>
      <c r="L632" s="7">
        <v>5183416</v>
      </c>
      <c r="M632" s="22">
        <v>45008</v>
      </c>
      <c r="N632" s="8"/>
      <c r="O632" s="8"/>
      <c r="P632" s="7">
        <v>2652</v>
      </c>
      <c r="Q632" s="7">
        <v>6861064</v>
      </c>
      <c r="R632" s="7"/>
      <c r="S632" s="7">
        <v>0</v>
      </c>
      <c r="T632" s="7"/>
      <c r="U632" s="7"/>
      <c r="V632" s="6">
        <f t="shared" si="114"/>
        <v>0</v>
      </c>
      <c r="W632" s="6">
        <f t="shared" si="115"/>
        <v>0</v>
      </c>
      <c r="X632" s="6">
        <f t="shared" si="116"/>
        <v>0</v>
      </c>
      <c r="Y632" s="6">
        <f t="shared" si="117"/>
        <v>0</v>
      </c>
      <c r="Z632" s="6">
        <f t="shared" si="118"/>
        <v>2587.1282051282051</v>
      </c>
      <c r="AA632" s="9">
        <f t="shared" si="119"/>
        <v>2652</v>
      </c>
      <c r="AB632" s="10">
        <v>178</v>
      </c>
      <c r="AC632" s="11">
        <f t="shared" si="121"/>
        <v>0</v>
      </c>
      <c r="AD632" s="12">
        <f t="shared" si="120"/>
        <v>2652</v>
      </c>
      <c r="AE632" s="13">
        <f t="shared" ref="AE632:AE695" si="123">AA632-AD632</f>
        <v>0</v>
      </c>
    </row>
    <row r="633" spans="1:31">
      <c r="A633" s="6">
        <v>22</v>
      </c>
      <c r="B633" s="6">
        <f t="shared" si="122"/>
        <v>15</v>
      </c>
      <c r="C633" s="6" t="str">
        <f t="shared" si="113"/>
        <v>652466500ALEATHER, HIDE TOP GRAIN, OBSIDIAN BLACK, NNB, BLA5894354450572771</v>
      </c>
      <c r="D633" s="6" t="s">
        <v>328</v>
      </c>
      <c r="E633" s="6" t="s">
        <v>163</v>
      </c>
      <c r="F633" s="6"/>
      <c r="G633" s="7" t="s">
        <v>141</v>
      </c>
      <c r="H633" s="7"/>
      <c r="I633" s="7"/>
      <c r="J633" s="7"/>
      <c r="K633" s="7"/>
      <c r="L633" s="7">
        <v>5894354</v>
      </c>
      <c r="M633" s="22">
        <v>45057</v>
      </c>
      <c r="N633" s="8"/>
      <c r="O633" s="8"/>
      <c r="P633" s="7">
        <v>2771</v>
      </c>
      <c r="Q633" s="7">
        <v>5894354</v>
      </c>
      <c r="R633" s="7"/>
      <c r="S633" s="7">
        <v>0</v>
      </c>
      <c r="T633" s="7"/>
      <c r="U633" s="7"/>
      <c r="V633" s="6">
        <f t="shared" si="114"/>
        <v>0</v>
      </c>
      <c r="W633" s="6">
        <f t="shared" si="115"/>
        <v>0</v>
      </c>
      <c r="X633" s="6">
        <f t="shared" si="116"/>
        <v>0</v>
      </c>
      <c r="Y633" s="6">
        <f t="shared" si="117"/>
        <v>0</v>
      </c>
      <c r="Z633" s="6">
        <f t="shared" si="118"/>
        <v>2127.1577047997112</v>
      </c>
      <c r="AA633" s="9">
        <f t="shared" si="119"/>
        <v>2771</v>
      </c>
      <c r="AB633" s="10">
        <v>178</v>
      </c>
      <c r="AC633" s="11">
        <f t="shared" si="121"/>
        <v>0</v>
      </c>
      <c r="AD633" s="12">
        <f t="shared" si="120"/>
        <v>2770.83</v>
      </c>
      <c r="AE633" s="13">
        <f t="shared" si="123"/>
        <v>0.17000000000007276</v>
      </c>
    </row>
    <row r="634" spans="1:31">
      <c r="A634" s="6">
        <v>22</v>
      </c>
      <c r="B634" s="6">
        <f t="shared" si="122"/>
        <v>16</v>
      </c>
      <c r="C634" s="6" t="str">
        <f t="shared" si="113"/>
        <v>652466500ALEATHER, HIDE TOP GRAIN, OBSIDIAN BLACK, NNB, BLA3859804449172150</v>
      </c>
      <c r="D634" s="6" t="s">
        <v>328</v>
      </c>
      <c r="E634" s="6" t="s">
        <v>163</v>
      </c>
      <c r="F634" s="6"/>
      <c r="G634" s="7" t="s">
        <v>141</v>
      </c>
      <c r="H634" s="7"/>
      <c r="I634" s="7"/>
      <c r="J634" s="7"/>
      <c r="K634" s="7"/>
      <c r="L634" s="7">
        <v>3859804</v>
      </c>
      <c r="M634" s="22">
        <v>44917</v>
      </c>
      <c r="N634" s="8"/>
      <c r="O634" s="8"/>
      <c r="P634" s="7">
        <v>2150</v>
      </c>
      <c r="Q634" s="7">
        <v>5706306</v>
      </c>
      <c r="R634" s="7"/>
      <c r="S634" s="7">
        <v>0</v>
      </c>
      <c r="T634" s="7"/>
      <c r="U634" s="7"/>
      <c r="V634" s="6">
        <f t="shared" si="114"/>
        <v>0</v>
      </c>
      <c r="W634" s="6">
        <f t="shared" si="115"/>
        <v>0</v>
      </c>
      <c r="X634" s="6">
        <f t="shared" si="116"/>
        <v>0</v>
      </c>
      <c r="Y634" s="6">
        <f t="shared" si="117"/>
        <v>0</v>
      </c>
      <c r="Z634" s="6">
        <f t="shared" si="118"/>
        <v>2654.0958139534882</v>
      </c>
      <c r="AA634" s="9">
        <f t="shared" si="119"/>
        <v>2150</v>
      </c>
      <c r="AB634" s="10">
        <v>184</v>
      </c>
      <c r="AC634" s="11">
        <f t="shared" si="121"/>
        <v>0</v>
      </c>
      <c r="AD634" s="12">
        <f t="shared" si="120"/>
        <v>2150</v>
      </c>
      <c r="AE634" s="13">
        <f t="shared" si="123"/>
        <v>0</v>
      </c>
    </row>
    <row r="635" spans="1:31">
      <c r="A635" s="6">
        <v>22</v>
      </c>
      <c r="B635" s="6">
        <f t="shared" si="122"/>
        <v>17</v>
      </c>
      <c r="C635" s="6" t="str">
        <f t="shared" si="113"/>
        <v>639590100BSCREW SELF TAPPING INTERNAL T15, 15.01040745351120000</v>
      </c>
      <c r="D635" s="6" t="s">
        <v>328</v>
      </c>
      <c r="E635" s="6" t="s">
        <v>165</v>
      </c>
      <c r="F635" s="6"/>
      <c r="G635" s="7" t="s">
        <v>143</v>
      </c>
      <c r="H635" s="7"/>
      <c r="I635" s="7"/>
      <c r="J635" s="7"/>
      <c r="K635" s="7"/>
      <c r="L635" s="7">
        <v>10407</v>
      </c>
      <c r="M635" s="22">
        <v>45351</v>
      </c>
      <c r="N635" s="8" t="s">
        <v>180</v>
      </c>
      <c r="O635" s="8"/>
      <c r="P635" s="7">
        <v>120000</v>
      </c>
      <c r="Q635" s="7">
        <v>157076.74</v>
      </c>
      <c r="R635" s="7">
        <v>87089400</v>
      </c>
      <c r="S635" s="7">
        <v>15</v>
      </c>
      <c r="T635" s="7" t="s">
        <v>291</v>
      </c>
      <c r="U635" s="7" t="s">
        <v>178</v>
      </c>
      <c r="V635" s="6">
        <f t="shared" si="114"/>
        <v>23561.510999999999</v>
      </c>
      <c r="W635" s="6">
        <f t="shared" si="115"/>
        <v>2356.1511</v>
      </c>
      <c r="X635" s="6">
        <f t="shared" si="116"/>
        <v>25917.662099999998</v>
      </c>
      <c r="Y635" s="6">
        <f t="shared" si="117"/>
        <v>0.21598051749999997</v>
      </c>
      <c r="Z635" s="6">
        <f t="shared" si="118"/>
        <v>1.3089728333333333</v>
      </c>
      <c r="AA635" s="9">
        <f t="shared" si="119"/>
        <v>120000</v>
      </c>
      <c r="AB635" s="10">
        <v>38838</v>
      </c>
      <c r="AC635" s="11">
        <f t="shared" si="121"/>
        <v>8388.2513386649989</v>
      </c>
      <c r="AD635" s="12">
        <f t="shared" si="120"/>
        <v>120000</v>
      </c>
      <c r="AE635" s="13">
        <f t="shared" si="123"/>
        <v>0</v>
      </c>
    </row>
    <row r="636" spans="1:31">
      <c r="A636" s="6">
        <v>22</v>
      </c>
      <c r="B636" s="6">
        <f t="shared" si="122"/>
        <v>18</v>
      </c>
      <c r="C636" s="6" t="str">
        <f t="shared" si="113"/>
        <v>644345600ASCREW, SELF-TAPPING, PLA PLASTIC, 3.0, CROSS467246744973120000</v>
      </c>
      <c r="D636" s="6" t="s">
        <v>328</v>
      </c>
      <c r="E636" s="6" t="s">
        <v>166</v>
      </c>
      <c r="F636" s="6"/>
      <c r="G636" s="7" t="s">
        <v>144</v>
      </c>
      <c r="H636" s="7"/>
      <c r="I636" s="7"/>
      <c r="J636" s="7"/>
      <c r="K636" s="7"/>
      <c r="L636" s="7">
        <v>4672467</v>
      </c>
      <c r="M636" s="22">
        <v>44973</v>
      </c>
      <c r="N636" s="8"/>
      <c r="O636" s="8"/>
      <c r="P636" s="7">
        <v>120000</v>
      </c>
      <c r="Q636" s="7">
        <v>96772.74</v>
      </c>
      <c r="R636" s="7"/>
      <c r="S636" s="7">
        <v>15</v>
      </c>
      <c r="T636" s="7"/>
      <c r="U636" s="7"/>
      <c r="V636" s="6">
        <f t="shared" si="114"/>
        <v>14515.911</v>
      </c>
      <c r="W636" s="6">
        <f t="shared" si="115"/>
        <v>1451.5911000000001</v>
      </c>
      <c r="X636" s="6">
        <f t="shared" si="116"/>
        <v>15967.5021</v>
      </c>
      <c r="Y636" s="6">
        <f t="shared" si="117"/>
        <v>0.1330625175</v>
      </c>
      <c r="Z636" s="6">
        <f t="shared" si="118"/>
        <v>0.80643950000000009</v>
      </c>
      <c r="AA636" s="9">
        <f t="shared" si="119"/>
        <v>120000</v>
      </c>
      <c r="AB636" s="10">
        <v>14836</v>
      </c>
      <c r="AC636" s="11">
        <f t="shared" si="121"/>
        <v>1974.1155096300001</v>
      </c>
      <c r="AD636" s="12">
        <f t="shared" si="120"/>
        <v>117964</v>
      </c>
      <c r="AE636" s="13">
        <f t="shared" si="123"/>
        <v>2036</v>
      </c>
    </row>
    <row r="637" spans="1:31">
      <c r="A637" s="6">
        <v>22</v>
      </c>
      <c r="B637" s="6">
        <f t="shared" si="122"/>
        <v>19</v>
      </c>
      <c r="C637" s="6" t="str">
        <f t="shared" si="113"/>
        <v>651409900ASCREW, STD METRIC M6 HEXALOBULAR INTERNAL, T432015224540730000</v>
      </c>
      <c r="D637" s="6" t="s">
        <v>328</v>
      </c>
      <c r="E637" s="6" t="s">
        <v>168</v>
      </c>
      <c r="F637" s="6"/>
      <c r="G637" s="7" t="s">
        <v>146</v>
      </c>
      <c r="H637" s="7"/>
      <c r="I637" s="7"/>
      <c r="J637" s="7"/>
      <c r="K637" s="7"/>
      <c r="L637" s="7">
        <v>3201522</v>
      </c>
      <c r="M637" s="22">
        <v>45407</v>
      </c>
      <c r="N637" s="8"/>
      <c r="O637" s="8"/>
      <c r="P637" s="7">
        <v>30000</v>
      </c>
      <c r="Q637" s="7">
        <v>99525.2</v>
      </c>
      <c r="R637" s="7"/>
      <c r="S637" s="7">
        <v>15</v>
      </c>
      <c r="T637" s="7"/>
      <c r="U637" s="7"/>
      <c r="V637" s="6">
        <f t="shared" si="114"/>
        <v>14928.779999999999</v>
      </c>
      <c r="W637" s="6">
        <f t="shared" si="115"/>
        <v>1492.8779999999999</v>
      </c>
      <c r="X637" s="6">
        <f t="shared" si="116"/>
        <v>16421.657999999999</v>
      </c>
      <c r="Y637" s="6">
        <f t="shared" si="117"/>
        <v>0.5473886</v>
      </c>
      <c r="Z637" s="6">
        <f t="shared" si="118"/>
        <v>3.3175066666666666</v>
      </c>
      <c r="AA637" s="9">
        <f t="shared" si="119"/>
        <v>30000</v>
      </c>
      <c r="AB637" s="10">
        <v>8836</v>
      </c>
      <c r="AC637" s="11">
        <f t="shared" si="121"/>
        <v>4836.7256696000004</v>
      </c>
      <c r="AD637" s="12">
        <f t="shared" si="120"/>
        <v>28036</v>
      </c>
      <c r="AE637" s="13">
        <f t="shared" si="123"/>
        <v>1964</v>
      </c>
    </row>
    <row r="638" spans="1:31">
      <c r="A638" s="6">
        <v>22</v>
      </c>
      <c r="B638" s="6">
        <f t="shared" si="122"/>
        <v>20</v>
      </c>
      <c r="C638" s="6" t="str">
        <f t="shared" si="113"/>
        <v>651409900ASCREW, STD METRIC M6 HEXALOBULAR INTERNAL, T496092044530130000</v>
      </c>
      <c r="D638" s="6" t="s">
        <v>328</v>
      </c>
      <c r="E638" s="6" t="s">
        <v>168</v>
      </c>
      <c r="F638" s="6"/>
      <c r="G638" s="7" t="s">
        <v>146</v>
      </c>
      <c r="H638" s="7"/>
      <c r="I638" s="7"/>
      <c r="J638" s="7"/>
      <c r="K638" s="7"/>
      <c r="L638" s="7">
        <v>9609204</v>
      </c>
      <c r="M638" s="22">
        <v>45301</v>
      </c>
      <c r="N638" s="8"/>
      <c r="O638" s="8"/>
      <c r="P638" s="7">
        <v>30000</v>
      </c>
      <c r="Q638" s="7">
        <v>99623.3</v>
      </c>
      <c r="R638" s="7"/>
      <c r="S638" s="7">
        <v>15</v>
      </c>
      <c r="T638" s="7"/>
      <c r="U638" s="7"/>
      <c r="V638" s="6">
        <f t="shared" si="114"/>
        <v>14943.494999999999</v>
      </c>
      <c r="W638" s="6">
        <f t="shared" si="115"/>
        <v>1494.3495</v>
      </c>
      <c r="X638" s="6">
        <f t="shared" si="116"/>
        <v>16437.844499999999</v>
      </c>
      <c r="Y638" s="6">
        <f t="shared" si="117"/>
        <v>0.54792814999999995</v>
      </c>
      <c r="Z638" s="6">
        <f t="shared" si="118"/>
        <v>3.3207766666666667</v>
      </c>
      <c r="AA638" s="9">
        <f t="shared" si="119"/>
        <v>30000</v>
      </c>
      <c r="AB638" s="10">
        <v>3600</v>
      </c>
      <c r="AC638" s="11">
        <f t="shared" si="121"/>
        <v>1972.5413399999998</v>
      </c>
      <c r="AD638" s="12">
        <f t="shared" si="120"/>
        <v>30000</v>
      </c>
      <c r="AE638" s="13">
        <f t="shared" si="123"/>
        <v>0</v>
      </c>
    </row>
    <row r="639" spans="1:31">
      <c r="A639" s="6">
        <v>22</v>
      </c>
      <c r="B639" s="6">
        <f t="shared" si="122"/>
        <v>21</v>
      </c>
      <c r="C639" s="6" t="str">
        <f t="shared" si="113"/>
        <v>651409900ASCREW, STD METRIC M6 HEXALOBULAR INTERNAL, T492818664527830000</v>
      </c>
      <c r="D639" s="6" t="s">
        <v>328</v>
      </c>
      <c r="E639" s="6" t="s">
        <v>168</v>
      </c>
      <c r="F639" s="6"/>
      <c r="G639" s="7" t="s">
        <v>146</v>
      </c>
      <c r="H639" s="7"/>
      <c r="I639" s="7"/>
      <c r="J639" s="7"/>
      <c r="K639" s="7"/>
      <c r="L639" s="7">
        <v>9281866</v>
      </c>
      <c r="M639" s="22">
        <v>45278</v>
      </c>
      <c r="N639" s="8"/>
      <c r="O639" s="8"/>
      <c r="P639" s="7">
        <v>30000</v>
      </c>
      <c r="Q639" s="7">
        <v>99670.29</v>
      </c>
      <c r="R639" s="7"/>
      <c r="S639" s="7">
        <v>15</v>
      </c>
      <c r="T639" s="7"/>
      <c r="U639" s="7"/>
      <c r="V639" s="6">
        <f t="shared" si="114"/>
        <v>14950.543499999998</v>
      </c>
      <c r="W639" s="6">
        <f t="shared" si="115"/>
        <v>1495.0543499999999</v>
      </c>
      <c r="X639" s="6">
        <f t="shared" si="116"/>
        <v>16445.597849999998</v>
      </c>
      <c r="Y639" s="6">
        <f t="shared" si="117"/>
        <v>0.54818659499999989</v>
      </c>
      <c r="Z639" s="6">
        <f t="shared" si="118"/>
        <v>3.3223429999999996</v>
      </c>
      <c r="AA639" s="9">
        <f t="shared" si="119"/>
        <v>30000</v>
      </c>
      <c r="AB639" s="10">
        <v>2400</v>
      </c>
      <c r="AC639" s="11">
        <f t="shared" si="121"/>
        <v>1315.6478279999997</v>
      </c>
      <c r="AD639" s="12">
        <f t="shared" si="120"/>
        <v>30000</v>
      </c>
      <c r="AE639" s="13">
        <f t="shared" si="123"/>
        <v>0</v>
      </c>
    </row>
    <row r="640" spans="1:31">
      <c r="A640" s="6">
        <v>22</v>
      </c>
      <c r="B640" s="6">
        <f t="shared" si="122"/>
        <v>22</v>
      </c>
      <c r="C640" s="6" t="str">
        <f t="shared" si="113"/>
        <v>608225700ASCREW,STD METRIIC HEXALOBULAR  M5 T25 12MM82282814502760000</v>
      </c>
      <c r="D640" s="6" t="s">
        <v>328</v>
      </c>
      <c r="E640" s="6" t="s">
        <v>169</v>
      </c>
      <c r="F640" s="6"/>
      <c r="G640" s="7" t="s">
        <v>147</v>
      </c>
      <c r="H640" s="7"/>
      <c r="I640" s="7"/>
      <c r="J640" s="7"/>
      <c r="K640" s="7"/>
      <c r="L640" s="7">
        <v>8228281</v>
      </c>
      <c r="M640" s="22">
        <v>45027</v>
      </c>
      <c r="N640" s="8"/>
      <c r="O640" s="8"/>
      <c r="P640" s="7">
        <v>60000</v>
      </c>
      <c r="Q640" s="7">
        <v>232591.54</v>
      </c>
      <c r="R640" s="7"/>
      <c r="S640" s="7">
        <v>15</v>
      </c>
      <c r="T640" s="7"/>
      <c r="U640" s="7"/>
      <c r="V640" s="6">
        <f t="shared" si="114"/>
        <v>34888.731</v>
      </c>
      <c r="W640" s="6">
        <f t="shared" si="115"/>
        <v>3488.8731000000002</v>
      </c>
      <c r="X640" s="6">
        <f t="shared" si="116"/>
        <v>38377.604099999997</v>
      </c>
      <c r="Y640" s="6">
        <f t="shared" si="117"/>
        <v>0.639626735</v>
      </c>
      <c r="Z640" s="6">
        <f t="shared" si="118"/>
        <v>3.8765256666666668</v>
      </c>
      <c r="AA640" s="9">
        <f t="shared" si="119"/>
        <v>60000</v>
      </c>
      <c r="AB640" s="10">
        <v>5820</v>
      </c>
      <c r="AC640" s="11">
        <f t="shared" si="121"/>
        <v>3722.6275977</v>
      </c>
      <c r="AD640" s="12">
        <f t="shared" si="120"/>
        <v>59622</v>
      </c>
      <c r="AE640" s="13">
        <f t="shared" si="123"/>
        <v>378</v>
      </c>
    </row>
    <row r="641" spans="1:31">
      <c r="A641" s="6">
        <v>22</v>
      </c>
      <c r="B641" s="6">
        <f t="shared" si="122"/>
        <v>23</v>
      </c>
      <c r="C641" s="6" t="str">
        <f t="shared" si="113"/>
        <v>608225700ASCREW,STD METRIIC HEXALOBULAR  M5 T25 12MM35476634543035000</v>
      </c>
      <c r="D641" s="6" t="s">
        <v>328</v>
      </c>
      <c r="E641" s="6" t="s">
        <v>169</v>
      </c>
      <c r="F641" s="6"/>
      <c r="G641" s="7" t="s">
        <v>147</v>
      </c>
      <c r="H641" s="7"/>
      <c r="I641" s="7"/>
      <c r="J641" s="7"/>
      <c r="K641" s="7"/>
      <c r="L641" s="7">
        <v>3547663</v>
      </c>
      <c r="M641" s="22">
        <v>45430</v>
      </c>
      <c r="N641" s="8"/>
      <c r="O641" s="8"/>
      <c r="P641" s="7">
        <v>35000</v>
      </c>
      <c r="Q641" s="7">
        <v>109744.19</v>
      </c>
      <c r="R641" s="7"/>
      <c r="S641" s="7">
        <v>15</v>
      </c>
      <c r="T641" s="7"/>
      <c r="U641" s="7"/>
      <c r="V641" s="6">
        <f t="shared" si="114"/>
        <v>16461.628499999999</v>
      </c>
      <c r="W641" s="6">
        <f t="shared" si="115"/>
        <v>1646.1628499999999</v>
      </c>
      <c r="X641" s="6">
        <f t="shared" si="116"/>
        <v>18107.79135</v>
      </c>
      <c r="Y641" s="6">
        <f t="shared" si="117"/>
        <v>0.51736546714285714</v>
      </c>
      <c r="Z641" s="6">
        <f t="shared" si="118"/>
        <v>3.1355482857142856</v>
      </c>
      <c r="AA641" s="9">
        <f t="shared" si="119"/>
        <v>35000</v>
      </c>
      <c r="AB641" s="10">
        <v>3574</v>
      </c>
      <c r="AC641" s="11">
        <f t="shared" si="121"/>
        <v>1849.0641795685715</v>
      </c>
      <c r="AD641" s="12">
        <f t="shared" si="120"/>
        <v>35000</v>
      </c>
      <c r="AE641" s="13">
        <f t="shared" si="123"/>
        <v>0</v>
      </c>
    </row>
    <row r="642" spans="1:31">
      <c r="A642" s="6">
        <v>22</v>
      </c>
      <c r="B642" s="6">
        <f t="shared" si="122"/>
        <v>24</v>
      </c>
      <c r="C642" s="6" t="str">
        <f t="shared" ref="C642:C705" si="124">E642&amp;G642&amp;L642&amp;M642&amp;P642</f>
        <v>608225700ASCREW,STD METRIIC HEXALOBULAR  M5 T25 12MM98001224477225000</v>
      </c>
      <c r="D642" s="6" t="s">
        <v>328</v>
      </c>
      <c r="E642" s="6" t="s">
        <v>169</v>
      </c>
      <c r="F642" s="6"/>
      <c r="G642" s="7" t="s">
        <v>147</v>
      </c>
      <c r="H642" s="7"/>
      <c r="I642" s="7"/>
      <c r="J642" s="7"/>
      <c r="K642" s="7"/>
      <c r="L642" s="7">
        <v>9800122</v>
      </c>
      <c r="M642" s="22">
        <v>44772</v>
      </c>
      <c r="N642" s="8"/>
      <c r="O642" s="8"/>
      <c r="P642" s="7">
        <v>25000</v>
      </c>
      <c r="Q642" s="7">
        <v>80029.240000000005</v>
      </c>
      <c r="R642" s="7"/>
      <c r="S642" s="7">
        <v>15</v>
      </c>
      <c r="T642" s="7"/>
      <c r="U642" s="7"/>
      <c r="V642" s="6">
        <f t="shared" ref="V642:V705" si="125">Q642*S642%</f>
        <v>12004.386</v>
      </c>
      <c r="W642" s="6">
        <f t="shared" ref="W642:W705" si="126">V642*0.1</f>
        <v>1200.4386000000002</v>
      </c>
      <c r="X642" s="6">
        <f t="shared" ref="X642:X705" si="127">V642+W642</f>
        <v>13204.8246</v>
      </c>
      <c r="Y642" s="6">
        <f t="shared" ref="Y642:Y705" si="128">X642/P642</f>
        <v>0.52819298400000003</v>
      </c>
      <c r="Z642" s="6">
        <f t="shared" ref="Z642:Z705" si="129">Q642/P642</f>
        <v>3.2011696000000001</v>
      </c>
      <c r="AA642" s="9">
        <f t="shared" ref="AA642:AA705" si="130">P642</f>
        <v>25000</v>
      </c>
      <c r="AB642" s="10">
        <v>2500</v>
      </c>
      <c r="AC642" s="11">
        <f t="shared" si="121"/>
        <v>1320.4824600000002</v>
      </c>
      <c r="AD642" s="12">
        <f t="shared" ref="AD642:AD652" si="131">SUMIF($C$2:$C$2284,C642,$AB$2:$AB$2284)</f>
        <v>25000</v>
      </c>
      <c r="AE642" s="13">
        <f t="shared" si="123"/>
        <v>0</v>
      </c>
    </row>
    <row r="643" spans="1:31">
      <c r="A643" s="6">
        <v>22</v>
      </c>
      <c r="B643" s="6">
        <f t="shared" si="122"/>
        <v>25</v>
      </c>
      <c r="C643" s="6" t="str">
        <f t="shared" si="124"/>
        <v>608225700ASCREW,STD METRIIC HEXALOBULAR  M5 T25 12MM77207824517640000</v>
      </c>
      <c r="D643" s="6" t="s">
        <v>328</v>
      </c>
      <c r="E643" s="6" t="s">
        <v>169</v>
      </c>
      <c r="F643" s="6"/>
      <c r="G643" s="7" t="s">
        <v>147</v>
      </c>
      <c r="H643" s="7"/>
      <c r="I643" s="7"/>
      <c r="J643" s="7"/>
      <c r="K643" s="7"/>
      <c r="L643" s="7">
        <v>7720782</v>
      </c>
      <c r="M643" s="22">
        <v>45176</v>
      </c>
      <c r="N643" s="8"/>
      <c r="O643" s="8"/>
      <c r="P643" s="7">
        <v>40000</v>
      </c>
      <c r="Q643" s="7">
        <v>126873.98</v>
      </c>
      <c r="R643" s="7"/>
      <c r="S643" s="7">
        <v>15</v>
      </c>
      <c r="T643" s="7"/>
      <c r="U643" s="7"/>
      <c r="V643" s="6">
        <f t="shared" si="125"/>
        <v>19031.096999999998</v>
      </c>
      <c r="W643" s="6">
        <f t="shared" si="126"/>
        <v>1903.1097</v>
      </c>
      <c r="X643" s="6">
        <f t="shared" si="127"/>
        <v>20934.206699999999</v>
      </c>
      <c r="Y643" s="6">
        <f t="shared" si="128"/>
        <v>0.5233551675</v>
      </c>
      <c r="Z643" s="6">
        <f t="shared" si="129"/>
        <v>3.1718495</v>
      </c>
      <c r="AA643" s="9">
        <f t="shared" si="130"/>
        <v>40000</v>
      </c>
      <c r="AB643" s="10">
        <v>2400</v>
      </c>
      <c r="AC643" s="11">
        <f t="shared" ref="AC643:AC706" si="132">AB643*Y643</f>
        <v>1256.052402</v>
      </c>
      <c r="AD643" s="12">
        <f t="shared" si="131"/>
        <v>40000</v>
      </c>
      <c r="AE643" s="13">
        <f t="shared" si="123"/>
        <v>0</v>
      </c>
    </row>
    <row r="644" spans="1:31">
      <c r="A644" s="6">
        <v>22</v>
      </c>
      <c r="B644" s="6">
        <f t="shared" si="122"/>
        <v>26</v>
      </c>
      <c r="C644" s="6" t="str">
        <f t="shared" si="124"/>
        <v>651166400CSPRING, COIL, UPPER 29724154485445000</v>
      </c>
      <c r="D644" s="6" t="s">
        <v>328</v>
      </c>
      <c r="E644" s="6" t="s">
        <v>170</v>
      </c>
      <c r="F644" s="6"/>
      <c r="G644" s="7" t="s">
        <v>148</v>
      </c>
      <c r="H644" s="7"/>
      <c r="I644" s="7"/>
      <c r="J644" s="7"/>
      <c r="K644" s="7"/>
      <c r="L644" s="7">
        <v>2972415</v>
      </c>
      <c r="M644" s="22">
        <v>44854</v>
      </c>
      <c r="N644" s="8"/>
      <c r="O644" s="8"/>
      <c r="P644" s="7">
        <v>45000</v>
      </c>
      <c r="Q644" s="7">
        <v>89946.95</v>
      </c>
      <c r="R644" s="7"/>
      <c r="S644" s="7">
        <v>15</v>
      </c>
      <c r="T644" s="7"/>
      <c r="U644" s="7"/>
      <c r="V644" s="6">
        <f t="shared" si="125"/>
        <v>13492.0425</v>
      </c>
      <c r="W644" s="6">
        <f t="shared" si="126"/>
        <v>1349.20425</v>
      </c>
      <c r="X644" s="6">
        <f t="shared" si="127"/>
        <v>14841.24675</v>
      </c>
      <c r="Y644" s="6">
        <f t="shared" si="128"/>
        <v>0.32980548333333332</v>
      </c>
      <c r="Z644" s="6">
        <f t="shared" si="129"/>
        <v>1.9988211111111109</v>
      </c>
      <c r="AA644" s="9">
        <f t="shared" si="130"/>
        <v>45000</v>
      </c>
      <c r="AB644" s="10">
        <v>14676</v>
      </c>
      <c r="AC644" s="11">
        <f t="shared" si="132"/>
        <v>4840.2252733999994</v>
      </c>
      <c r="AD644" s="12">
        <f t="shared" si="131"/>
        <v>43476</v>
      </c>
      <c r="AE644" s="13">
        <f t="shared" si="123"/>
        <v>1524</v>
      </c>
    </row>
    <row r="645" spans="1:31">
      <c r="A645" s="6">
        <v>22</v>
      </c>
      <c r="B645" s="6">
        <f t="shared" si="122"/>
        <v>27</v>
      </c>
      <c r="C645" s="6" t="str">
        <f t="shared" si="124"/>
        <v>651166400CSPRING, COIL, UPPER 33079494488035000</v>
      </c>
      <c r="D645" s="6" t="s">
        <v>328</v>
      </c>
      <c r="E645" s="6" t="s">
        <v>170</v>
      </c>
      <c r="F645" s="6"/>
      <c r="G645" s="7" t="s">
        <v>148</v>
      </c>
      <c r="H645" s="7"/>
      <c r="I645" s="7"/>
      <c r="J645" s="7"/>
      <c r="K645" s="7"/>
      <c r="L645" s="7">
        <v>3307949</v>
      </c>
      <c r="M645" s="22">
        <v>44880</v>
      </c>
      <c r="N645" s="8"/>
      <c r="O645" s="8"/>
      <c r="P645" s="7">
        <v>35000</v>
      </c>
      <c r="Q645" s="7">
        <v>89712.01</v>
      </c>
      <c r="R645" s="7"/>
      <c r="S645" s="7">
        <v>15</v>
      </c>
      <c r="T645" s="7"/>
      <c r="U645" s="7"/>
      <c r="V645" s="6">
        <f t="shared" si="125"/>
        <v>13456.8015</v>
      </c>
      <c r="W645" s="6">
        <f t="shared" si="126"/>
        <v>1345.6801500000001</v>
      </c>
      <c r="X645" s="6">
        <f t="shared" si="127"/>
        <v>14802.48165</v>
      </c>
      <c r="Y645" s="6">
        <f t="shared" si="128"/>
        <v>0.42292804714285714</v>
      </c>
      <c r="Z645" s="6">
        <f t="shared" si="129"/>
        <v>2.5632002857142857</v>
      </c>
      <c r="AA645" s="9">
        <f t="shared" si="130"/>
        <v>35000</v>
      </c>
      <c r="AB645" s="10">
        <v>1656</v>
      </c>
      <c r="AC645" s="11">
        <f t="shared" si="132"/>
        <v>700.36884606857143</v>
      </c>
      <c r="AD645" s="12">
        <f t="shared" si="131"/>
        <v>35000</v>
      </c>
      <c r="AE645" s="13">
        <f t="shared" si="123"/>
        <v>0</v>
      </c>
    </row>
    <row r="646" spans="1:31">
      <c r="A646" s="6">
        <v>22</v>
      </c>
      <c r="B646" s="6">
        <f t="shared" si="122"/>
        <v>28</v>
      </c>
      <c r="C646" s="6" t="str">
        <f t="shared" si="124"/>
        <v>651166400CSPRING, COIL, UPPER 73271424515055000</v>
      </c>
      <c r="D646" s="6" t="s">
        <v>328</v>
      </c>
      <c r="E646" s="6" t="s">
        <v>170</v>
      </c>
      <c r="F646" s="6"/>
      <c r="G646" s="7" t="s">
        <v>148</v>
      </c>
      <c r="H646" s="7"/>
      <c r="I646" s="7"/>
      <c r="J646" s="7"/>
      <c r="K646" s="7"/>
      <c r="L646" s="7">
        <v>7327142</v>
      </c>
      <c r="M646" s="22">
        <v>45150</v>
      </c>
      <c r="N646" s="8"/>
      <c r="O646" s="8"/>
      <c r="P646" s="7">
        <v>55000</v>
      </c>
      <c r="Q646" s="7">
        <v>100568.15</v>
      </c>
      <c r="R646" s="7"/>
      <c r="S646" s="7">
        <v>15</v>
      </c>
      <c r="T646" s="7"/>
      <c r="U646" s="7"/>
      <c r="V646" s="6">
        <f t="shared" si="125"/>
        <v>15085.222499999998</v>
      </c>
      <c r="W646" s="6">
        <f t="shared" si="126"/>
        <v>1508.52225</v>
      </c>
      <c r="X646" s="6">
        <f t="shared" si="127"/>
        <v>16593.744749999998</v>
      </c>
      <c r="Y646" s="6">
        <f t="shared" si="128"/>
        <v>0.30170444999999996</v>
      </c>
      <c r="Z646" s="6">
        <f t="shared" si="129"/>
        <v>1.8285118181818181</v>
      </c>
      <c r="AA646" s="9">
        <f t="shared" si="130"/>
        <v>55000</v>
      </c>
      <c r="AB646" s="10">
        <v>1944</v>
      </c>
      <c r="AC646" s="11">
        <f t="shared" si="132"/>
        <v>586.51345079999987</v>
      </c>
      <c r="AD646" s="12">
        <f t="shared" si="131"/>
        <v>55000</v>
      </c>
      <c r="AE646" s="13">
        <f t="shared" si="123"/>
        <v>0</v>
      </c>
    </row>
    <row r="647" spans="1:31">
      <c r="A647" s="6">
        <v>22</v>
      </c>
      <c r="B647" s="6">
        <f t="shared" si="122"/>
        <v>29</v>
      </c>
      <c r="C647" s="6" t="str">
        <f t="shared" si="124"/>
        <v>651166400CSPRING, COIL, UPPER 78703654518520000</v>
      </c>
      <c r="D647" s="6" t="s">
        <v>328</v>
      </c>
      <c r="E647" s="6" t="s">
        <v>170</v>
      </c>
      <c r="F647" s="6"/>
      <c r="G647" s="7" t="s">
        <v>148</v>
      </c>
      <c r="H647" s="7"/>
      <c r="I647" s="7"/>
      <c r="J647" s="7"/>
      <c r="K647" s="7"/>
      <c r="L647" s="7">
        <v>7870365</v>
      </c>
      <c r="M647" s="22">
        <v>45185</v>
      </c>
      <c r="N647" s="8"/>
      <c r="O647" s="8"/>
      <c r="P647" s="7">
        <v>20000</v>
      </c>
      <c r="Q647" s="7">
        <v>35926.910000000003</v>
      </c>
      <c r="R647" s="7"/>
      <c r="S647" s="7">
        <v>15</v>
      </c>
      <c r="T647" s="7"/>
      <c r="U647" s="7"/>
      <c r="V647" s="6">
        <f t="shared" si="125"/>
        <v>5389.0365000000002</v>
      </c>
      <c r="W647" s="6">
        <f t="shared" si="126"/>
        <v>538.90365000000008</v>
      </c>
      <c r="X647" s="6">
        <f t="shared" si="127"/>
        <v>5927.9401500000004</v>
      </c>
      <c r="Y647" s="6">
        <f t="shared" si="128"/>
        <v>0.29639700750000003</v>
      </c>
      <c r="Z647" s="6">
        <f t="shared" si="129"/>
        <v>1.7963455000000002</v>
      </c>
      <c r="AA647" s="9">
        <f t="shared" si="130"/>
        <v>20000</v>
      </c>
      <c r="AB647" s="10">
        <v>3978</v>
      </c>
      <c r="AC647" s="11">
        <f t="shared" si="132"/>
        <v>1179.0672958350001</v>
      </c>
      <c r="AD647" s="12">
        <f t="shared" si="131"/>
        <v>20000</v>
      </c>
      <c r="AE647" s="13">
        <f t="shared" si="123"/>
        <v>0</v>
      </c>
    </row>
    <row r="648" spans="1:31">
      <c r="A648" s="6">
        <v>22</v>
      </c>
      <c r="B648" s="6">
        <f t="shared" si="122"/>
        <v>30</v>
      </c>
      <c r="C648" s="6" t="str">
        <f t="shared" si="124"/>
        <v>651015300BELEMENT, HEATER, HYBRID 2961309448545600</v>
      </c>
      <c r="D648" s="6" t="s">
        <v>328</v>
      </c>
      <c r="E648" s="6" t="s">
        <v>155</v>
      </c>
      <c r="F648" s="6"/>
      <c r="G648" s="7" t="s">
        <v>137</v>
      </c>
      <c r="H648" s="7"/>
      <c r="I648" s="7"/>
      <c r="J648" s="7"/>
      <c r="K648" s="7"/>
      <c r="L648" s="7">
        <v>2961309</v>
      </c>
      <c r="M648" s="22">
        <v>44854</v>
      </c>
      <c r="N648" s="8"/>
      <c r="O648" s="8"/>
      <c r="P648" s="7">
        <v>5600</v>
      </c>
      <c r="Q648" s="7">
        <v>3088881.26</v>
      </c>
      <c r="R648" s="7"/>
      <c r="S648" s="7">
        <v>15</v>
      </c>
      <c r="T648" s="7"/>
      <c r="U648" s="7"/>
      <c r="V648" s="6">
        <f t="shared" si="125"/>
        <v>463332.18899999995</v>
      </c>
      <c r="W648" s="6">
        <f t="shared" si="126"/>
        <v>46333.2189</v>
      </c>
      <c r="X648" s="6">
        <f t="shared" si="127"/>
        <v>509665.40789999993</v>
      </c>
      <c r="Y648" s="6">
        <f t="shared" si="128"/>
        <v>91.011679982142851</v>
      </c>
      <c r="Z648" s="6">
        <f t="shared" si="129"/>
        <v>551.58593928571429</v>
      </c>
      <c r="AA648" s="9">
        <f t="shared" si="130"/>
        <v>5600</v>
      </c>
      <c r="AB648" s="10">
        <v>140</v>
      </c>
      <c r="AC648" s="11">
        <f t="shared" si="132"/>
        <v>12741.6351975</v>
      </c>
      <c r="AD648" s="12">
        <f t="shared" si="131"/>
        <v>5600</v>
      </c>
      <c r="AE648" s="13">
        <f t="shared" si="123"/>
        <v>0</v>
      </c>
    </row>
    <row r="649" spans="1:31">
      <c r="A649" s="6">
        <v>23</v>
      </c>
      <c r="B649" s="6">
        <v>1</v>
      </c>
      <c r="C649" s="6" t="str">
        <f t="shared" si="124"/>
        <v>655818900BACTUATOR VIBRATION MOTOR ASSY WITH BRACKET BC3 CU38401924544814400</v>
      </c>
      <c r="D649" s="6" t="s">
        <v>331</v>
      </c>
      <c r="E649" s="6" t="s">
        <v>156</v>
      </c>
      <c r="F649" s="6"/>
      <c r="G649" s="7" t="s">
        <v>133</v>
      </c>
      <c r="H649" s="7"/>
      <c r="I649" s="7"/>
      <c r="J649" s="7"/>
      <c r="K649" s="7"/>
      <c r="L649" s="7">
        <v>3840192</v>
      </c>
      <c r="M649" s="22">
        <v>45448</v>
      </c>
      <c r="N649" s="8"/>
      <c r="O649" s="8"/>
      <c r="P649" s="7">
        <v>14400</v>
      </c>
      <c r="Q649" s="7">
        <v>4814039.4000000004</v>
      </c>
      <c r="R649" s="7"/>
      <c r="S649" s="7">
        <v>15</v>
      </c>
      <c r="T649" s="7"/>
      <c r="U649" s="7"/>
      <c r="V649" s="6">
        <f t="shared" si="125"/>
        <v>722105.91</v>
      </c>
      <c r="W649" s="6">
        <f t="shared" si="126"/>
        <v>72210.591</v>
      </c>
      <c r="X649" s="6">
        <f t="shared" si="127"/>
        <v>794316.50100000005</v>
      </c>
      <c r="Y649" s="6">
        <f t="shared" si="128"/>
        <v>55.160868125</v>
      </c>
      <c r="Z649" s="6">
        <f t="shared" si="129"/>
        <v>334.30829166666672</v>
      </c>
      <c r="AA649" s="9">
        <f t="shared" si="130"/>
        <v>14400</v>
      </c>
      <c r="AB649" s="10">
        <v>14400</v>
      </c>
      <c r="AC649" s="11">
        <f t="shared" si="132"/>
        <v>794316.50100000005</v>
      </c>
      <c r="AD649" s="12">
        <f t="shared" si="131"/>
        <v>14400</v>
      </c>
      <c r="AE649" s="13">
        <f t="shared" si="123"/>
        <v>0</v>
      </c>
    </row>
    <row r="650" spans="1:31">
      <c r="A650" s="6">
        <v>23</v>
      </c>
      <c r="B650" s="6">
        <f t="shared" si="122"/>
        <v>2</v>
      </c>
      <c r="C650" s="6" t="str">
        <f t="shared" si="124"/>
        <v>655818900BACTUATOR VIBRATION MOTOR ASSY WITH BRACKET BC3 CU4512849454884800</v>
      </c>
      <c r="D650" s="6" t="s">
        <v>331</v>
      </c>
      <c r="E650" s="6" t="s">
        <v>156</v>
      </c>
      <c r="F650" s="6"/>
      <c r="G650" s="7" t="s">
        <v>133</v>
      </c>
      <c r="H650" s="7"/>
      <c r="I650" s="7"/>
      <c r="J650" s="7"/>
      <c r="K650" s="7"/>
      <c r="L650" s="7">
        <v>4512849</v>
      </c>
      <c r="M650" s="22">
        <v>45488</v>
      </c>
      <c r="N650" s="8" t="s">
        <v>180</v>
      </c>
      <c r="O650" s="8" t="s">
        <v>332</v>
      </c>
      <c r="P650" s="7">
        <v>4800</v>
      </c>
      <c r="Q650" s="7">
        <v>1709248.91</v>
      </c>
      <c r="R650" s="7">
        <v>85013119</v>
      </c>
      <c r="S650" s="7">
        <v>15</v>
      </c>
      <c r="T650" s="7" t="s">
        <v>292</v>
      </c>
      <c r="U650" s="7" t="s">
        <v>178</v>
      </c>
      <c r="V650" s="6">
        <f t="shared" si="125"/>
        <v>256387.33649999998</v>
      </c>
      <c r="W650" s="6">
        <f t="shared" si="126"/>
        <v>25638.733649999998</v>
      </c>
      <c r="X650" s="6">
        <f t="shared" si="127"/>
        <v>282026.07014999999</v>
      </c>
      <c r="Y650" s="6">
        <f t="shared" si="128"/>
        <v>58.755431281249997</v>
      </c>
      <c r="Z650" s="6">
        <f t="shared" si="129"/>
        <v>356.09352291666664</v>
      </c>
      <c r="AA650" s="9">
        <f t="shared" si="130"/>
        <v>4800</v>
      </c>
      <c r="AB650" s="10">
        <v>958</v>
      </c>
      <c r="AC650" s="11">
        <f t="shared" si="132"/>
        <v>56287.703167437496</v>
      </c>
      <c r="AD650" s="12">
        <f t="shared" si="131"/>
        <v>4800</v>
      </c>
      <c r="AE650" s="13">
        <f t="shared" si="123"/>
        <v>0</v>
      </c>
    </row>
    <row r="651" spans="1:31">
      <c r="A651" s="6">
        <v>23</v>
      </c>
      <c r="B651" s="6">
        <f t="shared" si="122"/>
        <v>3</v>
      </c>
      <c r="C651" s="6" t="str">
        <f t="shared" si="124"/>
        <v>655931500AARMATURE, MONOBLOCK ASW4, HYUNDAI BC3-CUV4514923454889720</v>
      </c>
      <c r="D651" s="6" t="s">
        <v>331</v>
      </c>
      <c r="E651" s="6" t="s">
        <v>157</v>
      </c>
      <c r="F651" s="6"/>
      <c r="G651" s="7" t="s">
        <v>134</v>
      </c>
      <c r="H651" s="7"/>
      <c r="I651" s="7"/>
      <c r="J651" s="7"/>
      <c r="K651" s="7"/>
      <c r="L651" s="7">
        <v>4514923</v>
      </c>
      <c r="M651" s="22">
        <v>45488</v>
      </c>
      <c r="N651" s="8"/>
      <c r="O651" s="8"/>
      <c r="P651" s="7">
        <v>9720</v>
      </c>
      <c r="Q651" s="7">
        <v>3892188.59</v>
      </c>
      <c r="R651" s="7"/>
      <c r="S651" s="7">
        <v>15</v>
      </c>
      <c r="T651" s="7"/>
      <c r="U651" s="7"/>
      <c r="V651" s="6">
        <f t="shared" si="125"/>
        <v>583828.28849999991</v>
      </c>
      <c r="W651" s="6">
        <f t="shared" si="126"/>
        <v>58382.828849999991</v>
      </c>
      <c r="X651" s="6">
        <f t="shared" si="127"/>
        <v>642211.11734999996</v>
      </c>
      <c r="Y651" s="6">
        <f t="shared" si="128"/>
        <v>66.071102608024688</v>
      </c>
      <c r="Z651" s="6">
        <f t="shared" si="129"/>
        <v>400.43092489711933</v>
      </c>
      <c r="AA651" s="9">
        <f t="shared" si="130"/>
        <v>9720</v>
      </c>
      <c r="AB651" s="10">
        <v>9720</v>
      </c>
      <c r="AC651" s="11">
        <f t="shared" si="132"/>
        <v>642211.11734999996</v>
      </c>
      <c r="AD651" s="12">
        <f t="shared" si="131"/>
        <v>9720</v>
      </c>
      <c r="AE651" s="13">
        <f t="shared" si="123"/>
        <v>0</v>
      </c>
    </row>
    <row r="652" spans="1:31" ht="30">
      <c r="A652" s="6">
        <v>23</v>
      </c>
      <c r="B652" s="6">
        <f t="shared" si="122"/>
        <v>4</v>
      </c>
      <c r="C652" s="6" t="str">
        <f t="shared" si="124"/>
        <v>655931500AARMATURE, MONOBLOCK ASW4, HYUNDAI BC3-CUV46541374549710854</v>
      </c>
      <c r="D652" s="6" t="s">
        <v>331</v>
      </c>
      <c r="E652" s="6" t="s">
        <v>157</v>
      </c>
      <c r="F652" s="6"/>
      <c r="G652" s="7" t="s">
        <v>134</v>
      </c>
      <c r="H652" s="7"/>
      <c r="I652" s="7"/>
      <c r="J652" s="7"/>
      <c r="K652" s="7"/>
      <c r="L652" s="7">
        <v>4654137</v>
      </c>
      <c r="M652" s="22">
        <v>45497</v>
      </c>
      <c r="N652" s="8" t="s">
        <v>185</v>
      </c>
      <c r="O652" s="8" t="s">
        <v>332</v>
      </c>
      <c r="P652" s="7">
        <v>10854</v>
      </c>
      <c r="Q652" s="7">
        <v>4652722.95</v>
      </c>
      <c r="R652" s="7">
        <v>87089400</v>
      </c>
      <c r="S652" s="7">
        <v>15</v>
      </c>
      <c r="T652" s="7" t="s">
        <v>377</v>
      </c>
      <c r="U652" s="7" t="s">
        <v>178</v>
      </c>
      <c r="V652" s="6">
        <f t="shared" si="125"/>
        <v>697908.4425</v>
      </c>
      <c r="W652" s="6">
        <f t="shared" si="126"/>
        <v>69790.844250000009</v>
      </c>
      <c r="X652" s="6">
        <f t="shared" si="127"/>
        <v>767699.28674999997</v>
      </c>
      <c r="Y652" s="6">
        <f t="shared" si="128"/>
        <v>70.72961919568823</v>
      </c>
      <c r="Z652" s="6">
        <f t="shared" si="129"/>
        <v>428.66435876174683</v>
      </c>
      <c r="AA652" s="9">
        <f t="shared" si="130"/>
        <v>10854</v>
      </c>
      <c r="AB652" s="10">
        <v>5638</v>
      </c>
      <c r="AC652" s="11">
        <f t="shared" si="132"/>
        <v>398773.59302529023</v>
      </c>
      <c r="AD652" s="12">
        <f t="shared" si="131"/>
        <v>10854</v>
      </c>
      <c r="AE652" s="13">
        <f t="shared" si="123"/>
        <v>0</v>
      </c>
    </row>
    <row r="653" spans="1:31">
      <c r="A653" s="6">
        <v>23</v>
      </c>
      <c r="B653" s="6">
        <f t="shared" si="122"/>
        <v>5</v>
      </c>
      <c r="C653" s="6" t="str">
        <f t="shared" si="124"/>
        <v>651015300BELEMENT, HEATER, HYBRID 3620214454354620</v>
      </c>
      <c r="D653" s="6" t="s">
        <v>331</v>
      </c>
      <c r="E653" s="6" t="s">
        <v>155</v>
      </c>
      <c r="F653" s="6"/>
      <c r="G653" s="7" t="s">
        <v>137</v>
      </c>
      <c r="H653" s="7"/>
      <c r="I653" s="7"/>
      <c r="J653" s="7"/>
      <c r="K653" s="7"/>
      <c r="L653" s="7">
        <v>3620214</v>
      </c>
      <c r="M653" s="22">
        <v>45435</v>
      </c>
      <c r="N653" s="8" t="s">
        <v>190</v>
      </c>
      <c r="O653" s="8"/>
      <c r="P653" s="7">
        <v>4620</v>
      </c>
      <c r="Q653" s="7">
        <v>2455104.85</v>
      </c>
      <c r="R653" s="7">
        <v>87089400</v>
      </c>
      <c r="S653" s="7">
        <v>15</v>
      </c>
      <c r="T653" s="7" t="s">
        <v>374</v>
      </c>
      <c r="U653" s="7" t="s">
        <v>178</v>
      </c>
      <c r="V653" s="6">
        <f t="shared" si="125"/>
        <v>368265.72749999998</v>
      </c>
      <c r="W653" s="6">
        <f t="shared" si="126"/>
        <v>36826.572749999999</v>
      </c>
      <c r="X653" s="6">
        <f t="shared" si="127"/>
        <v>405092.30024999997</v>
      </c>
      <c r="Y653" s="6">
        <f t="shared" si="128"/>
        <v>87.682316071428559</v>
      </c>
      <c r="Z653" s="6">
        <f t="shared" si="129"/>
        <v>531.40797619047623</v>
      </c>
      <c r="AA653" s="9">
        <f t="shared" si="130"/>
        <v>4620</v>
      </c>
      <c r="AB653" s="10">
        <v>3730</v>
      </c>
      <c r="AC653" s="11">
        <f t="shared" si="132"/>
        <v>327055.03894642851</v>
      </c>
      <c r="AD653" s="12">
        <v>4620</v>
      </c>
      <c r="AE653" s="13">
        <f t="shared" si="123"/>
        <v>0</v>
      </c>
    </row>
    <row r="654" spans="1:31">
      <c r="A654" s="6">
        <v>23</v>
      </c>
      <c r="B654" s="6">
        <f t="shared" si="122"/>
        <v>6</v>
      </c>
      <c r="C654" s="6" t="str">
        <f t="shared" si="124"/>
        <v>652466500ALEATHER, HIDE TOP GRAIN, OBSIDIAN BLACK, NNB, BLA2150116453373403.51</v>
      </c>
      <c r="D654" s="6" t="s">
        <v>331</v>
      </c>
      <c r="E654" s="6" t="s">
        <v>163</v>
      </c>
      <c r="F654" s="6"/>
      <c r="G654" s="7" t="s">
        <v>141</v>
      </c>
      <c r="H654" s="7"/>
      <c r="I654" s="7"/>
      <c r="J654" s="7"/>
      <c r="K654" s="7"/>
      <c r="L654" s="7">
        <v>2150116</v>
      </c>
      <c r="M654" s="22">
        <v>45337</v>
      </c>
      <c r="N654" s="8"/>
      <c r="O654" s="8"/>
      <c r="P654" s="7">
        <v>3403.51</v>
      </c>
      <c r="Q654" s="7">
        <v>7788362.6299999999</v>
      </c>
      <c r="R654" s="7"/>
      <c r="S654" s="7">
        <v>0</v>
      </c>
      <c r="T654" s="7"/>
      <c r="U654" s="7"/>
      <c r="V654" s="6">
        <f t="shared" si="125"/>
        <v>0</v>
      </c>
      <c r="W654" s="6">
        <f t="shared" si="126"/>
        <v>0</v>
      </c>
      <c r="X654" s="6">
        <f t="shared" si="127"/>
        <v>0</v>
      </c>
      <c r="Y654" s="6">
        <f t="shared" si="128"/>
        <v>0</v>
      </c>
      <c r="Z654" s="6">
        <f t="shared" si="129"/>
        <v>2288.3325243645527</v>
      </c>
      <c r="AA654" s="9">
        <f t="shared" si="130"/>
        <v>3403.51</v>
      </c>
      <c r="AB654" s="10">
        <v>3403.51</v>
      </c>
      <c r="AC654" s="11">
        <f t="shared" si="132"/>
        <v>0</v>
      </c>
      <c r="AD654" s="12">
        <f t="shared" ref="AD654:AD685" si="133">SUMIF($C$2:$C$2284,C654,$AB$2:$AB$2284)</f>
        <v>3403.51</v>
      </c>
      <c r="AE654" s="13">
        <f t="shared" si="123"/>
        <v>0</v>
      </c>
    </row>
    <row r="655" spans="1:31">
      <c r="A655" s="6">
        <v>23</v>
      </c>
      <c r="B655" s="6">
        <f t="shared" si="122"/>
        <v>7</v>
      </c>
      <c r="C655" s="6" t="str">
        <f t="shared" si="124"/>
        <v>652466500ALEATHER, HIDE TOP GRAIN, OBSIDIAN BLACK, NNB, BLA2216476453421910.83</v>
      </c>
      <c r="D655" s="6" t="s">
        <v>331</v>
      </c>
      <c r="E655" s="6" t="s">
        <v>163</v>
      </c>
      <c r="F655" s="6"/>
      <c r="G655" s="7" t="s">
        <v>141</v>
      </c>
      <c r="H655" s="7"/>
      <c r="I655" s="7"/>
      <c r="J655" s="7"/>
      <c r="K655" s="7"/>
      <c r="L655" s="7">
        <v>2216476</v>
      </c>
      <c r="M655" s="22">
        <v>45342</v>
      </c>
      <c r="N655" s="8" t="s">
        <v>190</v>
      </c>
      <c r="O655" s="8"/>
      <c r="P655" s="7">
        <v>1910.83</v>
      </c>
      <c r="Q655" s="7">
        <v>4407434.0199999996</v>
      </c>
      <c r="R655" s="7">
        <v>41071200</v>
      </c>
      <c r="S655" s="7">
        <v>0</v>
      </c>
      <c r="T655" s="7" t="s">
        <v>261</v>
      </c>
      <c r="U655" s="7" t="s">
        <v>178</v>
      </c>
      <c r="V655" s="6">
        <f t="shared" si="125"/>
        <v>0</v>
      </c>
      <c r="W655" s="6">
        <f t="shared" si="126"/>
        <v>0</v>
      </c>
      <c r="X655" s="6">
        <f t="shared" si="127"/>
        <v>0</v>
      </c>
      <c r="Y655" s="6">
        <f t="shared" si="128"/>
        <v>0</v>
      </c>
      <c r="Z655" s="6">
        <f t="shared" si="129"/>
        <v>2306.5547536934209</v>
      </c>
      <c r="AA655" s="9">
        <f t="shared" si="130"/>
        <v>1910.83</v>
      </c>
      <c r="AB655" s="10">
        <v>26</v>
      </c>
      <c r="AC655" s="11">
        <f t="shared" si="132"/>
        <v>0</v>
      </c>
      <c r="AD655" s="12">
        <f t="shared" si="133"/>
        <v>1806</v>
      </c>
      <c r="AE655" s="13">
        <f t="shared" si="123"/>
        <v>104.82999999999993</v>
      </c>
    </row>
    <row r="656" spans="1:31">
      <c r="A656" s="6">
        <v>23</v>
      </c>
      <c r="B656" s="6">
        <f t="shared" si="122"/>
        <v>8</v>
      </c>
      <c r="C656" s="6" t="str">
        <f t="shared" si="124"/>
        <v>639590100BSCREW SELF TAPPING INTERNAL T15, 15.01079445515120000</v>
      </c>
      <c r="D656" s="6" t="s">
        <v>331</v>
      </c>
      <c r="E656" s="6" t="s">
        <v>165</v>
      </c>
      <c r="F656" s="6"/>
      <c r="G656" s="7" t="s">
        <v>143</v>
      </c>
      <c r="H656" s="7"/>
      <c r="I656" s="7"/>
      <c r="J656" s="7"/>
      <c r="K656" s="7"/>
      <c r="L656" s="7">
        <v>10794</v>
      </c>
      <c r="M656" s="22">
        <v>45515</v>
      </c>
      <c r="N656" s="8" t="s">
        <v>180</v>
      </c>
      <c r="O656" s="8"/>
      <c r="P656" s="7">
        <v>120000</v>
      </c>
      <c r="Q656" s="7">
        <v>158389.81</v>
      </c>
      <c r="R656" s="7">
        <v>87089400</v>
      </c>
      <c r="S656" s="7">
        <v>15</v>
      </c>
      <c r="T656" s="7" t="s">
        <v>291</v>
      </c>
      <c r="U656" s="7" t="s">
        <v>178</v>
      </c>
      <c r="V656" s="6">
        <f t="shared" si="125"/>
        <v>23758.4715</v>
      </c>
      <c r="W656" s="6">
        <f t="shared" si="126"/>
        <v>2375.8471500000001</v>
      </c>
      <c r="X656" s="6">
        <f t="shared" si="127"/>
        <v>26134.318650000001</v>
      </c>
      <c r="Y656" s="6">
        <f t="shared" si="128"/>
        <v>0.21778598875000002</v>
      </c>
      <c r="Z656" s="6">
        <f t="shared" si="129"/>
        <v>1.3199150833333333</v>
      </c>
      <c r="AA656" s="9">
        <f t="shared" si="130"/>
        <v>120000</v>
      </c>
      <c r="AB656" s="10">
        <v>86568</v>
      </c>
      <c r="AC656" s="11">
        <f t="shared" si="132"/>
        <v>18853.297474110001</v>
      </c>
      <c r="AD656" s="12">
        <f t="shared" si="133"/>
        <v>107300</v>
      </c>
      <c r="AE656" s="13">
        <f t="shared" si="123"/>
        <v>12700</v>
      </c>
    </row>
    <row r="657" spans="1:31">
      <c r="A657" s="6">
        <v>23</v>
      </c>
      <c r="B657" s="6">
        <f t="shared" si="122"/>
        <v>9</v>
      </c>
      <c r="C657" s="6" t="str">
        <f t="shared" si="124"/>
        <v>628408700ASCREW, STANDARD, METRIC, M5, HEXALOBULAR INTERNAL33705784541960000</v>
      </c>
      <c r="D657" s="6" t="s">
        <v>331</v>
      </c>
      <c r="E657" s="6" t="s">
        <v>167</v>
      </c>
      <c r="F657" s="6"/>
      <c r="G657" s="7" t="s">
        <v>145</v>
      </c>
      <c r="H657" s="7"/>
      <c r="I657" s="7"/>
      <c r="J657" s="7"/>
      <c r="K657" s="7"/>
      <c r="L657" s="7">
        <v>3370578</v>
      </c>
      <c r="M657" s="22">
        <v>45419</v>
      </c>
      <c r="N657" s="8" t="s">
        <v>190</v>
      </c>
      <c r="O657" s="8"/>
      <c r="P657" s="7">
        <v>60000</v>
      </c>
      <c r="Q657" s="7">
        <v>296379.8</v>
      </c>
      <c r="R657" s="7">
        <v>87089400</v>
      </c>
      <c r="S657" s="7">
        <v>15</v>
      </c>
      <c r="T657" s="7" t="s">
        <v>367</v>
      </c>
      <c r="U657" s="7" t="s">
        <v>178</v>
      </c>
      <c r="V657" s="6">
        <f t="shared" si="125"/>
        <v>44456.969999999994</v>
      </c>
      <c r="W657" s="6">
        <f t="shared" si="126"/>
        <v>4445.6969999999992</v>
      </c>
      <c r="X657" s="6">
        <f t="shared" si="127"/>
        <v>48902.666999999994</v>
      </c>
      <c r="Y657" s="6">
        <f t="shared" si="128"/>
        <v>0.81504444999999992</v>
      </c>
      <c r="Z657" s="6">
        <f t="shared" si="129"/>
        <v>4.9396633333333329</v>
      </c>
      <c r="AA657" s="9">
        <f t="shared" si="130"/>
        <v>60000</v>
      </c>
      <c r="AB657" s="10">
        <v>46800</v>
      </c>
      <c r="AC657" s="11">
        <f t="shared" si="132"/>
        <v>38144.080259999995</v>
      </c>
      <c r="AD657" s="12">
        <f t="shared" si="133"/>
        <v>60000</v>
      </c>
      <c r="AE657" s="13">
        <f t="shared" si="123"/>
        <v>0</v>
      </c>
    </row>
    <row r="658" spans="1:31">
      <c r="A658" s="6">
        <v>23</v>
      </c>
      <c r="B658" s="6">
        <f t="shared" si="122"/>
        <v>10</v>
      </c>
      <c r="C658" s="6" t="str">
        <f t="shared" si="124"/>
        <v>651409900ASCREW, STD METRIC M6 HEXALOBULAR INTERNAL, T443688664547960000</v>
      </c>
      <c r="D658" s="6" t="s">
        <v>331</v>
      </c>
      <c r="E658" s="6" t="s">
        <v>168</v>
      </c>
      <c r="F658" s="6"/>
      <c r="G658" s="7" t="s">
        <v>146</v>
      </c>
      <c r="H658" s="7"/>
      <c r="I658" s="7"/>
      <c r="J658" s="7"/>
      <c r="K658" s="7"/>
      <c r="L658" s="7">
        <v>4368866</v>
      </c>
      <c r="M658" s="22">
        <v>45479</v>
      </c>
      <c r="N658" s="8" t="s">
        <v>190</v>
      </c>
      <c r="O658" s="8"/>
      <c r="P658" s="7">
        <v>60000</v>
      </c>
      <c r="Q658" s="7">
        <v>198605.27</v>
      </c>
      <c r="R658" s="7">
        <v>87089500</v>
      </c>
      <c r="S658" s="7">
        <v>15</v>
      </c>
      <c r="T658" s="7" t="s">
        <v>183</v>
      </c>
      <c r="U658" s="7" t="s">
        <v>178</v>
      </c>
      <c r="V658" s="6">
        <f t="shared" si="125"/>
        <v>29790.790499999996</v>
      </c>
      <c r="W658" s="6">
        <f t="shared" si="126"/>
        <v>2979.0790499999998</v>
      </c>
      <c r="X658" s="6">
        <f t="shared" si="127"/>
        <v>32769.869549999996</v>
      </c>
      <c r="Y658" s="6">
        <f t="shared" si="128"/>
        <v>0.54616449249999988</v>
      </c>
      <c r="Z658" s="6">
        <f t="shared" si="129"/>
        <v>3.3100878333333332</v>
      </c>
      <c r="AA658" s="9">
        <f t="shared" si="130"/>
        <v>60000</v>
      </c>
      <c r="AB658" s="10">
        <v>31200</v>
      </c>
      <c r="AC658" s="11">
        <f t="shared" si="132"/>
        <v>17040.332165999997</v>
      </c>
      <c r="AD658" s="12">
        <f t="shared" si="133"/>
        <v>57600</v>
      </c>
      <c r="AE658" s="13">
        <f t="shared" si="123"/>
        <v>2400</v>
      </c>
    </row>
    <row r="659" spans="1:31">
      <c r="A659" s="6">
        <v>23</v>
      </c>
      <c r="B659" s="6">
        <f t="shared" si="122"/>
        <v>11</v>
      </c>
      <c r="C659" s="6" t="str">
        <f t="shared" si="124"/>
        <v>608225700ASCREW,STD METRIIC HEXALOBULAR  M5 T25 12MM21725514533825000</v>
      </c>
      <c r="D659" s="6" t="s">
        <v>331</v>
      </c>
      <c r="E659" s="6" t="s">
        <v>169</v>
      </c>
      <c r="F659" s="6"/>
      <c r="G659" s="7" t="s">
        <v>147</v>
      </c>
      <c r="H659" s="7"/>
      <c r="I659" s="7"/>
      <c r="J659" s="7"/>
      <c r="K659" s="7"/>
      <c r="L659" s="7">
        <v>2172551</v>
      </c>
      <c r="M659" s="22">
        <v>45338</v>
      </c>
      <c r="N659" s="8"/>
      <c r="O659" s="8"/>
      <c r="P659" s="7">
        <v>25000</v>
      </c>
      <c r="Q659" s="7">
        <v>89480.5</v>
      </c>
      <c r="R659" s="7"/>
      <c r="S659" s="7">
        <v>15</v>
      </c>
      <c r="T659" s="7"/>
      <c r="U659" s="7"/>
      <c r="V659" s="6">
        <f t="shared" si="125"/>
        <v>13422.074999999999</v>
      </c>
      <c r="W659" s="6">
        <f t="shared" si="126"/>
        <v>1342.2075</v>
      </c>
      <c r="X659" s="6">
        <f t="shared" si="127"/>
        <v>14764.282499999999</v>
      </c>
      <c r="Y659" s="6">
        <f t="shared" si="128"/>
        <v>0.59057130000000002</v>
      </c>
      <c r="Z659" s="6">
        <f t="shared" si="129"/>
        <v>3.5792199999999998</v>
      </c>
      <c r="AA659" s="9">
        <f t="shared" si="130"/>
        <v>25000</v>
      </c>
      <c r="AB659" s="10">
        <v>25000</v>
      </c>
      <c r="AC659" s="11">
        <f t="shared" si="132"/>
        <v>14764.282500000001</v>
      </c>
      <c r="AD659" s="12">
        <f t="shared" si="133"/>
        <v>25000</v>
      </c>
      <c r="AE659" s="13">
        <f t="shared" si="123"/>
        <v>0</v>
      </c>
    </row>
    <row r="660" spans="1:31">
      <c r="A660" s="6">
        <v>23</v>
      </c>
      <c r="B660" s="6">
        <f t="shared" si="122"/>
        <v>12</v>
      </c>
      <c r="C660" s="6" t="str">
        <f t="shared" si="124"/>
        <v>608225700ASCREW,STD METRIIC HEXALOBULAR  M5 T25 12MM44172494548220000</v>
      </c>
      <c r="D660" s="6" t="s">
        <v>331</v>
      </c>
      <c r="E660" s="6" t="s">
        <v>169</v>
      </c>
      <c r="F660" s="6"/>
      <c r="G660" s="7" t="s">
        <v>147</v>
      </c>
      <c r="H660" s="7"/>
      <c r="I660" s="7"/>
      <c r="J660" s="7"/>
      <c r="K660" s="7"/>
      <c r="L660" s="7">
        <v>4417249</v>
      </c>
      <c r="M660" s="22">
        <v>45482</v>
      </c>
      <c r="N660" s="8" t="s">
        <v>180</v>
      </c>
      <c r="O660" s="8" t="s">
        <v>332</v>
      </c>
      <c r="P660" s="7">
        <v>20000</v>
      </c>
      <c r="Q660" s="7">
        <v>72457.87</v>
      </c>
      <c r="R660" s="7">
        <v>87089400</v>
      </c>
      <c r="S660" s="7">
        <v>15</v>
      </c>
      <c r="T660" s="7" t="s">
        <v>275</v>
      </c>
      <c r="U660" s="7" t="s">
        <v>178</v>
      </c>
      <c r="V660" s="6">
        <f t="shared" si="125"/>
        <v>10868.680499999999</v>
      </c>
      <c r="W660" s="6">
        <f t="shared" si="126"/>
        <v>1086.8680499999998</v>
      </c>
      <c r="X660" s="6">
        <f t="shared" si="127"/>
        <v>11955.548549999998</v>
      </c>
      <c r="Y660" s="6">
        <f t="shared" si="128"/>
        <v>0.59777742749999985</v>
      </c>
      <c r="Z660" s="6">
        <f t="shared" si="129"/>
        <v>3.6228935</v>
      </c>
      <c r="AA660" s="9">
        <f t="shared" si="130"/>
        <v>20000</v>
      </c>
      <c r="AB660" s="10">
        <v>5716</v>
      </c>
      <c r="AC660" s="11">
        <f t="shared" si="132"/>
        <v>3416.8957755899992</v>
      </c>
      <c r="AD660" s="12">
        <f t="shared" si="133"/>
        <v>20000</v>
      </c>
      <c r="AE660" s="13">
        <f t="shared" si="123"/>
        <v>0</v>
      </c>
    </row>
    <row r="661" spans="1:31">
      <c r="A661" s="6">
        <v>23</v>
      </c>
      <c r="B661" s="6">
        <f t="shared" si="122"/>
        <v>13</v>
      </c>
      <c r="C661" s="6" t="str">
        <f t="shared" si="124"/>
        <v>651166400CSPRING, COIL, UPPER 40868414546350000</v>
      </c>
      <c r="D661" s="6" t="s">
        <v>331</v>
      </c>
      <c r="E661" s="6" t="s">
        <v>170</v>
      </c>
      <c r="F661" s="6"/>
      <c r="G661" s="7" t="s">
        <v>148</v>
      </c>
      <c r="H661" s="7"/>
      <c r="I661" s="7"/>
      <c r="J661" s="7"/>
      <c r="K661" s="7"/>
      <c r="L661" s="7">
        <v>4086841</v>
      </c>
      <c r="M661" s="22">
        <v>45463</v>
      </c>
      <c r="N661" s="8" t="s">
        <v>189</v>
      </c>
      <c r="O661" s="8" t="s">
        <v>333</v>
      </c>
      <c r="P661" s="7">
        <v>50000</v>
      </c>
      <c r="Q661" s="7">
        <v>91757.02</v>
      </c>
      <c r="R661" s="7">
        <v>87089500</v>
      </c>
      <c r="S661" s="7">
        <v>15</v>
      </c>
      <c r="T661" s="7" t="s">
        <v>412</v>
      </c>
      <c r="U661" s="7" t="s">
        <v>178</v>
      </c>
      <c r="V661" s="6">
        <f t="shared" si="125"/>
        <v>13763.553</v>
      </c>
      <c r="W661" s="6">
        <f t="shared" si="126"/>
        <v>1376.3553000000002</v>
      </c>
      <c r="X661" s="6">
        <f t="shared" si="127"/>
        <v>15139.908299999999</v>
      </c>
      <c r="Y661" s="6">
        <f t="shared" si="128"/>
        <v>0.30279816599999998</v>
      </c>
      <c r="Z661" s="6">
        <f t="shared" si="129"/>
        <v>1.8351404</v>
      </c>
      <c r="AA661" s="9">
        <f t="shared" si="130"/>
        <v>50000</v>
      </c>
      <c r="AB661" s="10">
        <v>46800</v>
      </c>
      <c r="AC661" s="11">
        <f t="shared" si="132"/>
        <v>14170.954168799999</v>
      </c>
      <c r="AD661" s="12">
        <f t="shared" si="133"/>
        <v>46800</v>
      </c>
      <c r="AE661" s="13">
        <f t="shared" si="123"/>
        <v>3200</v>
      </c>
    </row>
    <row r="662" spans="1:31">
      <c r="A662" s="6">
        <v>23</v>
      </c>
      <c r="B662" s="6">
        <f t="shared" si="122"/>
        <v>14</v>
      </c>
      <c r="C662" s="6" t="str">
        <f t="shared" si="124"/>
        <v>651015100AARMATURE, MONOBLOCK, ASW4, HYUNDAI BC37263786445891134</v>
      </c>
      <c r="D662" s="6" t="s">
        <v>331</v>
      </c>
      <c r="E662" s="6" t="s">
        <v>158</v>
      </c>
      <c r="F662" s="6"/>
      <c r="G662" s="7" t="s">
        <v>135</v>
      </c>
      <c r="H662" s="7"/>
      <c r="I662" s="7"/>
      <c r="J662" s="7"/>
      <c r="K662" s="7"/>
      <c r="L662" s="7">
        <v>7263786</v>
      </c>
      <c r="M662" s="22">
        <v>44589</v>
      </c>
      <c r="N662" s="8" t="s">
        <v>184</v>
      </c>
      <c r="O662" s="8"/>
      <c r="P662" s="7">
        <v>1134</v>
      </c>
      <c r="Q662" s="7">
        <v>573606</v>
      </c>
      <c r="R662" s="7">
        <v>87089400</v>
      </c>
      <c r="S662" s="7">
        <v>15</v>
      </c>
      <c r="T662" s="7" t="s">
        <v>278</v>
      </c>
      <c r="U662" s="7" t="s">
        <v>178</v>
      </c>
      <c r="V662" s="6">
        <f t="shared" si="125"/>
        <v>86040.9</v>
      </c>
      <c r="W662" s="6">
        <f t="shared" si="126"/>
        <v>8604.09</v>
      </c>
      <c r="X662" s="6">
        <f t="shared" si="127"/>
        <v>94644.989999999991</v>
      </c>
      <c r="Y662" s="6">
        <f t="shared" si="128"/>
        <v>83.461190476190467</v>
      </c>
      <c r="Z662" s="6">
        <f t="shared" si="129"/>
        <v>505.82539682539681</v>
      </c>
      <c r="AA662" s="9">
        <f t="shared" si="130"/>
        <v>1134</v>
      </c>
      <c r="AB662" s="10">
        <v>242</v>
      </c>
      <c r="AC662" s="11">
        <f t="shared" si="132"/>
        <v>20197.608095238094</v>
      </c>
      <c r="AD662" s="12">
        <f t="shared" si="133"/>
        <v>1025</v>
      </c>
      <c r="AE662" s="13">
        <f t="shared" si="123"/>
        <v>109</v>
      </c>
    </row>
    <row r="663" spans="1:31">
      <c r="A663" s="6">
        <v>23</v>
      </c>
      <c r="B663" s="6">
        <f t="shared" si="122"/>
        <v>15</v>
      </c>
      <c r="C663" s="6" t="str">
        <f t="shared" si="124"/>
        <v>650557200GCUSHION, FOLDED, C AND S HONDA 2JX7084771451352160</v>
      </c>
      <c r="D663" s="6" t="s">
        <v>331</v>
      </c>
      <c r="E663" s="6" t="s">
        <v>159</v>
      </c>
      <c r="F663" s="6"/>
      <c r="G663" s="7" t="s">
        <v>136</v>
      </c>
      <c r="H663" s="7"/>
      <c r="I663" s="7"/>
      <c r="J663" s="7"/>
      <c r="K663" s="7"/>
      <c r="L663" s="7">
        <v>7084771</v>
      </c>
      <c r="M663" s="22">
        <v>45135</v>
      </c>
      <c r="N663" s="8" t="s">
        <v>283</v>
      </c>
      <c r="O663" s="8"/>
      <c r="P663" s="7">
        <v>2160</v>
      </c>
      <c r="Q663" s="7">
        <v>2639662.4</v>
      </c>
      <c r="R663" s="7">
        <v>87089500</v>
      </c>
      <c r="S663" s="7">
        <v>5</v>
      </c>
      <c r="T663" s="7" t="s">
        <v>267</v>
      </c>
      <c r="U663" s="7" t="s">
        <v>178</v>
      </c>
      <c r="V663" s="6">
        <f t="shared" si="125"/>
        <v>131983.12</v>
      </c>
      <c r="W663" s="6">
        <f t="shared" si="126"/>
        <v>13198.312</v>
      </c>
      <c r="X663" s="6">
        <f t="shared" si="127"/>
        <v>145181.432</v>
      </c>
      <c r="Y663" s="6">
        <f t="shared" si="128"/>
        <v>67.213625925925925</v>
      </c>
      <c r="Z663" s="6">
        <f t="shared" si="129"/>
        <v>1222.065925925926</v>
      </c>
      <c r="AA663" s="9">
        <f t="shared" si="130"/>
        <v>2160</v>
      </c>
      <c r="AB663" s="10">
        <v>960</v>
      </c>
      <c r="AC663" s="11">
        <f t="shared" si="132"/>
        <v>64525.080888888886</v>
      </c>
      <c r="AD663" s="12">
        <f t="shared" si="133"/>
        <v>2140</v>
      </c>
      <c r="AE663" s="13">
        <f t="shared" si="123"/>
        <v>20</v>
      </c>
    </row>
    <row r="664" spans="1:31">
      <c r="A664" s="6">
        <v>23</v>
      </c>
      <c r="B664" s="6">
        <f t="shared" si="122"/>
        <v>16</v>
      </c>
      <c r="C664" s="6" t="str">
        <f t="shared" si="124"/>
        <v>634240200AHORN CONTACT, CU 681124845118600000</v>
      </c>
      <c r="D664" s="6" t="s">
        <v>331</v>
      </c>
      <c r="E664" s="6" t="s">
        <v>160</v>
      </c>
      <c r="F664" s="6"/>
      <c r="G664" s="7" t="s">
        <v>138</v>
      </c>
      <c r="H664" s="7"/>
      <c r="I664" s="7"/>
      <c r="J664" s="7"/>
      <c r="K664" s="7"/>
      <c r="L664" s="7">
        <v>6811248</v>
      </c>
      <c r="M664" s="22">
        <v>45118</v>
      </c>
      <c r="N664" s="8" t="s">
        <v>189</v>
      </c>
      <c r="O664" s="8" t="s">
        <v>332</v>
      </c>
      <c r="P664" s="7">
        <v>600000</v>
      </c>
      <c r="Q664" s="7">
        <v>627311.64</v>
      </c>
      <c r="R664" s="7">
        <v>87089900</v>
      </c>
      <c r="S664" s="7">
        <v>15</v>
      </c>
      <c r="T664" s="7" t="s">
        <v>258</v>
      </c>
      <c r="U664" s="7" t="s">
        <v>178</v>
      </c>
      <c r="V664" s="6">
        <f t="shared" si="125"/>
        <v>94096.745999999999</v>
      </c>
      <c r="W664" s="6">
        <f t="shared" si="126"/>
        <v>9409.6746000000003</v>
      </c>
      <c r="X664" s="6">
        <f t="shared" si="127"/>
        <v>103506.4206</v>
      </c>
      <c r="Y664" s="6">
        <f t="shared" si="128"/>
        <v>0.17251070099999999</v>
      </c>
      <c r="Z664" s="6">
        <f t="shared" si="129"/>
        <v>1.0455194000000001</v>
      </c>
      <c r="AA664" s="9">
        <f t="shared" si="130"/>
        <v>600000</v>
      </c>
      <c r="AB664" s="10">
        <v>62400</v>
      </c>
      <c r="AC664" s="11">
        <f t="shared" si="132"/>
        <v>10764.667742399999</v>
      </c>
      <c r="AD664" s="12">
        <f t="shared" si="133"/>
        <v>577364</v>
      </c>
      <c r="AE664" s="13">
        <f t="shared" si="123"/>
        <v>22636</v>
      </c>
    </row>
    <row r="665" spans="1:31">
      <c r="A665" s="6">
        <v>23</v>
      </c>
      <c r="B665" s="6">
        <f t="shared" si="122"/>
        <v>17</v>
      </c>
      <c r="C665" s="6" t="str">
        <f t="shared" si="124"/>
        <v>653052600AINFLATOR, APP-4.6, 2.2MO STANDARD_MIB, SQUARE_61X5131454450053456</v>
      </c>
      <c r="D665" s="6" t="s">
        <v>331</v>
      </c>
      <c r="E665" s="6" t="s">
        <v>161</v>
      </c>
      <c r="F665" s="6"/>
      <c r="G665" s="7" t="s">
        <v>139</v>
      </c>
      <c r="H665" s="7"/>
      <c r="I665" s="7"/>
      <c r="J665" s="7"/>
      <c r="K665" s="7"/>
      <c r="L665" s="7">
        <v>5131454</v>
      </c>
      <c r="M665" s="22">
        <v>45005</v>
      </c>
      <c r="N665" s="8"/>
      <c r="O665" s="8"/>
      <c r="P665" s="7">
        <v>3456</v>
      </c>
      <c r="Q665" s="7">
        <v>1853088.25</v>
      </c>
      <c r="R665" s="7"/>
      <c r="S665" s="7">
        <v>15</v>
      </c>
      <c r="T665" s="7"/>
      <c r="U665" s="7"/>
      <c r="V665" s="6">
        <f t="shared" si="125"/>
        <v>277963.23749999999</v>
      </c>
      <c r="W665" s="6">
        <f t="shared" si="126"/>
        <v>27796.32375</v>
      </c>
      <c r="X665" s="6">
        <f t="shared" si="127"/>
        <v>305759.56124999997</v>
      </c>
      <c r="Y665" s="6">
        <f t="shared" si="128"/>
        <v>88.47209526909721</v>
      </c>
      <c r="Z665" s="6">
        <f t="shared" si="129"/>
        <v>536.19451678240739</v>
      </c>
      <c r="AA665" s="9">
        <f t="shared" si="130"/>
        <v>3456</v>
      </c>
      <c r="AB665" s="10">
        <v>864</v>
      </c>
      <c r="AC665" s="11">
        <f t="shared" si="132"/>
        <v>76439.890312499992</v>
      </c>
      <c r="AD665" s="12">
        <f t="shared" si="133"/>
        <v>3456</v>
      </c>
      <c r="AE665" s="13">
        <f t="shared" si="123"/>
        <v>0</v>
      </c>
    </row>
    <row r="666" spans="1:31">
      <c r="A666" s="6">
        <v>23</v>
      </c>
      <c r="B666" s="6">
        <f t="shared" si="122"/>
        <v>18</v>
      </c>
      <c r="C666" s="6" t="str">
        <f t="shared" si="124"/>
        <v>653052600AINFLATOR, APP-4.6, 2.2MO STANDARD_MIB, SQUARE_61X6505272450983456</v>
      </c>
      <c r="D666" s="6" t="s">
        <v>331</v>
      </c>
      <c r="E666" s="6" t="s">
        <v>161</v>
      </c>
      <c r="F666" s="6"/>
      <c r="G666" s="7" t="s">
        <v>139</v>
      </c>
      <c r="H666" s="7"/>
      <c r="I666" s="7"/>
      <c r="J666" s="7"/>
      <c r="K666" s="7"/>
      <c r="L666" s="7">
        <v>6505272</v>
      </c>
      <c r="M666" s="22">
        <v>45098</v>
      </c>
      <c r="N666" s="8" t="s">
        <v>184</v>
      </c>
      <c r="O666" s="8"/>
      <c r="P666" s="7">
        <v>3456</v>
      </c>
      <c r="Q666" s="7">
        <v>1818691.99</v>
      </c>
      <c r="R666" s="7">
        <v>87089500</v>
      </c>
      <c r="S666" s="7">
        <v>15</v>
      </c>
      <c r="T666" s="7" t="s">
        <v>277</v>
      </c>
      <c r="U666" s="7" t="s">
        <v>200</v>
      </c>
      <c r="V666" s="6">
        <f t="shared" si="125"/>
        <v>272803.79849999998</v>
      </c>
      <c r="W666" s="6">
        <f t="shared" si="126"/>
        <v>27280.379849999998</v>
      </c>
      <c r="X666" s="6">
        <f t="shared" si="127"/>
        <v>300084.17834999994</v>
      </c>
      <c r="Y666" s="6">
        <f t="shared" si="128"/>
        <v>86.829912717013869</v>
      </c>
      <c r="Z666" s="6">
        <f t="shared" si="129"/>
        <v>526.24189525462964</v>
      </c>
      <c r="AA666" s="9">
        <f t="shared" si="130"/>
        <v>3456</v>
      </c>
      <c r="AB666" s="10">
        <v>96</v>
      </c>
      <c r="AC666" s="11">
        <f t="shared" si="132"/>
        <v>8335.671620833331</v>
      </c>
      <c r="AD666" s="12">
        <f t="shared" si="133"/>
        <v>3360</v>
      </c>
      <c r="AE666" s="13">
        <f t="shared" si="123"/>
        <v>96</v>
      </c>
    </row>
    <row r="667" spans="1:31">
      <c r="A667" s="6">
        <v>23</v>
      </c>
      <c r="B667" s="6">
        <f t="shared" si="122"/>
        <v>19</v>
      </c>
      <c r="C667" s="6" t="str">
        <f t="shared" si="124"/>
        <v>630580800ALABEL, RAW MATERIAL, BLA K12 TPC BUCKLE5160585449362400000</v>
      </c>
      <c r="D667" s="6" t="s">
        <v>331</v>
      </c>
      <c r="E667" s="6" t="s">
        <v>71</v>
      </c>
      <c r="F667" s="6"/>
      <c r="G667" s="7" t="s">
        <v>31</v>
      </c>
      <c r="H667" s="7"/>
      <c r="I667" s="7"/>
      <c r="J667" s="7"/>
      <c r="K667" s="7"/>
      <c r="L667" s="7">
        <v>5160585</v>
      </c>
      <c r="M667" s="22">
        <v>44936</v>
      </c>
      <c r="N667" s="8" t="s">
        <v>196</v>
      </c>
      <c r="O667" s="8" t="s">
        <v>333</v>
      </c>
      <c r="P667" s="7">
        <v>2400000</v>
      </c>
      <c r="Q667" s="7">
        <v>86522.34</v>
      </c>
      <c r="R667" s="7">
        <v>87082900</v>
      </c>
      <c r="S667" s="7">
        <v>15</v>
      </c>
      <c r="T667" s="7" t="s">
        <v>265</v>
      </c>
      <c r="U667" s="7" t="s">
        <v>178</v>
      </c>
      <c r="V667" s="6">
        <f t="shared" si="125"/>
        <v>12978.350999999999</v>
      </c>
      <c r="W667" s="6">
        <f t="shared" si="126"/>
        <v>1297.8351</v>
      </c>
      <c r="X667" s="6">
        <f t="shared" si="127"/>
        <v>14276.186099999999</v>
      </c>
      <c r="Y667" s="6">
        <f t="shared" si="128"/>
        <v>5.9484108749999999E-3</v>
      </c>
      <c r="Z667" s="6">
        <f t="shared" si="129"/>
        <v>3.6050974999999999E-2</v>
      </c>
      <c r="AA667" s="9">
        <f t="shared" si="130"/>
        <v>2400000</v>
      </c>
      <c r="AB667" s="10">
        <v>15600</v>
      </c>
      <c r="AC667" s="11">
        <f t="shared" si="132"/>
        <v>92.795209650000004</v>
      </c>
      <c r="AD667" s="12">
        <f t="shared" si="133"/>
        <v>548546</v>
      </c>
      <c r="AE667" s="13">
        <f t="shared" si="123"/>
        <v>1851454</v>
      </c>
    </row>
    <row r="668" spans="1:31">
      <c r="A668" s="6">
        <v>23</v>
      </c>
      <c r="B668" s="6">
        <f t="shared" si="122"/>
        <v>20</v>
      </c>
      <c r="C668" s="6" t="str">
        <f t="shared" si="124"/>
        <v>608067201ANUT, ISO, M5 351094044894800000</v>
      </c>
      <c r="D668" s="6" t="s">
        <v>331</v>
      </c>
      <c r="E668" s="6" t="s">
        <v>164</v>
      </c>
      <c r="F668" s="6"/>
      <c r="G668" s="7" t="s">
        <v>142</v>
      </c>
      <c r="H668" s="7"/>
      <c r="I668" s="7"/>
      <c r="J668" s="7"/>
      <c r="K668" s="7"/>
      <c r="L668" s="7">
        <v>3510940</v>
      </c>
      <c r="M668" s="22">
        <v>44894</v>
      </c>
      <c r="N668" s="8" t="s">
        <v>189</v>
      </c>
      <c r="O668" s="8" t="s">
        <v>332</v>
      </c>
      <c r="P668" s="7">
        <v>800000</v>
      </c>
      <c r="Q668" s="7">
        <v>1498489.13</v>
      </c>
      <c r="R668" s="7">
        <v>87089500</v>
      </c>
      <c r="S668" s="7">
        <v>15</v>
      </c>
      <c r="T668" s="7" t="s">
        <v>183</v>
      </c>
      <c r="U668" s="7" t="s">
        <v>178</v>
      </c>
      <c r="V668" s="6">
        <f t="shared" si="125"/>
        <v>224773.36949999997</v>
      </c>
      <c r="W668" s="6">
        <f t="shared" si="126"/>
        <v>22477.336949999997</v>
      </c>
      <c r="X668" s="6">
        <f t="shared" si="127"/>
        <v>247250.70644999997</v>
      </c>
      <c r="Y668" s="6">
        <f t="shared" si="128"/>
        <v>0.30906338306249997</v>
      </c>
      <c r="Z668" s="6">
        <f t="shared" si="129"/>
        <v>1.8731114124999999</v>
      </c>
      <c r="AA668" s="9">
        <f t="shared" si="130"/>
        <v>800000</v>
      </c>
      <c r="AB668" s="10">
        <v>3840</v>
      </c>
      <c r="AC668" s="11">
        <f t="shared" si="132"/>
        <v>1186.8033909599999</v>
      </c>
      <c r="AD668" s="12">
        <f t="shared" si="133"/>
        <v>70960</v>
      </c>
      <c r="AE668" s="13">
        <f t="shared" si="123"/>
        <v>729040</v>
      </c>
    </row>
    <row r="669" spans="1:31">
      <c r="A669" s="6">
        <v>23</v>
      </c>
      <c r="B669" s="6">
        <f t="shared" si="122"/>
        <v>21</v>
      </c>
      <c r="C669" s="6" t="str">
        <f t="shared" si="124"/>
        <v>644345600ASCREW, SELF-TAPPING, PLA PLASTIC, 3.0, CROSS82103034520890000</v>
      </c>
      <c r="D669" s="6" t="s">
        <v>331</v>
      </c>
      <c r="E669" s="6" t="s">
        <v>166</v>
      </c>
      <c r="F669" s="6"/>
      <c r="G669" s="7" t="s">
        <v>144</v>
      </c>
      <c r="H669" s="7"/>
      <c r="I669" s="7"/>
      <c r="J669" s="7"/>
      <c r="K669" s="7"/>
      <c r="L669" s="7">
        <v>8210303</v>
      </c>
      <c r="M669" s="22">
        <v>45208</v>
      </c>
      <c r="N669" s="8" t="s">
        <v>190</v>
      </c>
      <c r="O669" s="8" t="s">
        <v>333</v>
      </c>
      <c r="P669" s="7">
        <v>90000</v>
      </c>
      <c r="Q669" s="7">
        <v>68654.59</v>
      </c>
      <c r="R669" s="7">
        <v>87089500</v>
      </c>
      <c r="S669" s="7">
        <v>15</v>
      </c>
      <c r="T669" s="7" t="s">
        <v>191</v>
      </c>
      <c r="U669" s="7" t="s">
        <v>178</v>
      </c>
      <c r="V669" s="6">
        <f t="shared" si="125"/>
        <v>10298.188499999998</v>
      </c>
      <c r="W669" s="6">
        <f t="shared" si="126"/>
        <v>1029.8188499999999</v>
      </c>
      <c r="X669" s="6">
        <f t="shared" si="127"/>
        <v>11328.007349999998</v>
      </c>
      <c r="Y669" s="6">
        <f t="shared" si="128"/>
        <v>0.12586674833333331</v>
      </c>
      <c r="Z669" s="6">
        <f t="shared" si="129"/>
        <v>0.76282877777777769</v>
      </c>
      <c r="AA669" s="9">
        <f t="shared" si="130"/>
        <v>90000</v>
      </c>
      <c r="AB669" s="10">
        <v>31200</v>
      </c>
      <c r="AC669" s="11">
        <f t="shared" si="132"/>
        <v>3927.042547999999</v>
      </c>
      <c r="AD669" s="12">
        <f t="shared" si="133"/>
        <v>90000</v>
      </c>
      <c r="AE669" s="13">
        <f t="shared" si="123"/>
        <v>0</v>
      </c>
    </row>
    <row r="670" spans="1:31">
      <c r="A670" s="6">
        <v>24</v>
      </c>
      <c r="B670" s="6">
        <v>1</v>
      </c>
      <c r="C670" s="6" t="str">
        <f t="shared" si="124"/>
        <v>655818900BACTUATOR VIBRATION MOTOR ASSY WITH BRACKET BC3 CU9644868453034800</v>
      </c>
      <c r="D670" s="6" t="s">
        <v>365</v>
      </c>
      <c r="E670" s="6" t="s">
        <v>156</v>
      </c>
      <c r="F670" s="6"/>
      <c r="G670" s="7" t="s">
        <v>133</v>
      </c>
      <c r="H670" s="7"/>
      <c r="I670" s="7"/>
      <c r="J670" s="7"/>
      <c r="K670" s="7"/>
      <c r="L670" s="7">
        <v>9644868</v>
      </c>
      <c r="M670" s="22">
        <v>45303</v>
      </c>
      <c r="N670" s="8" t="s">
        <v>180</v>
      </c>
      <c r="O670" s="8"/>
      <c r="P670" s="7">
        <v>4800</v>
      </c>
      <c r="Q670" s="7">
        <v>1707138.34</v>
      </c>
      <c r="R670" s="7">
        <v>85013119</v>
      </c>
      <c r="S670" s="7">
        <v>10</v>
      </c>
      <c r="T670" s="7" t="s">
        <v>292</v>
      </c>
      <c r="U670" s="7" t="s">
        <v>178</v>
      </c>
      <c r="V670" s="6">
        <f t="shared" si="125"/>
        <v>170713.83400000003</v>
      </c>
      <c r="W670" s="6">
        <f t="shared" si="126"/>
        <v>17071.383400000002</v>
      </c>
      <c r="X670" s="6">
        <f t="shared" si="127"/>
        <v>187785.21740000002</v>
      </c>
      <c r="Y670" s="6">
        <f t="shared" si="128"/>
        <v>39.121920291666669</v>
      </c>
      <c r="Z670" s="6">
        <f t="shared" si="129"/>
        <v>355.65382083333333</v>
      </c>
      <c r="AA670" s="9">
        <f t="shared" si="130"/>
        <v>4800</v>
      </c>
      <c r="AB670" s="10">
        <v>4800</v>
      </c>
      <c r="AC670" s="11">
        <f t="shared" si="132"/>
        <v>187785.21740000002</v>
      </c>
      <c r="AD670" s="12">
        <f t="shared" si="133"/>
        <v>4800</v>
      </c>
      <c r="AE670" s="13">
        <f t="shared" si="123"/>
        <v>0</v>
      </c>
    </row>
    <row r="671" spans="1:31">
      <c r="A671" s="6">
        <v>24</v>
      </c>
      <c r="B671" s="6">
        <f t="shared" si="122"/>
        <v>2</v>
      </c>
      <c r="C671" s="6" t="str">
        <f t="shared" si="124"/>
        <v>655818900BACTUATOR VIBRATION MOTOR ASSY WITH BRACKET BC3 CU2271107453454800</v>
      </c>
      <c r="D671" s="6" t="s">
        <v>365</v>
      </c>
      <c r="E671" s="6" t="s">
        <v>156</v>
      </c>
      <c r="F671" s="6"/>
      <c r="G671" s="7" t="s">
        <v>133</v>
      </c>
      <c r="H671" s="7"/>
      <c r="I671" s="7"/>
      <c r="J671" s="7"/>
      <c r="K671" s="7"/>
      <c r="L671" s="7">
        <v>2271107</v>
      </c>
      <c r="M671" s="22">
        <v>45345</v>
      </c>
      <c r="N671" s="8" t="s">
        <v>180</v>
      </c>
      <c r="O671" s="8"/>
      <c r="P671" s="7">
        <v>4800</v>
      </c>
      <c r="Q671" s="7">
        <v>1699623.13</v>
      </c>
      <c r="R671" s="7">
        <v>85013119</v>
      </c>
      <c r="S671" s="7">
        <v>10</v>
      </c>
      <c r="T671" s="7" t="s">
        <v>292</v>
      </c>
      <c r="U671" s="7" t="s">
        <v>178</v>
      </c>
      <c r="V671" s="6">
        <f t="shared" si="125"/>
        <v>169962.31299999999</v>
      </c>
      <c r="W671" s="6">
        <f t="shared" si="126"/>
        <v>16996.231299999999</v>
      </c>
      <c r="X671" s="6">
        <f t="shared" si="127"/>
        <v>186958.54430000001</v>
      </c>
      <c r="Y671" s="6">
        <f t="shared" si="128"/>
        <v>38.949696729166668</v>
      </c>
      <c r="Z671" s="6">
        <f t="shared" si="129"/>
        <v>354.08815208333328</v>
      </c>
      <c r="AA671" s="9">
        <f t="shared" si="130"/>
        <v>4800</v>
      </c>
      <c r="AB671" s="10">
        <v>4800</v>
      </c>
      <c r="AC671" s="11">
        <f t="shared" si="132"/>
        <v>186958.54430000001</v>
      </c>
      <c r="AD671" s="12">
        <f t="shared" si="133"/>
        <v>4800</v>
      </c>
      <c r="AE671" s="13">
        <f t="shared" si="123"/>
        <v>0</v>
      </c>
    </row>
    <row r="672" spans="1:31">
      <c r="A672" s="6">
        <v>24</v>
      </c>
      <c r="B672" s="6">
        <f t="shared" si="122"/>
        <v>3</v>
      </c>
      <c r="C672" s="6" t="str">
        <f t="shared" si="124"/>
        <v>655818900BACTUATOR VIBRATION MOTOR ASSY WITH BRACKET BC3 CU3647924454364800</v>
      </c>
      <c r="D672" s="6" t="s">
        <v>365</v>
      </c>
      <c r="E672" s="6" t="s">
        <v>156</v>
      </c>
      <c r="F672" s="6"/>
      <c r="G672" s="7" t="s">
        <v>133</v>
      </c>
      <c r="H672" s="7"/>
      <c r="I672" s="7"/>
      <c r="J672" s="7"/>
      <c r="K672" s="7"/>
      <c r="L672" s="7">
        <v>3647924</v>
      </c>
      <c r="M672" s="22">
        <v>45436</v>
      </c>
      <c r="N672" s="8" t="s">
        <v>180</v>
      </c>
      <c r="O672" s="8" t="s">
        <v>332</v>
      </c>
      <c r="P672" s="7">
        <v>4800</v>
      </c>
      <c r="Q672" s="7">
        <v>1708909.97</v>
      </c>
      <c r="R672" s="7">
        <v>85013119</v>
      </c>
      <c r="S672" s="7">
        <v>15</v>
      </c>
      <c r="T672" s="7" t="s">
        <v>292</v>
      </c>
      <c r="U672" s="7" t="s">
        <v>178</v>
      </c>
      <c r="V672" s="6">
        <f t="shared" si="125"/>
        <v>256336.49549999999</v>
      </c>
      <c r="W672" s="6">
        <f t="shared" si="126"/>
        <v>25633.649550000002</v>
      </c>
      <c r="X672" s="6">
        <f t="shared" si="127"/>
        <v>281970.14504999999</v>
      </c>
      <c r="Y672" s="6">
        <f t="shared" si="128"/>
        <v>58.743780218749997</v>
      </c>
      <c r="Z672" s="6">
        <f t="shared" si="129"/>
        <v>356.02291041666666</v>
      </c>
      <c r="AA672" s="9">
        <f t="shared" si="130"/>
        <v>4800</v>
      </c>
      <c r="AB672" s="10">
        <v>3448</v>
      </c>
      <c r="AC672" s="11">
        <f t="shared" si="132"/>
        <v>202548.55419425</v>
      </c>
      <c r="AD672" s="12">
        <f t="shared" si="133"/>
        <v>4800</v>
      </c>
      <c r="AE672" s="13">
        <f t="shared" si="123"/>
        <v>0</v>
      </c>
    </row>
    <row r="673" spans="1:31" ht="30">
      <c r="A673" s="6">
        <v>24</v>
      </c>
      <c r="B673" s="6">
        <f t="shared" si="122"/>
        <v>4</v>
      </c>
      <c r="C673" s="6" t="str">
        <f t="shared" si="124"/>
        <v>655931500AARMATURE, MONOBLOCK ASW4, HYUNDAI BC3-CUV9763276453113240</v>
      </c>
      <c r="D673" s="6" t="s">
        <v>365</v>
      </c>
      <c r="E673" s="6" t="s">
        <v>157</v>
      </c>
      <c r="F673" s="6"/>
      <c r="G673" s="7" t="s">
        <v>134</v>
      </c>
      <c r="H673" s="7"/>
      <c r="I673" s="7"/>
      <c r="J673" s="7"/>
      <c r="K673" s="7"/>
      <c r="L673" s="7">
        <v>9763276</v>
      </c>
      <c r="M673" s="22">
        <v>45311</v>
      </c>
      <c r="N673" s="8" t="s">
        <v>185</v>
      </c>
      <c r="O673" s="8"/>
      <c r="P673" s="7">
        <v>3240</v>
      </c>
      <c r="Q673" s="7">
        <v>1369259.62</v>
      </c>
      <c r="R673" s="7">
        <v>87089400</v>
      </c>
      <c r="S673" s="7">
        <v>15</v>
      </c>
      <c r="T673" s="7" t="s">
        <v>194</v>
      </c>
      <c r="U673" s="7" t="s">
        <v>178</v>
      </c>
      <c r="V673" s="6">
        <f t="shared" si="125"/>
        <v>205388.943</v>
      </c>
      <c r="W673" s="6">
        <f t="shared" si="126"/>
        <v>20538.8943</v>
      </c>
      <c r="X673" s="6">
        <f t="shared" si="127"/>
        <v>225927.83730000001</v>
      </c>
      <c r="Y673" s="6">
        <f t="shared" si="128"/>
        <v>69.730813981481489</v>
      </c>
      <c r="Z673" s="6">
        <f t="shared" si="129"/>
        <v>422.61099382716054</v>
      </c>
      <c r="AA673" s="9">
        <f t="shared" si="130"/>
        <v>3240</v>
      </c>
      <c r="AB673" s="10">
        <v>3240</v>
      </c>
      <c r="AC673" s="11">
        <f t="shared" si="132"/>
        <v>225927.83730000001</v>
      </c>
      <c r="AD673" s="12">
        <f t="shared" si="133"/>
        <v>3240</v>
      </c>
      <c r="AE673" s="13">
        <f t="shared" si="123"/>
        <v>0</v>
      </c>
    </row>
    <row r="674" spans="1:31" ht="30">
      <c r="A674" s="6">
        <v>24</v>
      </c>
      <c r="B674" s="6">
        <f t="shared" si="122"/>
        <v>5</v>
      </c>
      <c r="C674" s="6" t="str">
        <f t="shared" si="124"/>
        <v>655931500AARMATURE, MONOBLOCK ASW4, HYUNDAI BC3-CUV9843097453173240</v>
      </c>
      <c r="D674" s="6" t="s">
        <v>365</v>
      </c>
      <c r="E674" s="6" t="s">
        <v>157</v>
      </c>
      <c r="F674" s="6"/>
      <c r="G674" s="7" t="s">
        <v>134</v>
      </c>
      <c r="H674" s="7"/>
      <c r="I674" s="7"/>
      <c r="J674" s="7"/>
      <c r="K674" s="7"/>
      <c r="L674" s="7">
        <v>9843097</v>
      </c>
      <c r="M674" s="22">
        <v>45317</v>
      </c>
      <c r="N674" s="8" t="s">
        <v>185</v>
      </c>
      <c r="O674" s="8"/>
      <c r="P674" s="7">
        <v>3240</v>
      </c>
      <c r="Q674" s="7">
        <v>1371956.32</v>
      </c>
      <c r="R674" s="7">
        <v>87089400</v>
      </c>
      <c r="S674" s="7">
        <v>15</v>
      </c>
      <c r="T674" s="7" t="s">
        <v>194</v>
      </c>
      <c r="U674" s="7" t="s">
        <v>178</v>
      </c>
      <c r="V674" s="6">
        <f t="shared" si="125"/>
        <v>205793.448</v>
      </c>
      <c r="W674" s="6">
        <f t="shared" si="126"/>
        <v>20579.344800000003</v>
      </c>
      <c r="X674" s="6">
        <f t="shared" si="127"/>
        <v>226372.7928</v>
      </c>
      <c r="Y674" s="6">
        <f t="shared" si="128"/>
        <v>69.86814592592593</v>
      </c>
      <c r="Z674" s="6">
        <f t="shared" si="129"/>
        <v>423.44330864197531</v>
      </c>
      <c r="AA674" s="9">
        <f t="shared" si="130"/>
        <v>3240</v>
      </c>
      <c r="AB674" s="10">
        <v>3240</v>
      </c>
      <c r="AC674" s="11">
        <f t="shared" si="132"/>
        <v>226372.79280000002</v>
      </c>
      <c r="AD674" s="12">
        <f t="shared" si="133"/>
        <v>3240</v>
      </c>
      <c r="AE674" s="13">
        <f t="shared" si="123"/>
        <v>0</v>
      </c>
    </row>
    <row r="675" spans="1:31" ht="30">
      <c r="A675" s="6">
        <v>24</v>
      </c>
      <c r="B675" s="6">
        <f t="shared" si="122"/>
        <v>6</v>
      </c>
      <c r="C675" s="6" t="str">
        <f t="shared" si="124"/>
        <v>655931500AARMATURE, MONOBLOCK ASW4, HYUNDAI BC3-CUV2152642453374860</v>
      </c>
      <c r="D675" s="6" t="s">
        <v>365</v>
      </c>
      <c r="E675" s="6" t="s">
        <v>157</v>
      </c>
      <c r="F675" s="6"/>
      <c r="G675" s="7" t="s">
        <v>134</v>
      </c>
      <c r="H675" s="7"/>
      <c r="I675" s="7"/>
      <c r="J675" s="7"/>
      <c r="K675" s="7"/>
      <c r="L675" s="7">
        <v>2152642</v>
      </c>
      <c r="M675" s="22">
        <v>45337</v>
      </c>
      <c r="N675" s="8" t="s">
        <v>185</v>
      </c>
      <c r="O675" s="8"/>
      <c r="P675" s="7">
        <v>4860</v>
      </c>
      <c r="Q675" s="7">
        <v>2054634.2</v>
      </c>
      <c r="R675" s="7">
        <v>87089400</v>
      </c>
      <c r="S675" s="7">
        <v>15</v>
      </c>
      <c r="T675" s="7" t="s">
        <v>194</v>
      </c>
      <c r="U675" s="7" t="s">
        <v>178</v>
      </c>
      <c r="V675" s="6">
        <f t="shared" si="125"/>
        <v>308195.13</v>
      </c>
      <c r="W675" s="6">
        <f t="shared" si="126"/>
        <v>30819.513000000003</v>
      </c>
      <c r="X675" s="6">
        <f t="shared" si="127"/>
        <v>339014.64299999998</v>
      </c>
      <c r="Y675" s="6">
        <f t="shared" si="128"/>
        <v>69.756099382716044</v>
      </c>
      <c r="Z675" s="6">
        <f t="shared" si="129"/>
        <v>422.76423868312759</v>
      </c>
      <c r="AA675" s="9">
        <f t="shared" si="130"/>
        <v>4860</v>
      </c>
      <c r="AB675" s="10">
        <v>4860</v>
      </c>
      <c r="AC675" s="11">
        <f t="shared" si="132"/>
        <v>339014.64299999998</v>
      </c>
      <c r="AD675" s="12">
        <f t="shared" si="133"/>
        <v>4860</v>
      </c>
      <c r="AE675" s="13">
        <f t="shared" si="123"/>
        <v>0</v>
      </c>
    </row>
    <row r="676" spans="1:31" ht="30">
      <c r="A676" s="6">
        <v>24</v>
      </c>
      <c r="B676" s="6">
        <f t="shared" si="122"/>
        <v>7</v>
      </c>
      <c r="C676" s="6" t="str">
        <f t="shared" si="124"/>
        <v>655931500AARMATURE, MONOBLOCK ASW4, HYUNDAI BC3-CUV3105903454023240</v>
      </c>
      <c r="D676" s="6" t="s">
        <v>365</v>
      </c>
      <c r="E676" s="6" t="s">
        <v>157</v>
      </c>
      <c r="F676" s="6"/>
      <c r="G676" s="7" t="s">
        <v>134</v>
      </c>
      <c r="H676" s="7"/>
      <c r="I676" s="7"/>
      <c r="J676" s="7"/>
      <c r="K676" s="7"/>
      <c r="L676" s="7">
        <v>3105903</v>
      </c>
      <c r="M676" s="22">
        <v>45402</v>
      </c>
      <c r="N676" s="8" t="s">
        <v>185</v>
      </c>
      <c r="O676" s="8" t="s">
        <v>332</v>
      </c>
      <c r="P676" s="7">
        <v>3240</v>
      </c>
      <c r="Q676" s="7">
        <v>1294067.32</v>
      </c>
      <c r="R676" s="7">
        <v>87089400</v>
      </c>
      <c r="S676" s="7">
        <v>15</v>
      </c>
      <c r="T676" s="7" t="s">
        <v>194</v>
      </c>
      <c r="U676" s="7" t="s">
        <v>178</v>
      </c>
      <c r="V676" s="6">
        <f t="shared" si="125"/>
        <v>194110.098</v>
      </c>
      <c r="W676" s="6">
        <f t="shared" si="126"/>
        <v>19411.0098</v>
      </c>
      <c r="X676" s="6">
        <f t="shared" si="127"/>
        <v>213521.1078</v>
      </c>
      <c r="Y676" s="6">
        <f t="shared" si="128"/>
        <v>65.901576481481484</v>
      </c>
      <c r="Z676" s="6">
        <f t="shared" si="129"/>
        <v>399.4034938271605</v>
      </c>
      <c r="AA676" s="9">
        <f t="shared" si="130"/>
        <v>3240</v>
      </c>
      <c r="AB676" s="10">
        <v>1708</v>
      </c>
      <c r="AC676" s="11">
        <f t="shared" si="132"/>
        <v>112559.89263037038</v>
      </c>
      <c r="AD676" s="12">
        <f t="shared" si="133"/>
        <v>2782</v>
      </c>
      <c r="AE676" s="13">
        <f t="shared" si="123"/>
        <v>458</v>
      </c>
    </row>
    <row r="677" spans="1:31">
      <c r="A677" s="6">
        <v>24</v>
      </c>
      <c r="B677" s="6">
        <f t="shared" si="122"/>
        <v>8</v>
      </c>
      <c r="C677" s="6" t="str">
        <f t="shared" si="124"/>
        <v>651015300BELEMENT, HEATER, HYBRID 2116712453353500</v>
      </c>
      <c r="D677" s="6" t="s">
        <v>365</v>
      </c>
      <c r="E677" s="6" t="s">
        <v>155</v>
      </c>
      <c r="F677" s="6"/>
      <c r="G677" s="7" t="s">
        <v>137</v>
      </c>
      <c r="H677" s="7"/>
      <c r="I677" s="7"/>
      <c r="J677" s="7"/>
      <c r="K677" s="7"/>
      <c r="L677" s="7">
        <v>2116712</v>
      </c>
      <c r="M677" s="22">
        <v>45335</v>
      </c>
      <c r="N677" s="8" t="s">
        <v>189</v>
      </c>
      <c r="O677" s="8"/>
      <c r="P677" s="7">
        <v>3500</v>
      </c>
      <c r="Q677" s="7">
        <v>1850116.93</v>
      </c>
      <c r="R677" s="7">
        <v>87089400</v>
      </c>
      <c r="S677" s="7">
        <v>15</v>
      </c>
      <c r="T677" s="7" t="s">
        <v>366</v>
      </c>
      <c r="U677" s="7" t="s">
        <v>178</v>
      </c>
      <c r="V677" s="6">
        <f t="shared" si="125"/>
        <v>277517.53949999996</v>
      </c>
      <c r="W677" s="6">
        <f t="shared" si="126"/>
        <v>27751.753949999998</v>
      </c>
      <c r="X677" s="6">
        <f t="shared" si="127"/>
        <v>305269.29344999994</v>
      </c>
      <c r="Y677" s="6">
        <f t="shared" si="128"/>
        <v>87.219798128571412</v>
      </c>
      <c r="Z677" s="6">
        <f t="shared" si="129"/>
        <v>528.60483714285715</v>
      </c>
      <c r="AA677" s="9">
        <f t="shared" si="130"/>
        <v>3500</v>
      </c>
      <c r="AB677" s="10">
        <v>2424</v>
      </c>
      <c r="AC677" s="11">
        <f t="shared" si="132"/>
        <v>211420.7906636571</v>
      </c>
      <c r="AD677" s="12">
        <f t="shared" si="133"/>
        <v>3040</v>
      </c>
      <c r="AE677" s="13">
        <f t="shared" si="123"/>
        <v>460</v>
      </c>
    </row>
    <row r="678" spans="1:31">
      <c r="A678" s="6">
        <v>24</v>
      </c>
      <c r="B678" s="6">
        <f t="shared" si="122"/>
        <v>9</v>
      </c>
      <c r="C678" s="6" t="str">
        <f t="shared" si="124"/>
        <v>628408700ASCREW, STANDARD, METRIC, M5, HEXALOBULAR INTERNAL39790904545660000</v>
      </c>
      <c r="D678" s="6" t="s">
        <v>365</v>
      </c>
      <c r="E678" s="6" t="s">
        <v>167</v>
      </c>
      <c r="F678" s="6"/>
      <c r="G678" s="7" t="s">
        <v>145</v>
      </c>
      <c r="H678" s="7"/>
      <c r="I678" s="7"/>
      <c r="J678" s="7"/>
      <c r="K678" s="7"/>
      <c r="L678" s="7">
        <v>3979090</v>
      </c>
      <c r="M678" s="22">
        <v>45456</v>
      </c>
      <c r="N678" s="8" t="s">
        <v>190</v>
      </c>
      <c r="O678" s="8"/>
      <c r="P678" s="7">
        <v>60000</v>
      </c>
      <c r="Q678" s="7">
        <v>296204.12</v>
      </c>
      <c r="R678" s="7">
        <v>87089400</v>
      </c>
      <c r="S678" s="7">
        <v>15</v>
      </c>
      <c r="T678" s="7" t="s">
        <v>367</v>
      </c>
      <c r="U678" s="7" t="s">
        <v>178</v>
      </c>
      <c r="V678" s="6">
        <f t="shared" si="125"/>
        <v>44430.617999999995</v>
      </c>
      <c r="W678" s="6">
        <f t="shared" si="126"/>
        <v>4443.0617999999995</v>
      </c>
      <c r="X678" s="6">
        <f t="shared" si="127"/>
        <v>48873.679799999998</v>
      </c>
      <c r="Y678" s="6">
        <f t="shared" si="128"/>
        <v>0.81456132999999997</v>
      </c>
      <c r="Z678" s="6">
        <f t="shared" si="129"/>
        <v>4.936735333333333</v>
      </c>
      <c r="AA678" s="9">
        <f t="shared" si="130"/>
        <v>60000</v>
      </c>
      <c r="AB678" s="10">
        <v>39600</v>
      </c>
      <c r="AC678" s="11">
        <f t="shared" si="132"/>
        <v>32256.628667999998</v>
      </c>
      <c r="AD678" s="12">
        <f t="shared" si="133"/>
        <v>58800</v>
      </c>
      <c r="AE678" s="13">
        <f t="shared" si="123"/>
        <v>1200</v>
      </c>
    </row>
    <row r="679" spans="1:31">
      <c r="A679" s="6">
        <v>24</v>
      </c>
      <c r="B679" s="6">
        <f t="shared" si="122"/>
        <v>10</v>
      </c>
      <c r="C679" s="6" t="str">
        <f t="shared" si="124"/>
        <v>608225700ASCREW,STD METRIIC HEXALOBULAR  M5 T25 12MM87825774470230000</v>
      </c>
      <c r="D679" s="6" t="s">
        <v>365</v>
      </c>
      <c r="E679" s="6" t="s">
        <v>169</v>
      </c>
      <c r="F679" s="6"/>
      <c r="G679" s="7" t="s">
        <v>147</v>
      </c>
      <c r="H679" s="7"/>
      <c r="I679" s="7"/>
      <c r="J679" s="7"/>
      <c r="K679" s="7"/>
      <c r="L679" s="7">
        <v>8782577</v>
      </c>
      <c r="M679" s="22">
        <v>44702</v>
      </c>
      <c r="N679" s="8" t="s">
        <v>189</v>
      </c>
      <c r="O679" s="8" t="s">
        <v>332</v>
      </c>
      <c r="P679" s="7">
        <v>30000</v>
      </c>
      <c r="Q679" s="7">
        <v>127363.04</v>
      </c>
      <c r="R679" s="7">
        <v>87089400</v>
      </c>
      <c r="S679" s="7">
        <v>15</v>
      </c>
      <c r="T679" s="7" t="s">
        <v>368</v>
      </c>
      <c r="U679" s="7" t="s">
        <v>178</v>
      </c>
      <c r="V679" s="6">
        <f t="shared" si="125"/>
        <v>19104.455999999998</v>
      </c>
      <c r="W679" s="6">
        <f t="shared" si="126"/>
        <v>1910.4456</v>
      </c>
      <c r="X679" s="6">
        <f t="shared" si="127"/>
        <v>21014.901599999997</v>
      </c>
      <c r="Y679" s="6">
        <f t="shared" si="128"/>
        <v>0.70049671999999996</v>
      </c>
      <c r="Z679" s="6">
        <f t="shared" si="129"/>
        <v>4.2454346666666662</v>
      </c>
      <c r="AA679" s="9">
        <f t="shared" si="130"/>
        <v>30000</v>
      </c>
      <c r="AB679" s="10">
        <v>26096</v>
      </c>
      <c r="AC679" s="11">
        <f t="shared" si="132"/>
        <v>18280.162405119998</v>
      </c>
      <c r="AD679" s="12">
        <f t="shared" si="133"/>
        <v>30000</v>
      </c>
      <c r="AE679" s="13">
        <f t="shared" si="123"/>
        <v>0</v>
      </c>
    </row>
    <row r="680" spans="1:31">
      <c r="A680" s="6">
        <v>24</v>
      </c>
      <c r="B680" s="6">
        <f t="shared" si="122"/>
        <v>11</v>
      </c>
      <c r="C680" s="6" t="str">
        <f t="shared" si="124"/>
        <v>651166400CSPRING, COIL, UPPER 99557894478340000</v>
      </c>
      <c r="D680" s="6" t="s">
        <v>365</v>
      </c>
      <c r="E680" s="6" t="s">
        <v>170</v>
      </c>
      <c r="F680" s="6"/>
      <c r="G680" s="7" t="s">
        <v>148</v>
      </c>
      <c r="H680" s="7"/>
      <c r="I680" s="7"/>
      <c r="J680" s="7"/>
      <c r="K680" s="7"/>
      <c r="L680" s="7">
        <v>9955789</v>
      </c>
      <c r="M680" s="22">
        <v>44783</v>
      </c>
      <c r="N680" s="8" t="s">
        <v>180</v>
      </c>
      <c r="O680" s="8"/>
      <c r="P680" s="7">
        <v>40000</v>
      </c>
      <c r="Q680" s="7">
        <v>77819.48</v>
      </c>
      <c r="R680" s="7">
        <v>87089500</v>
      </c>
      <c r="S680" s="7">
        <v>15</v>
      </c>
      <c r="T680" s="7" t="s">
        <v>297</v>
      </c>
      <c r="U680" s="7" t="s">
        <v>178</v>
      </c>
      <c r="V680" s="6">
        <f t="shared" si="125"/>
        <v>11672.921999999999</v>
      </c>
      <c r="W680" s="6">
        <f t="shared" si="126"/>
        <v>1167.2921999999999</v>
      </c>
      <c r="X680" s="6">
        <f t="shared" si="127"/>
        <v>12840.214199999999</v>
      </c>
      <c r="Y680" s="6">
        <f t="shared" si="128"/>
        <v>0.32100535499999994</v>
      </c>
      <c r="Z680" s="6">
        <f t="shared" si="129"/>
        <v>1.945487</v>
      </c>
      <c r="AA680" s="9">
        <f t="shared" si="130"/>
        <v>40000</v>
      </c>
      <c r="AB680" s="10">
        <v>39600</v>
      </c>
      <c r="AC680" s="11">
        <f t="shared" si="132"/>
        <v>12711.812057999998</v>
      </c>
      <c r="AD680" s="12">
        <f t="shared" si="133"/>
        <v>39600</v>
      </c>
      <c r="AE680" s="13">
        <f t="shared" si="123"/>
        <v>400</v>
      </c>
    </row>
    <row r="681" spans="1:31">
      <c r="A681" s="6">
        <v>24</v>
      </c>
      <c r="B681" s="6">
        <f t="shared" si="122"/>
        <v>12</v>
      </c>
      <c r="C681" s="6" t="str">
        <f t="shared" si="124"/>
        <v>652466500ALEATHER, HIDE TOP GRAIN, OBSIDIAN BLACK, NNB, BLA518341645008508.51</v>
      </c>
      <c r="D681" s="6" t="s">
        <v>365</v>
      </c>
      <c r="E681" s="6" t="s">
        <v>163</v>
      </c>
      <c r="F681" s="6"/>
      <c r="G681" s="7" t="s">
        <v>141</v>
      </c>
      <c r="H681" s="7"/>
      <c r="I681" s="7"/>
      <c r="J681" s="7"/>
      <c r="K681" s="7"/>
      <c r="L681" s="7">
        <v>5183416</v>
      </c>
      <c r="M681" s="22">
        <v>45008</v>
      </c>
      <c r="N681" s="8" t="s">
        <v>184</v>
      </c>
      <c r="O681" s="8"/>
      <c r="P681" s="7">
        <v>508.51</v>
      </c>
      <c r="Q681" s="7">
        <v>1315332.52</v>
      </c>
      <c r="R681" s="7">
        <v>41071200</v>
      </c>
      <c r="S681" s="7">
        <v>0</v>
      </c>
      <c r="T681" s="7" t="s">
        <v>270</v>
      </c>
      <c r="U681" s="7" t="s">
        <v>178</v>
      </c>
      <c r="V681" s="6">
        <f t="shared" si="125"/>
        <v>0</v>
      </c>
      <c r="W681" s="6">
        <f t="shared" si="126"/>
        <v>0</v>
      </c>
      <c r="X681" s="6">
        <f t="shared" si="127"/>
        <v>0</v>
      </c>
      <c r="Y681" s="6">
        <f t="shared" si="128"/>
        <v>0</v>
      </c>
      <c r="Z681" s="6">
        <f t="shared" si="129"/>
        <v>2586.6404200507363</v>
      </c>
      <c r="AA681" s="9">
        <f t="shared" si="130"/>
        <v>508.51</v>
      </c>
      <c r="AB681" s="10">
        <v>330</v>
      </c>
      <c r="AC681" s="11">
        <f t="shared" si="132"/>
        <v>0</v>
      </c>
      <c r="AD681" s="12">
        <f t="shared" si="133"/>
        <v>508.16999999999996</v>
      </c>
      <c r="AE681" s="13">
        <f t="shared" si="123"/>
        <v>0.34000000000003183</v>
      </c>
    </row>
    <row r="682" spans="1:31">
      <c r="A682" s="6">
        <v>24</v>
      </c>
      <c r="B682" s="6">
        <f t="shared" si="122"/>
        <v>13</v>
      </c>
      <c r="C682" s="6" t="str">
        <f t="shared" si="124"/>
        <v>652466500ALEATHER, HIDE TOP GRAIN, OBSIDIAN BLACK, NNB, BLA589435445057548.43</v>
      </c>
      <c r="D682" s="6" t="s">
        <v>365</v>
      </c>
      <c r="E682" s="6" t="s">
        <v>163</v>
      </c>
      <c r="F682" s="6"/>
      <c r="G682" s="7" t="s">
        <v>141</v>
      </c>
      <c r="H682" s="7"/>
      <c r="I682" s="7"/>
      <c r="J682" s="7"/>
      <c r="K682" s="7"/>
      <c r="L682" s="7">
        <v>5894354</v>
      </c>
      <c r="M682" s="22">
        <v>45057</v>
      </c>
      <c r="N682" s="8" t="s">
        <v>184</v>
      </c>
      <c r="O682" s="8"/>
      <c r="P682" s="7">
        <v>548.42999999999995</v>
      </c>
      <c r="Q682" s="7">
        <v>1411455.65</v>
      </c>
      <c r="R682" s="7">
        <v>41071200</v>
      </c>
      <c r="S682" s="7">
        <v>0</v>
      </c>
      <c r="T682" s="7" t="s">
        <v>270</v>
      </c>
      <c r="U682" s="7" t="s">
        <v>178</v>
      </c>
      <c r="V682" s="6">
        <f t="shared" si="125"/>
        <v>0</v>
      </c>
      <c r="W682" s="6">
        <f t="shared" si="126"/>
        <v>0</v>
      </c>
      <c r="X682" s="6">
        <f t="shared" si="127"/>
        <v>0</v>
      </c>
      <c r="Y682" s="6">
        <f t="shared" si="128"/>
        <v>0</v>
      </c>
      <c r="Z682" s="6">
        <f t="shared" si="129"/>
        <v>2573.6295425122626</v>
      </c>
      <c r="AA682" s="9">
        <f t="shared" si="130"/>
        <v>548.42999999999995</v>
      </c>
      <c r="AB682" s="10">
        <v>370.72999999999996</v>
      </c>
      <c r="AC682" s="11">
        <f t="shared" si="132"/>
        <v>0</v>
      </c>
      <c r="AD682" s="12">
        <f t="shared" si="133"/>
        <v>548.42999999999995</v>
      </c>
      <c r="AE682" s="13">
        <f t="shared" si="123"/>
        <v>0</v>
      </c>
    </row>
    <row r="683" spans="1:31">
      <c r="A683" s="6">
        <v>24</v>
      </c>
      <c r="B683" s="6">
        <f t="shared" si="122"/>
        <v>14</v>
      </c>
      <c r="C683" s="6" t="str">
        <f t="shared" si="124"/>
        <v>650557200GCUSHION, FOLDED, C AND S HONDA 2JX371647044908720</v>
      </c>
      <c r="D683" s="6" t="s">
        <v>365</v>
      </c>
      <c r="E683" s="6" t="s">
        <v>159</v>
      </c>
      <c r="F683" s="6"/>
      <c r="G683" s="7" t="s">
        <v>136</v>
      </c>
      <c r="H683" s="7"/>
      <c r="I683" s="7"/>
      <c r="J683" s="7"/>
      <c r="K683" s="7"/>
      <c r="L683" s="7">
        <v>3716470</v>
      </c>
      <c r="M683" s="22">
        <v>44908</v>
      </c>
      <c r="N683" s="8" t="s">
        <v>189</v>
      </c>
      <c r="O683" s="8"/>
      <c r="P683" s="7">
        <v>720</v>
      </c>
      <c r="Q683" s="7">
        <v>882387.25</v>
      </c>
      <c r="R683" s="7">
        <v>87089500</v>
      </c>
      <c r="S683" s="7">
        <v>5</v>
      </c>
      <c r="T683" s="7" t="s">
        <v>267</v>
      </c>
      <c r="U683" s="7" t="s">
        <v>178</v>
      </c>
      <c r="V683" s="6">
        <f t="shared" si="125"/>
        <v>44119.362500000003</v>
      </c>
      <c r="W683" s="6">
        <f t="shared" si="126"/>
        <v>4411.9362500000007</v>
      </c>
      <c r="X683" s="6">
        <f t="shared" si="127"/>
        <v>48531.298750000002</v>
      </c>
      <c r="Y683" s="6">
        <f t="shared" si="128"/>
        <v>67.404581597222219</v>
      </c>
      <c r="Z683" s="6">
        <f t="shared" si="129"/>
        <v>1225.5378472222221</v>
      </c>
      <c r="AA683" s="9">
        <f t="shared" si="130"/>
        <v>720</v>
      </c>
      <c r="AB683" s="10">
        <v>260</v>
      </c>
      <c r="AC683" s="11">
        <f t="shared" si="132"/>
        <v>17525.191215277777</v>
      </c>
      <c r="AD683" s="12">
        <f t="shared" si="133"/>
        <v>720</v>
      </c>
      <c r="AE683" s="13">
        <f t="shared" si="123"/>
        <v>0</v>
      </c>
    </row>
    <row r="684" spans="1:31">
      <c r="A684" s="6">
        <v>24</v>
      </c>
      <c r="B684" s="6">
        <f t="shared" ref="B684:B747" si="134">B683+1</f>
        <v>15</v>
      </c>
      <c r="C684" s="6" t="str">
        <f t="shared" si="124"/>
        <v>639590100BSCREW SELF TAPPING INTERNAL T15, 15.01076345369120000</v>
      </c>
      <c r="D684" s="6" t="s">
        <v>365</v>
      </c>
      <c r="E684" s="6" t="s">
        <v>165</v>
      </c>
      <c r="F684" s="6"/>
      <c r="G684" s="7" t="s">
        <v>143</v>
      </c>
      <c r="H684" s="7"/>
      <c r="I684" s="7"/>
      <c r="J684" s="7"/>
      <c r="K684" s="7"/>
      <c r="L684" s="7">
        <v>10763</v>
      </c>
      <c r="M684" s="22">
        <v>45369</v>
      </c>
      <c r="N684" s="8" t="s">
        <v>180</v>
      </c>
      <c r="O684" s="8"/>
      <c r="P684" s="7">
        <v>120000</v>
      </c>
      <c r="Q684" s="7">
        <v>161852.57999999999</v>
      </c>
      <c r="R684" s="7">
        <v>87089900</v>
      </c>
      <c r="S684" s="7">
        <v>15</v>
      </c>
      <c r="T684" s="7" t="s">
        <v>291</v>
      </c>
      <c r="U684" s="7" t="s">
        <v>178</v>
      </c>
      <c r="V684" s="6">
        <f t="shared" si="125"/>
        <v>24277.886999999999</v>
      </c>
      <c r="W684" s="6">
        <f t="shared" si="126"/>
        <v>2427.7887000000001</v>
      </c>
      <c r="X684" s="6">
        <f t="shared" si="127"/>
        <v>26705.6757</v>
      </c>
      <c r="Y684" s="6">
        <f t="shared" si="128"/>
        <v>0.22254729749999999</v>
      </c>
      <c r="Z684" s="6">
        <f t="shared" si="129"/>
        <v>1.3487714999999998</v>
      </c>
      <c r="AA684" s="9">
        <f t="shared" si="130"/>
        <v>120000</v>
      </c>
      <c r="AB684" s="10">
        <v>16934</v>
      </c>
      <c r="AC684" s="11">
        <f t="shared" si="132"/>
        <v>3768.6159358649998</v>
      </c>
      <c r="AD684" s="12">
        <f t="shared" si="133"/>
        <v>120000</v>
      </c>
      <c r="AE684" s="13">
        <f t="shared" si="123"/>
        <v>0</v>
      </c>
    </row>
    <row r="685" spans="1:31">
      <c r="A685" s="6">
        <v>24</v>
      </c>
      <c r="B685" s="6">
        <f t="shared" si="134"/>
        <v>16</v>
      </c>
      <c r="C685" s="6" t="str">
        <f t="shared" si="124"/>
        <v>652466500ALEATHER, HIDE TOP GRAIN, OBSIDIAN BLACK, NNB, BLA5703451450435478.49</v>
      </c>
      <c r="D685" s="6" t="s">
        <v>365</v>
      </c>
      <c r="E685" s="6" t="s">
        <v>163</v>
      </c>
      <c r="F685" s="6"/>
      <c r="G685" s="7" t="s">
        <v>141</v>
      </c>
      <c r="H685" s="7"/>
      <c r="I685" s="7"/>
      <c r="J685" s="7"/>
      <c r="K685" s="7"/>
      <c r="L685" s="7">
        <v>5703451</v>
      </c>
      <c r="M685" s="22">
        <v>45043</v>
      </c>
      <c r="N685" s="8" t="s">
        <v>184</v>
      </c>
      <c r="O685" s="8"/>
      <c r="P685" s="7">
        <v>5478.4900000000007</v>
      </c>
      <c r="Q685" s="7">
        <v>14099606.499999998</v>
      </c>
      <c r="R685" s="7">
        <v>41071200</v>
      </c>
      <c r="S685" s="7">
        <v>0</v>
      </c>
      <c r="T685" s="7" t="s">
        <v>261</v>
      </c>
      <c r="U685" s="7" t="s">
        <v>178</v>
      </c>
      <c r="V685" s="6">
        <f t="shared" si="125"/>
        <v>0</v>
      </c>
      <c r="W685" s="6">
        <f t="shared" si="126"/>
        <v>0</v>
      </c>
      <c r="X685" s="6">
        <f t="shared" si="127"/>
        <v>0</v>
      </c>
      <c r="Y685" s="6">
        <f t="shared" si="128"/>
        <v>0</v>
      </c>
      <c r="Z685" s="6">
        <f t="shared" si="129"/>
        <v>2573.6300513462643</v>
      </c>
      <c r="AA685" s="9">
        <f t="shared" si="130"/>
        <v>5478.4900000000007</v>
      </c>
      <c r="AB685" s="10">
        <v>266.14492700000028</v>
      </c>
      <c r="AC685" s="11">
        <f t="shared" si="132"/>
        <v>0</v>
      </c>
      <c r="AD685" s="12">
        <f t="shared" si="133"/>
        <v>5478.4900000000007</v>
      </c>
      <c r="AE685" s="13">
        <f t="shared" si="123"/>
        <v>0</v>
      </c>
    </row>
    <row r="686" spans="1:31">
      <c r="A686" s="6">
        <v>24</v>
      </c>
      <c r="B686" s="6">
        <f t="shared" si="134"/>
        <v>17</v>
      </c>
      <c r="C686" s="6" t="str">
        <f t="shared" si="124"/>
        <v>652466500ALEATHER, HIDE TOP GRAIN, OBSIDIAN BLACK, NNB, BLA3568131454322589.17</v>
      </c>
      <c r="D686" s="6" t="s">
        <v>365</v>
      </c>
      <c r="E686" s="6" t="s">
        <v>163</v>
      </c>
      <c r="F686" s="6"/>
      <c r="G686" s="7" t="s">
        <v>141</v>
      </c>
      <c r="H686" s="7"/>
      <c r="I686" s="7"/>
      <c r="J686" s="7"/>
      <c r="K686" s="7"/>
      <c r="L686" s="7">
        <v>3568131</v>
      </c>
      <c r="M686" s="22">
        <v>45432</v>
      </c>
      <c r="N686" s="8" t="s">
        <v>190</v>
      </c>
      <c r="O686" s="8"/>
      <c r="P686" s="7">
        <v>2589.17</v>
      </c>
      <c r="Q686" s="7">
        <v>5821678</v>
      </c>
      <c r="R686" s="7">
        <v>41071200</v>
      </c>
      <c r="S686" s="7">
        <v>0</v>
      </c>
      <c r="T686" s="7" t="s">
        <v>261</v>
      </c>
      <c r="U686" s="7" t="s">
        <v>178</v>
      </c>
      <c r="V686" s="6">
        <f t="shared" si="125"/>
        <v>0</v>
      </c>
      <c r="W686" s="6">
        <f t="shared" si="126"/>
        <v>0</v>
      </c>
      <c r="X686" s="6">
        <f t="shared" si="127"/>
        <v>0</v>
      </c>
      <c r="Y686" s="6">
        <f t="shared" si="128"/>
        <v>0</v>
      </c>
      <c r="Z686" s="6">
        <f t="shared" si="129"/>
        <v>2248.4726765720288</v>
      </c>
      <c r="AA686" s="9">
        <f t="shared" si="130"/>
        <v>2589.17</v>
      </c>
      <c r="AB686" s="10">
        <v>136.34999999999991</v>
      </c>
      <c r="AC686" s="11">
        <f t="shared" si="132"/>
        <v>0</v>
      </c>
      <c r="AD686" s="12">
        <f t="shared" ref="AD686:AD710" si="135">SUMIF($C$2:$C$2284,C686,$AB$2:$AB$2284)</f>
        <v>2589.17</v>
      </c>
      <c r="AE686" s="13">
        <f t="shared" si="123"/>
        <v>0</v>
      </c>
    </row>
    <row r="687" spans="1:31">
      <c r="A687" s="6">
        <v>24</v>
      </c>
      <c r="B687" s="6">
        <f t="shared" si="134"/>
        <v>18</v>
      </c>
      <c r="C687" s="6" t="str">
        <f t="shared" si="124"/>
        <v>639590100BSCREW SELF TAPPING INTERNAL T15, 15.01040745351120000</v>
      </c>
      <c r="D687" s="6" t="s">
        <v>365</v>
      </c>
      <c r="E687" s="6" t="s">
        <v>165</v>
      </c>
      <c r="F687" s="6"/>
      <c r="G687" s="7" t="s">
        <v>143</v>
      </c>
      <c r="H687" s="7"/>
      <c r="I687" s="7"/>
      <c r="J687" s="7"/>
      <c r="K687" s="7"/>
      <c r="L687" s="7">
        <v>10407</v>
      </c>
      <c r="M687" s="22">
        <v>45351</v>
      </c>
      <c r="N687" s="8" t="s">
        <v>180</v>
      </c>
      <c r="O687" s="8"/>
      <c r="P687" s="7">
        <v>120000</v>
      </c>
      <c r="Q687" s="7">
        <v>157076.74</v>
      </c>
      <c r="R687" s="7">
        <v>87089400</v>
      </c>
      <c r="S687" s="7">
        <v>15</v>
      </c>
      <c r="T687" s="7" t="s">
        <v>291</v>
      </c>
      <c r="U687" s="7" t="s">
        <v>178</v>
      </c>
      <c r="V687" s="6">
        <f t="shared" si="125"/>
        <v>23561.510999999999</v>
      </c>
      <c r="W687" s="6">
        <f t="shared" si="126"/>
        <v>2356.1511</v>
      </c>
      <c r="X687" s="6">
        <f t="shared" si="127"/>
        <v>25917.662099999998</v>
      </c>
      <c r="Y687" s="6">
        <f t="shared" si="128"/>
        <v>0.21598051749999997</v>
      </c>
      <c r="Z687" s="6">
        <f t="shared" si="129"/>
        <v>1.3089728333333333</v>
      </c>
      <c r="AA687" s="9">
        <f t="shared" si="130"/>
        <v>120000</v>
      </c>
      <c r="AB687" s="10">
        <v>28014</v>
      </c>
      <c r="AC687" s="11">
        <f t="shared" si="132"/>
        <v>6050.4782172449995</v>
      </c>
      <c r="AD687" s="12">
        <f t="shared" si="135"/>
        <v>120000</v>
      </c>
      <c r="AE687" s="13">
        <f t="shared" si="123"/>
        <v>0</v>
      </c>
    </row>
    <row r="688" spans="1:31">
      <c r="A688" s="6">
        <v>24</v>
      </c>
      <c r="B688" s="6">
        <f t="shared" si="134"/>
        <v>19</v>
      </c>
      <c r="C688" s="6" t="str">
        <f t="shared" si="124"/>
        <v>652466500ALEATHER, HIDE TOP GRAIN, OBSIDIAN BLACK, NNB, BLA2216476453421910.83</v>
      </c>
      <c r="D688" s="6" t="s">
        <v>365</v>
      </c>
      <c r="E688" s="6" t="s">
        <v>163</v>
      </c>
      <c r="F688" s="6"/>
      <c r="G688" s="7" t="s">
        <v>141</v>
      </c>
      <c r="H688" s="7"/>
      <c r="I688" s="7"/>
      <c r="J688" s="7"/>
      <c r="K688" s="7"/>
      <c r="L688" s="7">
        <v>2216476</v>
      </c>
      <c r="M688" s="22">
        <v>45342</v>
      </c>
      <c r="N688" s="8" t="s">
        <v>190</v>
      </c>
      <c r="O688" s="8"/>
      <c r="P688" s="7">
        <v>1910.83</v>
      </c>
      <c r="Q688" s="7">
        <v>4407434.0199999996</v>
      </c>
      <c r="R688" s="7">
        <v>41071200</v>
      </c>
      <c r="S688" s="7">
        <v>0</v>
      </c>
      <c r="T688" s="7" t="s">
        <v>261</v>
      </c>
      <c r="U688" s="7" t="s">
        <v>178</v>
      </c>
      <c r="V688" s="6">
        <f t="shared" si="125"/>
        <v>0</v>
      </c>
      <c r="W688" s="6">
        <f t="shared" si="126"/>
        <v>0</v>
      </c>
      <c r="X688" s="6">
        <f t="shared" si="127"/>
        <v>0</v>
      </c>
      <c r="Y688" s="6">
        <f t="shared" si="128"/>
        <v>0</v>
      </c>
      <c r="Z688" s="6">
        <f t="shared" si="129"/>
        <v>2306.5547536934209</v>
      </c>
      <c r="AA688" s="9">
        <f t="shared" si="130"/>
        <v>1910.83</v>
      </c>
      <c r="AB688" s="10">
        <v>1780</v>
      </c>
      <c r="AC688" s="11">
        <f t="shared" si="132"/>
        <v>0</v>
      </c>
      <c r="AD688" s="12">
        <f t="shared" si="135"/>
        <v>1806</v>
      </c>
      <c r="AE688" s="13">
        <f t="shared" si="123"/>
        <v>104.82999999999993</v>
      </c>
    </row>
    <row r="689" spans="1:31">
      <c r="A689" s="6">
        <v>24</v>
      </c>
      <c r="B689" s="6">
        <f t="shared" si="134"/>
        <v>20</v>
      </c>
      <c r="C689" s="6" t="str">
        <f t="shared" si="124"/>
        <v>639590100BSCREW SELF TAPPING INTERNAL T15, 15.01079445515120000</v>
      </c>
      <c r="D689" s="6" t="s">
        <v>365</v>
      </c>
      <c r="E689" s="6" t="s">
        <v>165</v>
      </c>
      <c r="F689" s="6"/>
      <c r="G689" s="7" t="s">
        <v>143</v>
      </c>
      <c r="H689" s="7"/>
      <c r="I689" s="7"/>
      <c r="J689" s="7"/>
      <c r="K689" s="7"/>
      <c r="L689" s="7">
        <v>10794</v>
      </c>
      <c r="M689" s="22">
        <v>45515</v>
      </c>
      <c r="N689" s="8" t="s">
        <v>180</v>
      </c>
      <c r="O689" s="8"/>
      <c r="P689" s="7">
        <v>120000</v>
      </c>
      <c r="Q689" s="7">
        <v>158389.81</v>
      </c>
      <c r="R689" s="7">
        <v>87089400</v>
      </c>
      <c r="S689" s="7">
        <v>15</v>
      </c>
      <c r="T689" s="7" t="s">
        <v>291</v>
      </c>
      <c r="U689" s="7" t="s">
        <v>178</v>
      </c>
      <c r="V689" s="6">
        <f t="shared" si="125"/>
        <v>23758.4715</v>
      </c>
      <c r="W689" s="6">
        <f t="shared" si="126"/>
        <v>2375.8471500000001</v>
      </c>
      <c r="X689" s="6">
        <f t="shared" si="127"/>
        <v>26134.318650000001</v>
      </c>
      <c r="Y689" s="6">
        <f t="shared" si="128"/>
        <v>0.21778598875000002</v>
      </c>
      <c r="Z689" s="6">
        <f t="shared" si="129"/>
        <v>1.3199150833333333</v>
      </c>
      <c r="AA689" s="9">
        <f t="shared" si="130"/>
        <v>120000</v>
      </c>
      <c r="AB689" s="10">
        <v>20732</v>
      </c>
      <c r="AC689" s="11">
        <f t="shared" si="132"/>
        <v>4515.1391187650006</v>
      </c>
      <c r="AD689" s="12">
        <f t="shared" si="135"/>
        <v>107300</v>
      </c>
      <c r="AE689" s="13">
        <f t="shared" si="123"/>
        <v>12700</v>
      </c>
    </row>
    <row r="690" spans="1:31">
      <c r="A690" s="6">
        <v>24</v>
      </c>
      <c r="B690" s="6">
        <f t="shared" si="134"/>
        <v>21</v>
      </c>
      <c r="C690" s="6" t="str">
        <f t="shared" si="124"/>
        <v>651409900ASCREW, STD METRIC M6 HEXALOBULAR INTERNAL, T443688664547960000</v>
      </c>
      <c r="D690" s="6" t="s">
        <v>365</v>
      </c>
      <c r="E690" s="6" t="s">
        <v>168</v>
      </c>
      <c r="F690" s="6"/>
      <c r="G690" s="7" t="s">
        <v>146</v>
      </c>
      <c r="H690" s="7"/>
      <c r="I690" s="7"/>
      <c r="J690" s="7"/>
      <c r="K690" s="7"/>
      <c r="L690" s="7">
        <v>4368866</v>
      </c>
      <c r="M690" s="22">
        <v>45479</v>
      </c>
      <c r="N690" s="8" t="s">
        <v>190</v>
      </c>
      <c r="O690" s="8"/>
      <c r="P690" s="7">
        <v>60000</v>
      </c>
      <c r="Q690" s="7">
        <v>198605.27</v>
      </c>
      <c r="R690" s="7">
        <v>87089500</v>
      </c>
      <c r="S690" s="7">
        <v>15</v>
      </c>
      <c r="T690" s="7" t="s">
        <v>183</v>
      </c>
      <c r="U690" s="7" t="s">
        <v>178</v>
      </c>
      <c r="V690" s="6">
        <f t="shared" si="125"/>
        <v>29790.790499999996</v>
      </c>
      <c r="W690" s="6">
        <f t="shared" si="126"/>
        <v>2979.0790499999998</v>
      </c>
      <c r="X690" s="6">
        <f t="shared" si="127"/>
        <v>32769.869549999996</v>
      </c>
      <c r="Y690" s="6">
        <f t="shared" si="128"/>
        <v>0.54616449249999988</v>
      </c>
      <c r="Z690" s="6">
        <f t="shared" si="129"/>
        <v>3.3100878333333332</v>
      </c>
      <c r="AA690" s="9">
        <f t="shared" si="130"/>
        <v>60000</v>
      </c>
      <c r="AB690" s="10">
        <v>26400</v>
      </c>
      <c r="AC690" s="11">
        <f t="shared" si="132"/>
        <v>14418.742601999997</v>
      </c>
      <c r="AD690" s="12">
        <f t="shared" si="135"/>
        <v>57600</v>
      </c>
      <c r="AE690" s="13">
        <f t="shared" si="123"/>
        <v>2400</v>
      </c>
    </row>
    <row r="691" spans="1:31">
      <c r="A691" s="6">
        <v>24</v>
      </c>
      <c r="B691" s="6">
        <f t="shared" si="134"/>
        <v>22</v>
      </c>
      <c r="C691" s="6" t="str">
        <f t="shared" si="124"/>
        <v>651015100AARMATURE, MONOBLOCK, ASW4, HYUNDAI BC37263786445891134</v>
      </c>
      <c r="D691" s="6" t="s">
        <v>365</v>
      </c>
      <c r="E691" s="6" t="s">
        <v>158</v>
      </c>
      <c r="F691" s="6"/>
      <c r="G691" s="7" t="s">
        <v>135</v>
      </c>
      <c r="H691" s="7"/>
      <c r="I691" s="7"/>
      <c r="J691" s="7"/>
      <c r="K691" s="7"/>
      <c r="L691" s="7">
        <v>7263786</v>
      </c>
      <c r="M691" s="22">
        <v>44589</v>
      </c>
      <c r="N691" s="8" t="s">
        <v>184</v>
      </c>
      <c r="O691" s="8" t="s">
        <v>332</v>
      </c>
      <c r="P691" s="7">
        <v>1134</v>
      </c>
      <c r="Q691" s="7">
        <v>573606</v>
      </c>
      <c r="R691" s="7">
        <v>87089400</v>
      </c>
      <c r="S691" s="7">
        <v>15</v>
      </c>
      <c r="T691" s="7" t="s">
        <v>278</v>
      </c>
      <c r="U691" s="7" t="s">
        <v>178</v>
      </c>
      <c r="V691" s="6">
        <f t="shared" si="125"/>
        <v>86040.9</v>
      </c>
      <c r="W691" s="6">
        <f t="shared" si="126"/>
        <v>8604.09</v>
      </c>
      <c r="X691" s="6">
        <f t="shared" si="127"/>
        <v>94644.989999999991</v>
      </c>
      <c r="Y691" s="6">
        <f t="shared" si="128"/>
        <v>83.461190476190467</v>
      </c>
      <c r="Z691" s="6">
        <f t="shared" si="129"/>
        <v>505.82539682539681</v>
      </c>
      <c r="AA691" s="9">
        <f t="shared" si="130"/>
        <v>1134</v>
      </c>
      <c r="AB691" s="10">
        <v>152</v>
      </c>
      <c r="AC691" s="11">
        <f t="shared" si="132"/>
        <v>12686.100952380952</v>
      </c>
      <c r="AD691" s="12">
        <f t="shared" si="135"/>
        <v>1025</v>
      </c>
      <c r="AE691" s="13">
        <f t="shared" si="123"/>
        <v>109</v>
      </c>
    </row>
    <row r="692" spans="1:31">
      <c r="A692" s="6">
        <v>24</v>
      </c>
      <c r="B692" s="6">
        <f t="shared" si="134"/>
        <v>23</v>
      </c>
      <c r="C692" s="6" t="str">
        <f t="shared" si="124"/>
        <v>650557200GCUSHION, FOLDED, C AND S HONDA 2JX7084771451352160</v>
      </c>
      <c r="D692" s="6" t="s">
        <v>365</v>
      </c>
      <c r="E692" s="6" t="s">
        <v>159</v>
      </c>
      <c r="F692" s="6"/>
      <c r="G692" s="7" t="s">
        <v>136</v>
      </c>
      <c r="H692" s="7"/>
      <c r="I692" s="7"/>
      <c r="J692" s="7"/>
      <c r="K692" s="7"/>
      <c r="L692" s="7">
        <v>7084771</v>
      </c>
      <c r="M692" s="22">
        <v>45135</v>
      </c>
      <c r="N692" s="8" t="s">
        <v>283</v>
      </c>
      <c r="O692" s="8"/>
      <c r="P692" s="7">
        <v>2160</v>
      </c>
      <c r="Q692" s="7">
        <v>2639662.4</v>
      </c>
      <c r="R692" s="7">
        <v>87089500</v>
      </c>
      <c r="S692" s="7">
        <v>5</v>
      </c>
      <c r="T692" s="7" t="s">
        <v>267</v>
      </c>
      <c r="U692" s="7" t="s">
        <v>178</v>
      </c>
      <c r="V692" s="6">
        <f t="shared" si="125"/>
        <v>131983.12</v>
      </c>
      <c r="W692" s="6">
        <f t="shared" si="126"/>
        <v>13198.312</v>
      </c>
      <c r="X692" s="6">
        <f t="shared" si="127"/>
        <v>145181.432</v>
      </c>
      <c r="Y692" s="6">
        <f t="shared" si="128"/>
        <v>67.213625925925925</v>
      </c>
      <c r="Z692" s="6">
        <f t="shared" si="129"/>
        <v>1222.065925925926</v>
      </c>
      <c r="AA692" s="9">
        <f t="shared" si="130"/>
        <v>2160</v>
      </c>
      <c r="AB692" s="10">
        <v>220</v>
      </c>
      <c r="AC692" s="11">
        <f t="shared" si="132"/>
        <v>14786.997703703704</v>
      </c>
      <c r="AD692" s="12">
        <f t="shared" si="135"/>
        <v>2140</v>
      </c>
      <c r="AE692" s="13">
        <f t="shared" si="123"/>
        <v>20</v>
      </c>
    </row>
    <row r="693" spans="1:31">
      <c r="A693" s="6">
        <v>24</v>
      </c>
      <c r="B693" s="6">
        <f t="shared" si="134"/>
        <v>24</v>
      </c>
      <c r="C693" s="6" t="str">
        <f t="shared" si="124"/>
        <v>634240200AHORN CONTACT, CU 681124845118600000</v>
      </c>
      <c r="D693" s="6" t="s">
        <v>365</v>
      </c>
      <c r="E693" s="6" t="s">
        <v>160</v>
      </c>
      <c r="F693" s="6"/>
      <c r="G693" s="7" t="s">
        <v>138</v>
      </c>
      <c r="H693" s="7"/>
      <c r="I693" s="7"/>
      <c r="J693" s="7"/>
      <c r="K693" s="7"/>
      <c r="L693" s="7">
        <v>6811248</v>
      </c>
      <c r="M693" s="22">
        <v>45118</v>
      </c>
      <c r="N693" s="8" t="s">
        <v>189</v>
      </c>
      <c r="O693" s="8" t="s">
        <v>332</v>
      </c>
      <c r="P693" s="7">
        <v>600000</v>
      </c>
      <c r="Q693" s="7">
        <v>627311.64</v>
      </c>
      <c r="R693" s="7">
        <v>87089900</v>
      </c>
      <c r="S693" s="7">
        <v>15</v>
      </c>
      <c r="T693" s="7" t="s">
        <v>258</v>
      </c>
      <c r="U693" s="7" t="s">
        <v>178</v>
      </c>
      <c r="V693" s="6">
        <f t="shared" si="125"/>
        <v>94096.745999999999</v>
      </c>
      <c r="W693" s="6">
        <f t="shared" si="126"/>
        <v>9409.6746000000003</v>
      </c>
      <c r="X693" s="6">
        <f t="shared" si="127"/>
        <v>103506.4206</v>
      </c>
      <c r="Y693" s="6">
        <f t="shared" si="128"/>
        <v>0.17251070099999999</v>
      </c>
      <c r="Z693" s="6">
        <f t="shared" si="129"/>
        <v>1.0455194000000001</v>
      </c>
      <c r="AA693" s="9">
        <f t="shared" si="130"/>
        <v>600000</v>
      </c>
      <c r="AB693" s="10">
        <v>52800</v>
      </c>
      <c r="AC693" s="11">
        <f t="shared" si="132"/>
        <v>9108.5650127999997</v>
      </c>
      <c r="AD693" s="12">
        <f t="shared" si="135"/>
        <v>577364</v>
      </c>
      <c r="AE693" s="13">
        <f t="shared" si="123"/>
        <v>22636</v>
      </c>
    </row>
    <row r="694" spans="1:31">
      <c r="A694" s="6">
        <v>24</v>
      </c>
      <c r="B694" s="6">
        <f t="shared" si="134"/>
        <v>25</v>
      </c>
      <c r="C694" s="6" t="str">
        <f t="shared" si="124"/>
        <v>653052600AINFLATOR, APP-4.6, 2.2MO STANDARD_MIB, SQUARE_61X6505272450983456</v>
      </c>
      <c r="D694" s="6" t="s">
        <v>365</v>
      </c>
      <c r="E694" s="6" t="s">
        <v>161</v>
      </c>
      <c r="F694" s="6"/>
      <c r="G694" s="7" t="s">
        <v>139</v>
      </c>
      <c r="H694" s="7"/>
      <c r="I694" s="7"/>
      <c r="J694" s="7"/>
      <c r="K694" s="7"/>
      <c r="L694" s="7">
        <v>6505272</v>
      </c>
      <c r="M694" s="22">
        <v>45098</v>
      </c>
      <c r="N694" s="8" t="s">
        <v>184</v>
      </c>
      <c r="O694" s="8"/>
      <c r="P694" s="7">
        <v>3456</v>
      </c>
      <c r="Q694" s="7">
        <v>1818691.99</v>
      </c>
      <c r="R694" s="7">
        <v>87089500</v>
      </c>
      <c r="S694" s="7">
        <v>15</v>
      </c>
      <c r="T694" s="7" t="s">
        <v>277</v>
      </c>
      <c r="U694" s="7" t="s">
        <v>200</v>
      </c>
      <c r="V694" s="6">
        <f t="shared" si="125"/>
        <v>272803.79849999998</v>
      </c>
      <c r="W694" s="6">
        <f t="shared" si="126"/>
        <v>27280.379849999998</v>
      </c>
      <c r="X694" s="6">
        <f t="shared" si="127"/>
        <v>300084.17834999994</v>
      </c>
      <c r="Y694" s="6">
        <f t="shared" si="128"/>
        <v>86.829912717013869</v>
      </c>
      <c r="Z694" s="6">
        <f t="shared" si="129"/>
        <v>526.24189525462964</v>
      </c>
      <c r="AA694" s="9">
        <f t="shared" si="130"/>
        <v>3456</v>
      </c>
      <c r="AB694" s="10">
        <v>480</v>
      </c>
      <c r="AC694" s="11">
        <f t="shared" si="132"/>
        <v>41678.358104166655</v>
      </c>
      <c r="AD694" s="12">
        <f t="shared" si="135"/>
        <v>3360</v>
      </c>
      <c r="AE694" s="13">
        <f t="shared" si="123"/>
        <v>96</v>
      </c>
    </row>
    <row r="695" spans="1:31">
      <c r="A695" s="6">
        <v>24</v>
      </c>
      <c r="B695" s="6">
        <f t="shared" si="134"/>
        <v>26</v>
      </c>
      <c r="C695" s="6" t="str">
        <f t="shared" si="124"/>
        <v>630580800ALABEL, RAW MATERIAL, BLA K12 TPC BUCKLE5160585449362400000</v>
      </c>
      <c r="D695" s="6" t="s">
        <v>365</v>
      </c>
      <c r="E695" s="6" t="s">
        <v>71</v>
      </c>
      <c r="F695" s="6"/>
      <c r="G695" s="7" t="s">
        <v>31</v>
      </c>
      <c r="H695" s="7"/>
      <c r="I695" s="7"/>
      <c r="J695" s="7"/>
      <c r="K695" s="7"/>
      <c r="L695" s="7">
        <v>5160585</v>
      </c>
      <c r="M695" s="22">
        <v>44936</v>
      </c>
      <c r="N695" s="8" t="s">
        <v>196</v>
      </c>
      <c r="O695" s="8" t="s">
        <v>333</v>
      </c>
      <c r="P695" s="7">
        <v>2400000</v>
      </c>
      <c r="Q695" s="7">
        <v>86522.34</v>
      </c>
      <c r="R695" s="7">
        <v>87082900</v>
      </c>
      <c r="S695" s="7">
        <v>15</v>
      </c>
      <c r="T695" s="7" t="s">
        <v>265</v>
      </c>
      <c r="U695" s="7" t="s">
        <v>178</v>
      </c>
      <c r="V695" s="6">
        <f t="shared" si="125"/>
        <v>12978.350999999999</v>
      </c>
      <c r="W695" s="6">
        <f t="shared" si="126"/>
        <v>1297.8351</v>
      </c>
      <c r="X695" s="6">
        <f t="shared" si="127"/>
        <v>14276.186099999999</v>
      </c>
      <c r="Y695" s="6">
        <f t="shared" si="128"/>
        <v>5.9484108749999999E-3</v>
      </c>
      <c r="Z695" s="6">
        <f t="shared" si="129"/>
        <v>3.6050974999999999E-2</v>
      </c>
      <c r="AA695" s="9">
        <f t="shared" si="130"/>
        <v>2400000</v>
      </c>
      <c r="AB695" s="10">
        <v>13200</v>
      </c>
      <c r="AC695" s="11">
        <f t="shared" si="132"/>
        <v>78.51902355</v>
      </c>
      <c r="AD695" s="12">
        <f t="shared" si="135"/>
        <v>548546</v>
      </c>
      <c r="AE695" s="13">
        <f t="shared" si="123"/>
        <v>1851454</v>
      </c>
    </row>
    <row r="696" spans="1:31">
      <c r="A696" s="6">
        <v>24</v>
      </c>
      <c r="B696" s="6">
        <f t="shared" si="134"/>
        <v>27</v>
      </c>
      <c r="C696" s="6" t="str">
        <f t="shared" si="124"/>
        <v>608067201ANUT, ISO, M5 351094044894800000</v>
      </c>
      <c r="D696" s="6" t="s">
        <v>365</v>
      </c>
      <c r="E696" s="6" t="s">
        <v>164</v>
      </c>
      <c r="F696" s="6"/>
      <c r="G696" s="7" t="s">
        <v>142</v>
      </c>
      <c r="H696" s="7"/>
      <c r="I696" s="7"/>
      <c r="J696" s="7"/>
      <c r="K696" s="7"/>
      <c r="L696" s="7">
        <v>3510940</v>
      </c>
      <c r="M696" s="22">
        <v>44894</v>
      </c>
      <c r="N696" s="8" t="s">
        <v>189</v>
      </c>
      <c r="O696" s="8" t="s">
        <v>332</v>
      </c>
      <c r="P696" s="7">
        <v>800000</v>
      </c>
      <c r="Q696" s="7">
        <v>1498489.13</v>
      </c>
      <c r="R696" s="7">
        <v>87089500</v>
      </c>
      <c r="S696" s="7">
        <v>15</v>
      </c>
      <c r="T696" s="7" t="s">
        <v>183</v>
      </c>
      <c r="U696" s="7" t="s">
        <v>178</v>
      </c>
      <c r="V696" s="6">
        <f t="shared" si="125"/>
        <v>224773.36949999997</v>
      </c>
      <c r="W696" s="6">
        <f t="shared" si="126"/>
        <v>22477.336949999997</v>
      </c>
      <c r="X696" s="6">
        <f t="shared" si="127"/>
        <v>247250.70644999997</v>
      </c>
      <c r="Y696" s="6">
        <f t="shared" si="128"/>
        <v>0.30906338306249997</v>
      </c>
      <c r="Z696" s="6">
        <f t="shared" si="129"/>
        <v>1.8731114124999999</v>
      </c>
      <c r="AA696" s="9">
        <f t="shared" si="130"/>
        <v>800000</v>
      </c>
      <c r="AB696" s="10">
        <v>1920</v>
      </c>
      <c r="AC696" s="11">
        <f t="shared" si="132"/>
        <v>593.40169547999994</v>
      </c>
      <c r="AD696" s="12">
        <f t="shared" si="135"/>
        <v>70960</v>
      </c>
      <c r="AE696" s="13">
        <f t="shared" ref="AE696:AE759" si="136">AA696-AD696</f>
        <v>729040</v>
      </c>
    </row>
    <row r="697" spans="1:31">
      <c r="A697" s="6">
        <v>24</v>
      </c>
      <c r="B697" s="6">
        <f t="shared" si="134"/>
        <v>28</v>
      </c>
      <c r="C697" s="6" t="str">
        <f t="shared" si="124"/>
        <v>644345600ASCREW, SELF-TAPPING, PLA PLASTIC, 3.0, CROSS82103034520890000</v>
      </c>
      <c r="D697" s="6" t="s">
        <v>365</v>
      </c>
      <c r="E697" s="6" t="s">
        <v>166</v>
      </c>
      <c r="F697" s="6"/>
      <c r="G697" s="7" t="s">
        <v>144</v>
      </c>
      <c r="H697" s="7"/>
      <c r="I697" s="7"/>
      <c r="J697" s="7"/>
      <c r="K697" s="7"/>
      <c r="L697" s="7">
        <v>8210303</v>
      </c>
      <c r="M697" s="22">
        <v>45208</v>
      </c>
      <c r="N697" s="8" t="s">
        <v>190</v>
      </c>
      <c r="O697" s="8" t="s">
        <v>333</v>
      </c>
      <c r="P697" s="7">
        <v>90000</v>
      </c>
      <c r="Q697" s="7">
        <v>68654.59</v>
      </c>
      <c r="R697" s="7">
        <v>87089500</v>
      </c>
      <c r="S697" s="7">
        <v>15</v>
      </c>
      <c r="T697" s="7" t="s">
        <v>191</v>
      </c>
      <c r="U697" s="7" t="s">
        <v>178</v>
      </c>
      <c r="V697" s="6">
        <f t="shared" si="125"/>
        <v>10298.188499999998</v>
      </c>
      <c r="W697" s="6">
        <f t="shared" si="126"/>
        <v>1029.8188499999999</v>
      </c>
      <c r="X697" s="6">
        <f t="shared" si="127"/>
        <v>11328.007349999998</v>
      </c>
      <c r="Y697" s="6">
        <f t="shared" si="128"/>
        <v>0.12586674833333331</v>
      </c>
      <c r="Z697" s="6">
        <f t="shared" si="129"/>
        <v>0.76282877777777769</v>
      </c>
      <c r="AA697" s="9">
        <f t="shared" si="130"/>
        <v>90000</v>
      </c>
      <c r="AB697" s="10">
        <v>26400</v>
      </c>
      <c r="AC697" s="11">
        <f t="shared" si="132"/>
        <v>3322.8821559999992</v>
      </c>
      <c r="AD697" s="12">
        <f t="shared" si="135"/>
        <v>90000</v>
      </c>
      <c r="AE697" s="13">
        <f t="shared" si="136"/>
        <v>0</v>
      </c>
    </row>
    <row r="698" spans="1:31">
      <c r="A698" s="6">
        <v>25</v>
      </c>
      <c r="B698" s="6">
        <v>1</v>
      </c>
      <c r="C698" s="6" t="str">
        <f t="shared" si="124"/>
        <v>655818900BACTUATOR VIBRATION MOTOR ASSY WITH BRACKET BC3 CU55578924554714400</v>
      </c>
      <c r="D698" s="6" t="s">
        <v>375</v>
      </c>
      <c r="E698" s="6" t="s">
        <v>156</v>
      </c>
      <c r="F698" s="6"/>
      <c r="G698" s="7" t="s">
        <v>133</v>
      </c>
      <c r="H698" s="7"/>
      <c r="I698" s="7"/>
      <c r="J698" s="7"/>
      <c r="K698" s="7"/>
      <c r="L698" s="7">
        <v>5557892</v>
      </c>
      <c r="M698" s="22">
        <v>45547</v>
      </c>
      <c r="N698" s="8" t="s">
        <v>189</v>
      </c>
      <c r="O698" s="8" t="s">
        <v>333</v>
      </c>
      <c r="P698" s="7">
        <v>14400</v>
      </c>
      <c r="Q698" s="7">
        <v>4863124.43</v>
      </c>
      <c r="R698" s="7">
        <v>87089400</v>
      </c>
      <c r="S698" s="7">
        <v>15</v>
      </c>
      <c r="T698" s="7" t="s">
        <v>376</v>
      </c>
      <c r="U698" s="7" t="s">
        <v>178</v>
      </c>
      <c r="V698" s="6">
        <f t="shared" si="125"/>
        <v>729468.66449999996</v>
      </c>
      <c r="W698" s="6">
        <f t="shared" si="126"/>
        <v>72946.866450000001</v>
      </c>
      <c r="X698" s="6">
        <f t="shared" si="127"/>
        <v>802415.53094999993</v>
      </c>
      <c r="Y698" s="6">
        <f t="shared" si="128"/>
        <v>55.723300760416663</v>
      </c>
      <c r="Z698" s="6">
        <f t="shared" si="129"/>
        <v>337.71697430555554</v>
      </c>
      <c r="AA698" s="9">
        <f t="shared" si="130"/>
        <v>14400</v>
      </c>
      <c r="AB698" s="10">
        <v>10196</v>
      </c>
      <c r="AC698" s="11">
        <f t="shared" si="132"/>
        <v>568154.77455320826</v>
      </c>
      <c r="AD698" s="12">
        <f t="shared" si="135"/>
        <v>13349</v>
      </c>
      <c r="AE698" s="13">
        <f t="shared" si="136"/>
        <v>1051</v>
      </c>
    </row>
    <row r="699" spans="1:31" ht="30">
      <c r="A699" s="6">
        <v>25</v>
      </c>
      <c r="B699" s="6">
        <f t="shared" si="134"/>
        <v>2</v>
      </c>
      <c r="C699" s="6" t="str">
        <f t="shared" si="124"/>
        <v>655931500AARMATURE, MONOBLOCK ASW4, HYUNDAI BC3-CUV4390332454814860</v>
      </c>
      <c r="D699" s="6" t="s">
        <v>375</v>
      </c>
      <c r="E699" s="6" t="s">
        <v>157</v>
      </c>
      <c r="F699" s="6"/>
      <c r="G699" s="7" t="s">
        <v>134</v>
      </c>
      <c r="H699" s="7"/>
      <c r="I699" s="7"/>
      <c r="J699" s="7"/>
      <c r="K699" s="7"/>
      <c r="L699" s="7">
        <v>4390332</v>
      </c>
      <c r="M699" s="22">
        <v>45481</v>
      </c>
      <c r="N699" s="8" t="s">
        <v>185</v>
      </c>
      <c r="O699" s="8"/>
      <c r="P699" s="7">
        <v>4860</v>
      </c>
      <c r="Q699" s="7">
        <v>1949448.36</v>
      </c>
      <c r="R699" s="7">
        <v>87089400</v>
      </c>
      <c r="S699" s="7">
        <v>15</v>
      </c>
      <c r="T699" s="7" t="s">
        <v>377</v>
      </c>
      <c r="U699" s="7" t="s">
        <v>178</v>
      </c>
      <c r="V699" s="6">
        <f t="shared" si="125"/>
        <v>292417.25400000002</v>
      </c>
      <c r="W699" s="6">
        <f t="shared" si="126"/>
        <v>29241.725400000003</v>
      </c>
      <c r="X699" s="6">
        <f t="shared" si="127"/>
        <v>321658.97940000001</v>
      </c>
      <c r="Y699" s="6">
        <f t="shared" si="128"/>
        <v>66.184975185185181</v>
      </c>
      <c r="Z699" s="6">
        <f t="shared" si="129"/>
        <v>401.12106172839509</v>
      </c>
      <c r="AA699" s="9">
        <f t="shared" si="130"/>
        <v>4860</v>
      </c>
      <c r="AB699" s="10">
        <v>4860</v>
      </c>
      <c r="AC699" s="11">
        <f t="shared" si="132"/>
        <v>321658.97939999995</v>
      </c>
      <c r="AD699" s="12">
        <f t="shared" si="135"/>
        <v>4860</v>
      </c>
      <c r="AE699" s="13">
        <f t="shared" si="136"/>
        <v>0</v>
      </c>
    </row>
    <row r="700" spans="1:31" ht="30">
      <c r="A700" s="6">
        <v>25</v>
      </c>
      <c r="B700" s="6">
        <f t="shared" si="134"/>
        <v>3</v>
      </c>
      <c r="C700" s="6" t="str">
        <f t="shared" si="124"/>
        <v>655931500AARMATURE, MONOBLOCK ASW4, HYUNDAI BC3-CUV5591827455486480</v>
      </c>
      <c r="D700" s="6" t="s">
        <v>375</v>
      </c>
      <c r="E700" s="6" t="s">
        <v>157</v>
      </c>
      <c r="F700" s="6"/>
      <c r="G700" s="7" t="s">
        <v>134</v>
      </c>
      <c r="H700" s="7"/>
      <c r="I700" s="7"/>
      <c r="J700" s="7"/>
      <c r="K700" s="7"/>
      <c r="L700" s="7">
        <v>5591827</v>
      </c>
      <c r="M700" s="22">
        <v>45548</v>
      </c>
      <c r="N700" s="8" t="s">
        <v>185</v>
      </c>
      <c r="O700" s="8"/>
      <c r="P700" s="7">
        <v>6480</v>
      </c>
      <c r="Q700" s="7">
        <v>2660385.19</v>
      </c>
      <c r="R700" s="7">
        <v>87089400</v>
      </c>
      <c r="S700" s="7">
        <v>15</v>
      </c>
      <c r="T700" s="7" t="s">
        <v>377</v>
      </c>
      <c r="U700" s="7" t="s">
        <v>178</v>
      </c>
      <c r="V700" s="6">
        <f t="shared" si="125"/>
        <v>399057.77849999996</v>
      </c>
      <c r="W700" s="6">
        <f t="shared" si="126"/>
        <v>39905.777849999999</v>
      </c>
      <c r="X700" s="6">
        <f t="shared" si="127"/>
        <v>438963.55634999997</v>
      </c>
      <c r="Y700" s="6">
        <f t="shared" si="128"/>
        <v>67.74128956018518</v>
      </c>
      <c r="Z700" s="6">
        <f t="shared" si="129"/>
        <v>410.55327006172837</v>
      </c>
      <c r="AA700" s="9">
        <f t="shared" si="130"/>
        <v>6480</v>
      </c>
      <c r="AB700" s="10">
        <v>5336</v>
      </c>
      <c r="AC700" s="11">
        <f t="shared" si="132"/>
        <v>361467.5210931481</v>
      </c>
      <c r="AD700" s="12">
        <f t="shared" si="135"/>
        <v>5336</v>
      </c>
      <c r="AE700" s="13">
        <f t="shared" si="136"/>
        <v>1144</v>
      </c>
    </row>
    <row r="701" spans="1:31">
      <c r="A701" s="6">
        <v>25</v>
      </c>
      <c r="B701" s="6">
        <f t="shared" si="134"/>
        <v>4</v>
      </c>
      <c r="C701" s="6" t="str">
        <f t="shared" si="124"/>
        <v>651015100AARMATURE, MONOBLOCK, ASW4, HYUNDAI BC34646728449721782</v>
      </c>
      <c r="D701" s="6" t="s">
        <v>375</v>
      </c>
      <c r="E701" s="6" t="s">
        <v>158</v>
      </c>
      <c r="F701" s="6"/>
      <c r="G701" s="7" t="s">
        <v>135</v>
      </c>
      <c r="H701" s="7"/>
      <c r="I701" s="7"/>
      <c r="J701" s="7"/>
      <c r="K701" s="7"/>
      <c r="L701" s="7">
        <v>4646728</v>
      </c>
      <c r="M701" s="22">
        <v>44972</v>
      </c>
      <c r="N701" s="8" t="s">
        <v>184</v>
      </c>
      <c r="O701" s="8" t="s">
        <v>332</v>
      </c>
      <c r="P701" s="7">
        <v>1782</v>
      </c>
      <c r="Q701" s="7">
        <v>905743.22</v>
      </c>
      <c r="R701" s="7">
        <v>87089400</v>
      </c>
      <c r="S701" s="7">
        <v>15</v>
      </c>
      <c r="T701" s="7" t="s">
        <v>186</v>
      </c>
      <c r="U701" s="7" t="s">
        <v>178</v>
      </c>
      <c r="V701" s="6">
        <f t="shared" si="125"/>
        <v>135861.48299999998</v>
      </c>
      <c r="W701" s="6">
        <f t="shared" si="126"/>
        <v>13586.148299999999</v>
      </c>
      <c r="X701" s="6">
        <f t="shared" si="127"/>
        <v>149447.63129999998</v>
      </c>
      <c r="Y701" s="6">
        <f t="shared" si="128"/>
        <v>83.865112962962954</v>
      </c>
      <c r="Z701" s="6">
        <f t="shared" si="129"/>
        <v>508.27341189674519</v>
      </c>
      <c r="AA701" s="9">
        <f t="shared" si="130"/>
        <v>1782</v>
      </c>
      <c r="AB701" s="10">
        <v>604</v>
      </c>
      <c r="AC701" s="11">
        <f t="shared" si="132"/>
        <v>50654.528229629621</v>
      </c>
      <c r="AD701" s="12">
        <f t="shared" si="135"/>
        <v>1632</v>
      </c>
      <c r="AE701" s="13">
        <f t="shared" si="136"/>
        <v>150</v>
      </c>
    </row>
    <row r="702" spans="1:31">
      <c r="A702" s="6">
        <v>25</v>
      </c>
      <c r="B702" s="6">
        <f t="shared" si="134"/>
        <v>5</v>
      </c>
      <c r="C702" s="6" t="str">
        <f t="shared" si="124"/>
        <v>650557200GCUSHION, FOLDED, C AND S HONDA 2JX409788044935720</v>
      </c>
      <c r="D702" s="6" t="s">
        <v>375</v>
      </c>
      <c r="E702" s="6" t="s">
        <v>159</v>
      </c>
      <c r="F702" s="6"/>
      <c r="G702" s="7" t="s">
        <v>136</v>
      </c>
      <c r="H702" s="7"/>
      <c r="I702" s="7"/>
      <c r="J702" s="7"/>
      <c r="K702" s="7"/>
      <c r="L702" s="7">
        <v>4097880</v>
      </c>
      <c r="M702" s="22">
        <v>44935</v>
      </c>
      <c r="N702" s="8" t="s">
        <v>189</v>
      </c>
      <c r="O702" s="8"/>
      <c r="P702" s="7">
        <v>720</v>
      </c>
      <c r="Q702" s="7">
        <v>888851.89</v>
      </c>
      <c r="R702" s="7">
        <v>87089500</v>
      </c>
      <c r="S702" s="7">
        <v>5</v>
      </c>
      <c r="T702" s="7" t="s">
        <v>267</v>
      </c>
      <c r="U702" s="7" t="s">
        <v>178</v>
      </c>
      <c r="V702" s="6">
        <f t="shared" si="125"/>
        <v>44442.594500000007</v>
      </c>
      <c r="W702" s="6">
        <f t="shared" si="126"/>
        <v>4444.2594500000005</v>
      </c>
      <c r="X702" s="6">
        <f t="shared" si="127"/>
        <v>48886.853950000004</v>
      </c>
      <c r="Y702" s="6">
        <f t="shared" si="128"/>
        <v>67.898408263888896</v>
      </c>
      <c r="Z702" s="6">
        <f t="shared" si="129"/>
        <v>1234.516513888889</v>
      </c>
      <c r="AA702" s="9">
        <f t="shared" si="130"/>
        <v>720</v>
      </c>
      <c r="AB702" s="10">
        <v>480</v>
      </c>
      <c r="AC702" s="11">
        <f t="shared" si="132"/>
        <v>32591.235966666671</v>
      </c>
      <c r="AD702" s="12">
        <f t="shared" si="135"/>
        <v>480</v>
      </c>
      <c r="AE702" s="13">
        <f t="shared" si="136"/>
        <v>240</v>
      </c>
    </row>
    <row r="703" spans="1:31">
      <c r="A703" s="6">
        <v>25</v>
      </c>
      <c r="B703" s="6">
        <f t="shared" si="134"/>
        <v>6</v>
      </c>
      <c r="C703" s="6" t="str">
        <f t="shared" si="124"/>
        <v>653052600AINFLATOR, APP-4.6, 2.2MO STANDARD_MIB, SQUARE_61X4310803449491728</v>
      </c>
      <c r="D703" s="6" t="s">
        <v>375</v>
      </c>
      <c r="E703" s="6" t="s">
        <v>161</v>
      </c>
      <c r="F703" s="6"/>
      <c r="G703" s="7" t="s">
        <v>139</v>
      </c>
      <c r="H703" s="7"/>
      <c r="I703" s="7"/>
      <c r="J703" s="7"/>
      <c r="K703" s="7"/>
      <c r="L703" s="7">
        <v>4310803</v>
      </c>
      <c r="M703" s="22">
        <v>44949</v>
      </c>
      <c r="N703" s="8" t="s">
        <v>184</v>
      </c>
      <c r="O703" s="8" t="s">
        <v>332</v>
      </c>
      <c r="P703" s="7">
        <v>1728</v>
      </c>
      <c r="Q703" s="7">
        <v>805238.46</v>
      </c>
      <c r="R703" s="7">
        <v>87089500</v>
      </c>
      <c r="S703" s="7">
        <v>15</v>
      </c>
      <c r="T703" s="7" t="s">
        <v>259</v>
      </c>
      <c r="U703" s="7" t="s">
        <v>200</v>
      </c>
      <c r="V703" s="6">
        <f t="shared" si="125"/>
        <v>120785.76899999999</v>
      </c>
      <c r="W703" s="6">
        <f t="shared" si="126"/>
        <v>12078.5769</v>
      </c>
      <c r="X703" s="6">
        <f t="shared" si="127"/>
        <v>132864.34589999999</v>
      </c>
      <c r="Y703" s="6">
        <f t="shared" si="128"/>
        <v>76.889089062499991</v>
      </c>
      <c r="Z703" s="6">
        <f t="shared" si="129"/>
        <v>465.99447916666662</v>
      </c>
      <c r="AA703" s="9">
        <f t="shared" si="130"/>
        <v>1728</v>
      </c>
      <c r="AB703" s="10">
        <v>480</v>
      </c>
      <c r="AC703" s="11">
        <f t="shared" si="132"/>
        <v>36906.762749999994</v>
      </c>
      <c r="AD703" s="12">
        <f t="shared" si="135"/>
        <v>1440</v>
      </c>
      <c r="AE703" s="13">
        <f t="shared" si="136"/>
        <v>288</v>
      </c>
    </row>
    <row r="704" spans="1:31">
      <c r="A704" s="6">
        <v>25</v>
      </c>
      <c r="B704" s="6">
        <f t="shared" si="134"/>
        <v>7</v>
      </c>
      <c r="C704" s="6" t="str">
        <f t="shared" si="124"/>
        <v>652466500ALEATHER, HIDE TOP GRAIN, OBSIDIAN BLACK, NNB, BLA9262956452761178.74</v>
      </c>
      <c r="D704" s="6" t="s">
        <v>375</v>
      </c>
      <c r="E704" s="6" t="s">
        <v>163</v>
      </c>
      <c r="F704" s="6"/>
      <c r="G704" s="7" t="s">
        <v>141</v>
      </c>
      <c r="H704" s="7"/>
      <c r="I704" s="7"/>
      <c r="J704" s="7"/>
      <c r="K704" s="7"/>
      <c r="L704" s="7">
        <v>9262956</v>
      </c>
      <c r="M704" s="22">
        <v>45276</v>
      </c>
      <c r="N704" s="8" t="s">
        <v>180</v>
      </c>
      <c r="O704" s="8"/>
      <c r="P704" s="7">
        <v>1178.74</v>
      </c>
      <c r="Q704" s="7">
        <v>2917175.52</v>
      </c>
      <c r="R704" s="7">
        <v>41071200</v>
      </c>
      <c r="S704" s="7">
        <v>0</v>
      </c>
      <c r="T704" s="7" t="s">
        <v>261</v>
      </c>
      <c r="U704" s="7" t="s">
        <v>178</v>
      </c>
      <c r="V704" s="6">
        <f t="shared" si="125"/>
        <v>0</v>
      </c>
      <c r="W704" s="6">
        <f t="shared" si="126"/>
        <v>0</v>
      </c>
      <c r="X704" s="6">
        <f t="shared" si="127"/>
        <v>0</v>
      </c>
      <c r="Y704" s="6">
        <f t="shared" si="128"/>
        <v>0</v>
      </c>
      <c r="Z704" s="6">
        <f t="shared" si="129"/>
        <v>2474.8252540848703</v>
      </c>
      <c r="AA704" s="9">
        <f t="shared" si="130"/>
        <v>1178.74</v>
      </c>
      <c r="AB704" s="10">
        <v>1178</v>
      </c>
      <c r="AC704" s="11">
        <f t="shared" si="132"/>
        <v>0</v>
      </c>
      <c r="AD704" s="12">
        <f t="shared" si="135"/>
        <v>1178</v>
      </c>
      <c r="AE704" s="13">
        <f t="shared" si="136"/>
        <v>0.74000000000000909</v>
      </c>
    </row>
    <row r="705" spans="1:31">
      <c r="A705" s="6">
        <v>25</v>
      </c>
      <c r="B705" s="6">
        <f t="shared" si="134"/>
        <v>8</v>
      </c>
      <c r="C705" s="6" t="str">
        <f t="shared" si="124"/>
        <v>652466500ALEATHER, HIDE TOP GRAIN, OBSIDIAN BLACK, NNB, BLA9686956453071029.2</v>
      </c>
      <c r="D705" s="6" t="s">
        <v>375</v>
      </c>
      <c r="E705" s="6" t="s">
        <v>163</v>
      </c>
      <c r="F705" s="6"/>
      <c r="G705" s="7" t="s">
        <v>141</v>
      </c>
      <c r="H705" s="7"/>
      <c r="I705" s="7"/>
      <c r="J705" s="7"/>
      <c r="K705" s="7"/>
      <c r="L705" s="7">
        <v>9686956</v>
      </c>
      <c r="M705" s="22">
        <v>45307</v>
      </c>
      <c r="N705" s="8" t="s">
        <v>180</v>
      </c>
      <c r="O705" s="8"/>
      <c r="P705" s="7">
        <v>1029.2</v>
      </c>
      <c r="Q705" s="7">
        <v>2483074.13</v>
      </c>
      <c r="R705" s="7">
        <v>41071200</v>
      </c>
      <c r="S705" s="7">
        <v>0</v>
      </c>
      <c r="T705" s="7" t="s">
        <v>195</v>
      </c>
      <c r="U705" s="7" t="s">
        <v>178</v>
      </c>
      <c r="V705" s="6">
        <f t="shared" si="125"/>
        <v>0</v>
      </c>
      <c r="W705" s="6">
        <f t="shared" si="126"/>
        <v>0</v>
      </c>
      <c r="X705" s="6">
        <f t="shared" si="127"/>
        <v>0</v>
      </c>
      <c r="Y705" s="6">
        <f t="shared" si="128"/>
        <v>0</v>
      </c>
      <c r="Z705" s="6">
        <f t="shared" si="129"/>
        <v>2412.6254663816553</v>
      </c>
      <c r="AA705" s="9">
        <f t="shared" si="130"/>
        <v>1029.2</v>
      </c>
      <c r="AB705" s="10">
        <v>318</v>
      </c>
      <c r="AC705" s="11">
        <f t="shared" si="132"/>
        <v>0</v>
      </c>
      <c r="AD705" s="12">
        <f t="shared" si="135"/>
        <v>845.39</v>
      </c>
      <c r="AE705" s="13">
        <f t="shared" si="136"/>
        <v>183.81000000000006</v>
      </c>
    </row>
    <row r="706" spans="1:31">
      <c r="A706" s="6">
        <v>25</v>
      </c>
      <c r="B706" s="6">
        <f t="shared" si="134"/>
        <v>9</v>
      </c>
      <c r="C706" s="6" t="str">
        <f t="shared" ref="C706:C769" si="137">E706&amp;G706&amp;L706&amp;M706&amp;P706</f>
        <v>639590100BSCREW SELF TAPPING INTERNAL T15, 15.01055145483120000</v>
      </c>
      <c r="D706" s="6" t="s">
        <v>375</v>
      </c>
      <c r="E706" s="6" t="s">
        <v>165</v>
      </c>
      <c r="F706" s="6"/>
      <c r="G706" s="7" t="s">
        <v>143</v>
      </c>
      <c r="H706" s="7"/>
      <c r="I706" s="7"/>
      <c r="J706" s="7"/>
      <c r="K706" s="7"/>
      <c r="L706" s="7">
        <v>10551</v>
      </c>
      <c r="M706" s="22">
        <v>45483</v>
      </c>
      <c r="N706" s="8" t="s">
        <v>180</v>
      </c>
      <c r="O706" s="8" t="s">
        <v>333</v>
      </c>
      <c r="P706" s="7">
        <v>120000</v>
      </c>
      <c r="Q706" s="7">
        <v>157828.15</v>
      </c>
      <c r="R706" s="7">
        <v>87089400</v>
      </c>
      <c r="S706" s="7">
        <v>15</v>
      </c>
      <c r="T706" s="7" t="s">
        <v>378</v>
      </c>
      <c r="U706" s="7" t="s">
        <v>178</v>
      </c>
      <c r="V706" s="6">
        <f t="shared" ref="V706:V769" si="138">Q706*S706%</f>
        <v>23674.2225</v>
      </c>
      <c r="W706" s="6">
        <f t="shared" ref="W706:W769" si="139">V706*0.1</f>
        <v>2367.4222500000001</v>
      </c>
      <c r="X706" s="6">
        <f t="shared" ref="X706:X769" si="140">V706+W706</f>
        <v>26041.644749999999</v>
      </c>
      <c r="Y706" s="6">
        <f t="shared" ref="Y706:Y769" si="141">X706/P706</f>
        <v>0.21701370624999999</v>
      </c>
      <c r="Z706" s="6">
        <f t="shared" ref="Z706:Z769" si="142">Q706/P706</f>
        <v>1.3152345833333332</v>
      </c>
      <c r="AA706" s="9">
        <f t="shared" ref="AA706:AA769" si="143">P706</f>
        <v>120000</v>
      </c>
      <c r="AB706" s="10">
        <v>55532</v>
      </c>
      <c r="AC706" s="11">
        <f t="shared" si="132"/>
        <v>12051.205135475</v>
      </c>
      <c r="AD706" s="12">
        <f t="shared" si="135"/>
        <v>119470</v>
      </c>
      <c r="AE706" s="13">
        <f t="shared" si="136"/>
        <v>530</v>
      </c>
    </row>
    <row r="707" spans="1:31">
      <c r="A707" s="6">
        <v>25</v>
      </c>
      <c r="B707" s="6">
        <f t="shared" si="134"/>
        <v>10</v>
      </c>
      <c r="C707" s="6" t="str">
        <f t="shared" si="137"/>
        <v>651409900ASCREW, STD METRIC M6 HEXALOBULAR INTERNAL, T420061294532830000</v>
      </c>
      <c r="D707" s="6" t="s">
        <v>375</v>
      </c>
      <c r="E707" s="6" t="s">
        <v>168</v>
      </c>
      <c r="F707" s="6"/>
      <c r="G707" s="7" t="s">
        <v>146</v>
      </c>
      <c r="H707" s="7"/>
      <c r="I707" s="7"/>
      <c r="J707" s="7"/>
      <c r="K707" s="7"/>
      <c r="L707" s="7">
        <v>2006129</v>
      </c>
      <c r="M707" s="22">
        <v>45328</v>
      </c>
      <c r="N707" s="8" t="s">
        <v>190</v>
      </c>
      <c r="O707" s="8"/>
      <c r="P707" s="7">
        <v>30000</v>
      </c>
      <c r="Q707" s="7">
        <v>99127.63</v>
      </c>
      <c r="R707" s="7">
        <v>87089500</v>
      </c>
      <c r="S707" s="7">
        <v>15</v>
      </c>
      <c r="T707" s="7" t="s">
        <v>191</v>
      </c>
      <c r="U707" s="7" t="s">
        <v>178</v>
      </c>
      <c r="V707" s="6">
        <f t="shared" si="138"/>
        <v>14869.1445</v>
      </c>
      <c r="W707" s="6">
        <f t="shared" si="139"/>
        <v>1486.9144500000002</v>
      </c>
      <c r="X707" s="6">
        <f t="shared" si="140"/>
        <v>16356.058950000001</v>
      </c>
      <c r="Y707" s="6">
        <f t="shared" si="141"/>
        <v>0.54520196500000007</v>
      </c>
      <c r="Z707" s="6">
        <f t="shared" si="142"/>
        <v>3.3042543333333336</v>
      </c>
      <c r="AA707" s="9">
        <f t="shared" si="143"/>
        <v>30000</v>
      </c>
      <c r="AB707" s="10">
        <v>21600</v>
      </c>
      <c r="AC707" s="11">
        <f t="shared" ref="AC707:AC770" si="144">AB707*Y707</f>
        <v>11776.362444000002</v>
      </c>
      <c r="AD707" s="12">
        <f t="shared" si="135"/>
        <v>21600</v>
      </c>
      <c r="AE707" s="13">
        <f t="shared" si="136"/>
        <v>8400</v>
      </c>
    </row>
    <row r="708" spans="1:31">
      <c r="A708" s="6">
        <v>25</v>
      </c>
      <c r="B708" s="6">
        <f t="shared" si="134"/>
        <v>11</v>
      </c>
      <c r="C708" s="6" t="str">
        <f t="shared" si="137"/>
        <v>608225700ASCREW,STD METRIIC HEXALOBULAR  M5 T25 12MM80093244464515000</v>
      </c>
      <c r="D708" s="6" t="s">
        <v>375</v>
      </c>
      <c r="E708" s="6" t="s">
        <v>169</v>
      </c>
      <c r="F708" s="6"/>
      <c r="G708" s="7" t="s">
        <v>147</v>
      </c>
      <c r="H708" s="7"/>
      <c r="I708" s="7"/>
      <c r="J708" s="7"/>
      <c r="K708" s="7"/>
      <c r="L708" s="7">
        <v>8009324</v>
      </c>
      <c r="M708" s="22">
        <v>44645</v>
      </c>
      <c r="N708" s="8" t="s">
        <v>180</v>
      </c>
      <c r="O708" s="8"/>
      <c r="P708" s="7">
        <v>15000</v>
      </c>
      <c r="Q708" s="7">
        <v>68793.649999999994</v>
      </c>
      <c r="R708" s="7">
        <v>87082900</v>
      </c>
      <c r="S708" s="7">
        <v>15</v>
      </c>
      <c r="T708" s="7" t="s">
        <v>275</v>
      </c>
      <c r="U708" s="7" t="s">
        <v>178</v>
      </c>
      <c r="V708" s="6">
        <f t="shared" si="138"/>
        <v>10319.047499999999</v>
      </c>
      <c r="W708" s="6">
        <f t="shared" si="139"/>
        <v>1031.9047499999999</v>
      </c>
      <c r="X708" s="6">
        <f t="shared" si="140"/>
        <v>11350.952249999998</v>
      </c>
      <c r="Y708" s="6">
        <f t="shared" si="141"/>
        <v>0.75673014999999988</v>
      </c>
      <c r="Z708" s="6">
        <f t="shared" si="142"/>
        <v>4.586243333333333</v>
      </c>
      <c r="AA708" s="9">
        <f t="shared" si="143"/>
        <v>15000</v>
      </c>
      <c r="AB708" s="10">
        <v>15000</v>
      </c>
      <c r="AC708" s="11">
        <f t="shared" si="144"/>
        <v>11350.952249999998</v>
      </c>
      <c r="AD708" s="12">
        <f t="shared" si="135"/>
        <v>15000</v>
      </c>
      <c r="AE708" s="13">
        <f t="shared" si="136"/>
        <v>0</v>
      </c>
    </row>
    <row r="709" spans="1:31">
      <c r="A709" s="6">
        <v>25</v>
      </c>
      <c r="B709" s="6">
        <f t="shared" si="134"/>
        <v>12</v>
      </c>
      <c r="C709" s="6" t="str">
        <f t="shared" si="137"/>
        <v>608225700ASCREW,STD METRIIC HEXALOBULAR  M5 T25 12MM96111084530110000</v>
      </c>
      <c r="D709" s="6" t="s">
        <v>375</v>
      </c>
      <c r="E709" s="6" t="s">
        <v>169</v>
      </c>
      <c r="F709" s="6"/>
      <c r="G709" s="7" t="s">
        <v>147</v>
      </c>
      <c r="H709" s="7"/>
      <c r="I709" s="7"/>
      <c r="J709" s="7"/>
      <c r="K709" s="7"/>
      <c r="L709" s="7">
        <v>9611108</v>
      </c>
      <c r="M709" s="22">
        <v>45301</v>
      </c>
      <c r="N709" s="8" t="s">
        <v>180</v>
      </c>
      <c r="O709" s="8" t="s">
        <v>332</v>
      </c>
      <c r="P709" s="7">
        <v>10000</v>
      </c>
      <c r="Q709" s="7">
        <v>36913.120000000003</v>
      </c>
      <c r="R709" s="7">
        <v>87089400</v>
      </c>
      <c r="S709" s="7">
        <v>15</v>
      </c>
      <c r="T709" s="7" t="s">
        <v>275</v>
      </c>
      <c r="U709" s="7" t="s">
        <v>178</v>
      </c>
      <c r="V709" s="6">
        <f t="shared" si="138"/>
        <v>5536.9679999999998</v>
      </c>
      <c r="W709" s="6">
        <f t="shared" si="139"/>
        <v>553.69680000000005</v>
      </c>
      <c r="X709" s="6">
        <f t="shared" si="140"/>
        <v>6090.6647999999996</v>
      </c>
      <c r="Y709" s="6">
        <f t="shared" si="141"/>
        <v>0.60906647999999997</v>
      </c>
      <c r="Z709" s="6">
        <f t="shared" si="142"/>
        <v>3.6913120000000004</v>
      </c>
      <c r="AA709" s="9">
        <f t="shared" si="143"/>
        <v>10000</v>
      </c>
      <c r="AB709" s="10">
        <v>5392</v>
      </c>
      <c r="AC709" s="11">
        <f t="shared" si="144"/>
        <v>3284.0864601599997</v>
      </c>
      <c r="AD709" s="12">
        <f t="shared" si="135"/>
        <v>10000</v>
      </c>
      <c r="AE709" s="13">
        <f t="shared" si="136"/>
        <v>0</v>
      </c>
    </row>
    <row r="710" spans="1:31">
      <c r="A710" s="6">
        <v>25</v>
      </c>
      <c r="B710" s="6">
        <f t="shared" si="134"/>
        <v>13</v>
      </c>
      <c r="C710" s="6" t="str">
        <f t="shared" si="137"/>
        <v>651166400CSPRING, COIL, UPPER 91092994472645000</v>
      </c>
      <c r="D710" s="6" t="s">
        <v>375</v>
      </c>
      <c r="E710" s="6" t="s">
        <v>170</v>
      </c>
      <c r="F710" s="6"/>
      <c r="G710" s="7" t="s">
        <v>148</v>
      </c>
      <c r="H710" s="7"/>
      <c r="I710" s="7"/>
      <c r="J710" s="7"/>
      <c r="K710" s="7"/>
      <c r="L710" s="7">
        <v>9109299</v>
      </c>
      <c r="M710" s="22">
        <v>44726</v>
      </c>
      <c r="N710" s="8" t="s">
        <v>180</v>
      </c>
      <c r="O710" s="8"/>
      <c r="P710" s="7">
        <v>45000</v>
      </c>
      <c r="Q710" s="7">
        <v>85637.79</v>
      </c>
      <c r="R710" s="7">
        <v>87089500</v>
      </c>
      <c r="S710" s="7">
        <v>15</v>
      </c>
      <c r="T710" s="7" t="s">
        <v>297</v>
      </c>
      <c r="U710" s="7" t="s">
        <v>178</v>
      </c>
      <c r="V710" s="6">
        <f t="shared" si="138"/>
        <v>12845.668499999998</v>
      </c>
      <c r="W710" s="6">
        <f t="shared" si="139"/>
        <v>1284.5668499999999</v>
      </c>
      <c r="X710" s="6">
        <f t="shared" si="140"/>
        <v>14130.235349999997</v>
      </c>
      <c r="Y710" s="6">
        <f t="shared" si="141"/>
        <v>0.31400522999999991</v>
      </c>
      <c r="Z710" s="6">
        <f t="shared" si="142"/>
        <v>1.9030619999999998</v>
      </c>
      <c r="AA710" s="9">
        <f t="shared" si="143"/>
        <v>45000</v>
      </c>
      <c r="AB710" s="10">
        <v>32400</v>
      </c>
      <c r="AC710" s="11">
        <f t="shared" si="144"/>
        <v>10173.769451999997</v>
      </c>
      <c r="AD710" s="12">
        <f t="shared" si="135"/>
        <v>45000</v>
      </c>
      <c r="AE710" s="13">
        <f t="shared" si="136"/>
        <v>0</v>
      </c>
    </row>
    <row r="711" spans="1:31">
      <c r="A711" s="6">
        <v>25</v>
      </c>
      <c r="B711" s="6">
        <f t="shared" si="134"/>
        <v>14</v>
      </c>
      <c r="C711" s="6" t="str">
        <f t="shared" si="137"/>
        <v>651015300BELEMENT, HEATER, HYBRID 3620214454354620</v>
      </c>
      <c r="D711" s="6" t="s">
        <v>375</v>
      </c>
      <c r="E711" s="6" t="s">
        <v>155</v>
      </c>
      <c r="F711" s="6"/>
      <c r="G711" s="7" t="s">
        <v>137</v>
      </c>
      <c r="H711" s="7"/>
      <c r="I711" s="7"/>
      <c r="J711" s="7"/>
      <c r="K711" s="7"/>
      <c r="L711" s="7">
        <v>3620214</v>
      </c>
      <c r="M711" s="22">
        <v>45435</v>
      </c>
      <c r="N711" s="8" t="s">
        <v>190</v>
      </c>
      <c r="O711" s="8"/>
      <c r="P711" s="7">
        <v>4620</v>
      </c>
      <c r="Q711" s="7">
        <v>2455104.85</v>
      </c>
      <c r="R711" s="7">
        <v>87089400</v>
      </c>
      <c r="S711" s="7">
        <v>15</v>
      </c>
      <c r="T711" s="7" t="s">
        <v>374</v>
      </c>
      <c r="U711" s="7" t="s">
        <v>178</v>
      </c>
      <c r="V711" s="6">
        <f t="shared" si="138"/>
        <v>368265.72749999998</v>
      </c>
      <c r="W711" s="6">
        <f t="shared" si="139"/>
        <v>36826.572749999999</v>
      </c>
      <c r="X711" s="6">
        <f t="shared" si="140"/>
        <v>405092.30024999997</v>
      </c>
      <c r="Y711" s="6">
        <f t="shared" si="141"/>
        <v>87.682316071428559</v>
      </c>
      <c r="Z711" s="6">
        <f t="shared" si="142"/>
        <v>531.40797619047623</v>
      </c>
      <c r="AA711" s="9">
        <f t="shared" si="143"/>
        <v>4620</v>
      </c>
      <c r="AB711" s="10">
        <v>890</v>
      </c>
      <c r="AC711" s="11">
        <f t="shared" si="144"/>
        <v>78037.261303571417</v>
      </c>
      <c r="AD711" s="12">
        <v>4620</v>
      </c>
      <c r="AE711" s="13">
        <f t="shared" si="136"/>
        <v>0</v>
      </c>
    </row>
    <row r="712" spans="1:31">
      <c r="A712" s="6">
        <v>25</v>
      </c>
      <c r="B712" s="6">
        <f t="shared" si="134"/>
        <v>15</v>
      </c>
      <c r="C712" s="6" t="str">
        <f t="shared" si="137"/>
        <v>651015300BELEMENT, HEATER, HYBRID 2116712453353500</v>
      </c>
      <c r="D712" s="6" t="s">
        <v>375</v>
      </c>
      <c r="E712" s="6" t="s">
        <v>155</v>
      </c>
      <c r="F712" s="6"/>
      <c r="G712" s="7" t="s">
        <v>137</v>
      </c>
      <c r="H712" s="7"/>
      <c r="I712" s="7"/>
      <c r="J712" s="7"/>
      <c r="K712" s="7"/>
      <c r="L712" s="7">
        <v>2116712</v>
      </c>
      <c r="M712" s="22">
        <v>45335</v>
      </c>
      <c r="N712" s="8" t="s">
        <v>189</v>
      </c>
      <c r="O712" s="8"/>
      <c r="P712" s="7">
        <v>3500</v>
      </c>
      <c r="Q712" s="7">
        <v>1850116.93</v>
      </c>
      <c r="R712" s="7">
        <v>87089400</v>
      </c>
      <c r="S712" s="7">
        <v>15</v>
      </c>
      <c r="T712" s="7" t="s">
        <v>366</v>
      </c>
      <c r="U712" s="7" t="s">
        <v>178</v>
      </c>
      <c r="V712" s="6">
        <f t="shared" si="138"/>
        <v>277517.53949999996</v>
      </c>
      <c r="W712" s="6">
        <f t="shared" si="139"/>
        <v>27751.753949999998</v>
      </c>
      <c r="X712" s="6">
        <f t="shared" si="140"/>
        <v>305269.29344999994</v>
      </c>
      <c r="Y712" s="6">
        <f t="shared" si="141"/>
        <v>87.219798128571412</v>
      </c>
      <c r="Z712" s="6">
        <f t="shared" si="142"/>
        <v>528.60483714285715</v>
      </c>
      <c r="AA712" s="9">
        <f t="shared" si="143"/>
        <v>3500</v>
      </c>
      <c r="AB712" s="10">
        <v>616</v>
      </c>
      <c r="AC712" s="11">
        <f t="shared" si="144"/>
        <v>53727.395647199992</v>
      </c>
      <c r="AD712" s="12">
        <f t="shared" ref="AD712:AD719" si="145">SUMIF($C$2:$C$2284,C712,$AB$2:$AB$2284)</f>
        <v>3040</v>
      </c>
      <c r="AE712" s="13">
        <f t="shared" si="136"/>
        <v>460</v>
      </c>
    </row>
    <row r="713" spans="1:31">
      <c r="A713" s="6">
        <v>25</v>
      </c>
      <c r="B713" s="6">
        <f t="shared" si="134"/>
        <v>16</v>
      </c>
      <c r="C713" s="6" t="str">
        <f t="shared" si="137"/>
        <v>634240200AHORN CONTACT, CU 681124845118600000</v>
      </c>
      <c r="D713" s="6" t="s">
        <v>375</v>
      </c>
      <c r="E713" s="6" t="s">
        <v>160</v>
      </c>
      <c r="F713" s="6"/>
      <c r="G713" s="7" t="s">
        <v>138</v>
      </c>
      <c r="H713" s="7"/>
      <c r="I713" s="7"/>
      <c r="J713" s="7"/>
      <c r="K713" s="7"/>
      <c r="L713" s="7">
        <v>6811248</v>
      </c>
      <c r="M713" s="22">
        <v>45118</v>
      </c>
      <c r="N713" s="8" t="s">
        <v>189</v>
      </c>
      <c r="O713" s="8" t="s">
        <v>332</v>
      </c>
      <c r="P713" s="7">
        <v>600000</v>
      </c>
      <c r="Q713" s="7">
        <v>627311.64</v>
      </c>
      <c r="R713" s="7">
        <v>87089900</v>
      </c>
      <c r="S713" s="7">
        <v>15</v>
      </c>
      <c r="T713" s="7" t="s">
        <v>258</v>
      </c>
      <c r="U713" s="7" t="s">
        <v>178</v>
      </c>
      <c r="V713" s="6">
        <f t="shared" si="138"/>
        <v>94096.745999999999</v>
      </c>
      <c r="W713" s="6">
        <f t="shared" si="139"/>
        <v>9409.6746000000003</v>
      </c>
      <c r="X713" s="6">
        <f t="shared" si="140"/>
        <v>103506.4206</v>
      </c>
      <c r="Y713" s="6">
        <f t="shared" si="141"/>
        <v>0.17251070099999999</v>
      </c>
      <c r="Z713" s="6">
        <f t="shared" si="142"/>
        <v>1.0455194000000001</v>
      </c>
      <c r="AA713" s="9">
        <f t="shared" si="143"/>
        <v>600000</v>
      </c>
      <c r="AB713" s="10">
        <v>43200</v>
      </c>
      <c r="AC713" s="11">
        <f t="shared" si="144"/>
        <v>7452.4622831999995</v>
      </c>
      <c r="AD713" s="12">
        <f t="shared" si="145"/>
        <v>577364</v>
      </c>
      <c r="AE713" s="13">
        <f t="shared" si="136"/>
        <v>22636</v>
      </c>
    </row>
    <row r="714" spans="1:31">
      <c r="A714" s="6">
        <v>25</v>
      </c>
      <c r="B714" s="6">
        <f t="shared" si="134"/>
        <v>17</v>
      </c>
      <c r="C714" s="6" t="str">
        <f t="shared" si="137"/>
        <v>630580800ALABEL, RAW MATERIAL, BLA K12 TPC BUCKLE5160585449362400000</v>
      </c>
      <c r="D714" s="6" t="s">
        <v>375</v>
      </c>
      <c r="E714" s="6" t="s">
        <v>71</v>
      </c>
      <c r="F714" s="6"/>
      <c r="G714" s="7" t="s">
        <v>31</v>
      </c>
      <c r="H714" s="7"/>
      <c r="I714" s="7"/>
      <c r="J714" s="7"/>
      <c r="K714" s="7"/>
      <c r="L714" s="7">
        <v>5160585</v>
      </c>
      <c r="M714" s="22">
        <v>44936</v>
      </c>
      <c r="N714" s="8" t="s">
        <v>196</v>
      </c>
      <c r="O714" s="8" t="s">
        <v>333</v>
      </c>
      <c r="P714" s="7">
        <v>2400000</v>
      </c>
      <c r="Q714" s="7">
        <v>86522.34</v>
      </c>
      <c r="R714" s="7">
        <v>87082900</v>
      </c>
      <c r="S714" s="7">
        <v>15</v>
      </c>
      <c r="T714" s="7" t="s">
        <v>265</v>
      </c>
      <c r="U714" s="7" t="s">
        <v>178</v>
      </c>
      <c r="V714" s="6">
        <f t="shared" si="138"/>
        <v>12978.350999999999</v>
      </c>
      <c r="W714" s="6">
        <f t="shared" si="139"/>
        <v>1297.8351</v>
      </c>
      <c r="X714" s="6">
        <f t="shared" si="140"/>
        <v>14276.186099999999</v>
      </c>
      <c r="Y714" s="6">
        <f t="shared" si="141"/>
        <v>5.9484108749999999E-3</v>
      </c>
      <c r="Z714" s="6">
        <f t="shared" si="142"/>
        <v>3.6050974999999999E-2</v>
      </c>
      <c r="AA714" s="9">
        <f t="shared" si="143"/>
        <v>2400000</v>
      </c>
      <c r="AB714" s="10">
        <v>10800</v>
      </c>
      <c r="AC714" s="11">
        <f t="shared" si="144"/>
        <v>64.242837449999996</v>
      </c>
      <c r="AD714" s="12">
        <f t="shared" si="145"/>
        <v>548546</v>
      </c>
      <c r="AE714" s="13">
        <f t="shared" si="136"/>
        <v>1851454</v>
      </c>
    </row>
    <row r="715" spans="1:31">
      <c r="A715" s="6">
        <v>25</v>
      </c>
      <c r="B715" s="6">
        <f t="shared" si="134"/>
        <v>18</v>
      </c>
      <c r="C715" s="6" t="str">
        <f t="shared" si="137"/>
        <v>608067201ANUT, ISO, M5 351094044894800000</v>
      </c>
      <c r="D715" s="6" t="s">
        <v>375</v>
      </c>
      <c r="E715" s="6" t="s">
        <v>164</v>
      </c>
      <c r="F715" s="6"/>
      <c r="G715" s="7" t="s">
        <v>142</v>
      </c>
      <c r="H715" s="7"/>
      <c r="I715" s="7"/>
      <c r="J715" s="7"/>
      <c r="K715" s="7"/>
      <c r="L715" s="7">
        <v>3510940</v>
      </c>
      <c r="M715" s="22">
        <v>44894</v>
      </c>
      <c r="N715" s="8" t="s">
        <v>189</v>
      </c>
      <c r="O715" s="8" t="s">
        <v>332</v>
      </c>
      <c r="P715" s="7">
        <v>800000</v>
      </c>
      <c r="Q715" s="7">
        <v>1498489.13</v>
      </c>
      <c r="R715" s="7">
        <v>87089500</v>
      </c>
      <c r="S715" s="7">
        <v>15</v>
      </c>
      <c r="T715" s="7" t="s">
        <v>183</v>
      </c>
      <c r="U715" s="7" t="s">
        <v>178</v>
      </c>
      <c r="V715" s="6">
        <f t="shared" si="138"/>
        <v>224773.36949999997</v>
      </c>
      <c r="W715" s="6">
        <f t="shared" si="139"/>
        <v>22477.336949999997</v>
      </c>
      <c r="X715" s="6">
        <f t="shared" si="140"/>
        <v>247250.70644999997</v>
      </c>
      <c r="Y715" s="6">
        <f t="shared" si="141"/>
        <v>0.30906338306249997</v>
      </c>
      <c r="Z715" s="6">
        <f t="shared" si="142"/>
        <v>1.8731114124999999</v>
      </c>
      <c r="AA715" s="9">
        <f t="shared" si="143"/>
        <v>800000</v>
      </c>
      <c r="AB715" s="10">
        <v>1920</v>
      </c>
      <c r="AC715" s="11">
        <f t="shared" si="144"/>
        <v>593.40169547999994</v>
      </c>
      <c r="AD715" s="12">
        <f t="shared" si="145"/>
        <v>70960</v>
      </c>
      <c r="AE715" s="13">
        <f t="shared" si="136"/>
        <v>729040</v>
      </c>
    </row>
    <row r="716" spans="1:31">
      <c r="A716" s="6">
        <v>25</v>
      </c>
      <c r="B716" s="6">
        <f t="shared" si="134"/>
        <v>19</v>
      </c>
      <c r="C716" s="6" t="str">
        <f t="shared" si="137"/>
        <v>644345600ASCREW, SELF-TAPPING, PLA PLASTIC, 3.0, CROSS82103034520890000</v>
      </c>
      <c r="D716" s="6" t="s">
        <v>375</v>
      </c>
      <c r="E716" s="6" t="s">
        <v>166</v>
      </c>
      <c r="F716" s="6"/>
      <c r="G716" s="7" t="s">
        <v>144</v>
      </c>
      <c r="H716" s="7"/>
      <c r="I716" s="7"/>
      <c r="J716" s="7"/>
      <c r="K716" s="7"/>
      <c r="L716" s="7">
        <v>8210303</v>
      </c>
      <c r="M716" s="22">
        <v>45208</v>
      </c>
      <c r="N716" s="8" t="s">
        <v>190</v>
      </c>
      <c r="O716" s="8" t="s">
        <v>333</v>
      </c>
      <c r="P716" s="7">
        <v>90000</v>
      </c>
      <c r="Q716" s="7">
        <v>68654.59</v>
      </c>
      <c r="R716" s="7">
        <v>87089500</v>
      </c>
      <c r="S716" s="7">
        <v>15</v>
      </c>
      <c r="T716" s="7" t="s">
        <v>191</v>
      </c>
      <c r="U716" s="7" t="s">
        <v>178</v>
      </c>
      <c r="V716" s="6">
        <f t="shared" si="138"/>
        <v>10298.188499999998</v>
      </c>
      <c r="W716" s="6">
        <f t="shared" si="139"/>
        <v>1029.8188499999999</v>
      </c>
      <c r="X716" s="6">
        <f t="shared" si="140"/>
        <v>11328.007349999998</v>
      </c>
      <c r="Y716" s="6">
        <f t="shared" si="141"/>
        <v>0.12586674833333331</v>
      </c>
      <c r="Z716" s="6">
        <f t="shared" si="142"/>
        <v>0.76282877777777769</v>
      </c>
      <c r="AA716" s="9">
        <f t="shared" si="143"/>
        <v>90000</v>
      </c>
      <c r="AB716" s="10">
        <v>21600</v>
      </c>
      <c r="AC716" s="11">
        <f t="shared" si="144"/>
        <v>2718.7217639999994</v>
      </c>
      <c r="AD716" s="12">
        <f t="shared" si="145"/>
        <v>90000</v>
      </c>
      <c r="AE716" s="13">
        <f t="shared" si="136"/>
        <v>0</v>
      </c>
    </row>
    <row r="717" spans="1:31">
      <c r="A717" s="6">
        <v>25</v>
      </c>
      <c r="B717" s="6">
        <f t="shared" si="134"/>
        <v>20</v>
      </c>
      <c r="C717" s="6" t="str">
        <f t="shared" si="137"/>
        <v>628408700ASCREW, STANDARD, METRIC, M5, HEXALOBULAR INTERNAL33705784541960000</v>
      </c>
      <c r="D717" s="6" t="s">
        <v>375</v>
      </c>
      <c r="E717" s="6" t="s">
        <v>167</v>
      </c>
      <c r="F717" s="6"/>
      <c r="G717" s="7" t="s">
        <v>145</v>
      </c>
      <c r="H717" s="7"/>
      <c r="I717" s="7"/>
      <c r="J717" s="7"/>
      <c r="K717" s="7"/>
      <c r="L717" s="7">
        <v>3370578</v>
      </c>
      <c r="M717" s="22">
        <v>45419</v>
      </c>
      <c r="N717" s="8" t="s">
        <v>190</v>
      </c>
      <c r="O717" s="8"/>
      <c r="P717" s="7">
        <v>60000</v>
      </c>
      <c r="Q717" s="7">
        <v>296379.8</v>
      </c>
      <c r="R717" s="7">
        <v>87089400</v>
      </c>
      <c r="S717" s="7">
        <v>15</v>
      </c>
      <c r="T717" s="7" t="s">
        <v>367</v>
      </c>
      <c r="U717" s="7" t="s">
        <v>178</v>
      </c>
      <c r="V717" s="6">
        <f t="shared" si="138"/>
        <v>44456.969999999994</v>
      </c>
      <c r="W717" s="6">
        <f t="shared" si="139"/>
        <v>4445.6969999999992</v>
      </c>
      <c r="X717" s="6">
        <f t="shared" si="140"/>
        <v>48902.666999999994</v>
      </c>
      <c r="Y717" s="6">
        <f t="shared" si="141"/>
        <v>0.81504444999999992</v>
      </c>
      <c r="Z717" s="6">
        <f t="shared" si="142"/>
        <v>4.9396633333333329</v>
      </c>
      <c r="AA717" s="9">
        <f t="shared" si="143"/>
        <v>60000</v>
      </c>
      <c r="AB717" s="10">
        <v>13200</v>
      </c>
      <c r="AC717" s="11">
        <f t="shared" si="144"/>
        <v>10758.586739999999</v>
      </c>
      <c r="AD717" s="12">
        <f t="shared" si="145"/>
        <v>60000</v>
      </c>
      <c r="AE717" s="13">
        <f t="shared" si="136"/>
        <v>0</v>
      </c>
    </row>
    <row r="718" spans="1:31">
      <c r="A718" s="6">
        <v>25</v>
      </c>
      <c r="B718" s="6">
        <f t="shared" si="134"/>
        <v>21</v>
      </c>
      <c r="C718" s="6" t="str">
        <f t="shared" si="137"/>
        <v>628408700ASCREW, STANDARD, METRIC, M5, HEXALOBULAR INTERNAL39790904545660000</v>
      </c>
      <c r="D718" s="6" t="s">
        <v>375</v>
      </c>
      <c r="E718" s="6" t="s">
        <v>167</v>
      </c>
      <c r="F718" s="6"/>
      <c r="G718" s="7" t="s">
        <v>145</v>
      </c>
      <c r="H718" s="7"/>
      <c r="I718" s="7"/>
      <c r="J718" s="7"/>
      <c r="K718" s="7"/>
      <c r="L718" s="7">
        <v>3979090</v>
      </c>
      <c r="M718" s="22">
        <v>45456</v>
      </c>
      <c r="N718" s="8" t="s">
        <v>190</v>
      </c>
      <c r="O718" s="8"/>
      <c r="P718" s="7">
        <v>60000</v>
      </c>
      <c r="Q718" s="7">
        <v>296204.12</v>
      </c>
      <c r="R718" s="7">
        <v>87089400</v>
      </c>
      <c r="S718" s="7">
        <v>15</v>
      </c>
      <c r="T718" s="7" t="s">
        <v>367</v>
      </c>
      <c r="U718" s="7" t="s">
        <v>178</v>
      </c>
      <c r="V718" s="6">
        <f t="shared" si="138"/>
        <v>44430.617999999995</v>
      </c>
      <c r="W718" s="6">
        <f t="shared" si="139"/>
        <v>4443.0617999999995</v>
      </c>
      <c r="X718" s="6">
        <f t="shared" si="140"/>
        <v>48873.679799999998</v>
      </c>
      <c r="Y718" s="6">
        <f t="shared" si="141"/>
        <v>0.81456132999999997</v>
      </c>
      <c r="Z718" s="6">
        <f t="shared" si="142"/>
        <v>4.936735333333333</v>
      </c>
      <c r="AA718" s="9">
        <f t="shared" si="143"/>
        <v>60000</v>
      </c>
      <c r="AB718" s="10">
        <v>19200</v>
      </c>
      <c r="AC718" s="11">
        <f t="shared" si="144"/>
        <v>15639.577535999999</v>
      </c>
      <c r="AD718" s="12">
        <f t="shared" si="145"/>
        <v>58800</v>
      </c>
      <c r="AE718" s="13">
        <f t="shared" si="136"/>
        <v>1200</v>
      </c>
    </row>
    <row r="719" spans="1:31">
      <c r="A719" s="6">
        <v>26</v>
      </c>
      <c r="B719" s="6">
        <v>1</v>
      </c>
      <c r="C719" s="6" t="str">
        <f t="shared" si="137"/>
        <v>650557200GCUSHION, FOLDED, C AND S HONDA 2JX4224220454712160</v>
      </c>
      <c r="D719" s="6" t="s">
        <v>384</v>
      </c>
      <c r="E719" s="6" t="s">
        <v>159</v>
      </c>
      <c r="F719" s="6"/>
      <c r="G719" s="7" t="s">
        <v>136</v>
      </c>
      <c r="H719" s="7"/>
      <c r="I719" s="7"/>
      <c r="J719" s="7"/>
      <c r="K719" s="7"/>
      <c r="L719" s="7">
        <v>4224220</v>
      </c>
      <c r="M719" s="22">
        <v>45471</v>
      </c>
      <c r="N719" s="8" t="s">
        <v>182</v>
      </c>
      <c r="O719" s="8" t="s">
        <v>332</v>
      </c>
      <c r="P719" s="7">
        <v>2160</v>
      </c>
      <c r="Q719" s="7">
        <v>2625234.39</v>
      </c>
      <c r="R719" s="7">
        <v>87089500</v>
      </c>
      <c r="S719" s="7">
        <v>5</v>
      </c>
      <c r="T719" s="7" t="s">
        <v>385</v>
      </c>
      <c r="U719" s="7" t="s">
        <v>178</v>
      </c>
      <c r="V719" s="6">
        <f t="shared" si="138"/>
        <v>131261.71950000001</v>
      </c>
      <c r="W719" s="6">
        <f t="shared" si="139"/>
        <v>13126.171950000002</v>
      </c>
      <c r="X719" s="6">
        <f t="shared" si="140"/>
        <v>144387.89145</v>
      </c>
      <c r="Y719" s="6">
        <f t="shared" si="141"/>
        <v>66.84624604166666</v>
      </c>
      <c r="Z719" s="6">
        <f t="shared" si="142"/>
        <v>1215.3862916666667</v>
      </c>
      <c r="AA719" s="9">
        <f t="shared" si="143"/>
        <v>2160</v>
      </c>
      <c r="AB719" s="10">
        <v>960</v>
      </c>
      <c r="AC719" s="11">
        <f t="shared" si="144"/>
        <v>64172.396199999996</v>
      </c>
      <c r="AD719" s="12">
        <f t="shared" si="145"/>
        <v>1920</v>
      </c>
      <c r="AE719" s="13">
        <f t="shared" si="136"/>
        <v>240</v>
      </c>
    </row>
    <row r="720" spans="1:31">
      <c r="A720" s="6">
        <v>26</v>
      </c>
      <c r="B720" s="6">
        <f t="shared" si="134"/>
        <v>2</v>
      </c>
      <c r="C720" s="6" t="str">
        <f t="shared" si="137"/>
        <v>651015300BELEMENT, HEATER, HYBRID 3620214454354620</v>
      </c>
      <c r="D720" s="6" t="s">
        <v>384</v>
      </c>
      <c r="E720" s="6" t="s">
        <v>155</v>
      </c>
      <c r="F720" s="6"/>
      <c r="G720" s="7" t="s">
        <v>137</v>
      </c>
      <c r="H720" s="7"/>
      <c r="I720" s="7"/>
      <c r="J720" s="7"/>
      <c r="K720" s="7"/>
      <c r="L720" s="7">
        <v>3620214</v>
      </c>
      <c r="M720" s="22">
        <v>45435</v>
      </c>
      <c r="N720" s="8" t="s">
        <v>190</v>
      </c>
      <c r="O720" s="8" t="s">
        <v>333</v>
      </c>
      <c r="P720" s="7">
        <v>4620</v>
      </c>
      <c r="Q720" s="7">
        <v>2455104.85</v>
      </c>
      <c r="R720" s="7">
        <v>87089400</v>
      </c>
      <c r="S720" s="7">
        <v>15</v>
      </c>
      <c r="T720" s="7" t="s">
        <v>374</v>
      </c>
      <c r="U720" s="7" t="s">
        <v>178</v>
      </c>
      <c r="V720" s="6">
        <f t="shared" si="138"/>
        <v>368265.72749999998</v>
      </c>
      <c r="W720" s="6">
        <f t="shared" si="139"/>
        <v>36826.572749999999</v>
      </c>
      <c r="X720" s="6">
        <f t="shared" si="140"/>
        <v>405092.30024999997</v>
      </c>
      <c r="Y720" s="6">
        <f t="shared" si="141"/>
        <v>87.682316071428559</v>
      </c>
      <c r="Z720" s="6">
        <f t="shared" si="142"/>
        <v>531.40797619047623</v>
      </c>
      <c r="AA720" s="9">
        <f t="shared" si="143"/>
        <v>4620</v>
      </c>
      <c r="AB720" s="10">
        <v>4342</v>
      </c>
      <c r="AC720" s="11">
        <f t="shared" si="144"/>
        <v>380716.61638214282</v>
      </c>
      <c r="AD720" s="12">
        <v>4620</v>
      </c>
      <c r="AE720" s="13">
        <f t="shared" si="136"/>
        <v>0</v>
      </c>
    </row>
    <row r="721" spans="1:31">
      <c r="A721" s="6">
        <v>26</v>
      </c>
      <c r="B721" s="6">
        <f t="shared" si="134"/>
        <v>3</v>
      </c>
      <c r="C721" s="6" t="str">
        <f t="shared" si="137"/>
        <v>652466500ALEATHER, HIDE TOP GRAIN, OBSIDIAN BLACK, NNB, BLA206243445331509.48</v>
      </c>
      <c r="D721" s="6" t="s">
        <v>384</v>
      </c>
      <c r="E721" s="6" t="s">
        <v>163</v>
      </c>
      <c r="F721" s="6"/>
      <c r="G721" s="7" t="s">
        <v>141</v>
      </c>
      <c r="H721" s="7"/>
      <c r="I721" s="7"/>
      <c r="J721" s="7"/>
      <c r="K721" s="7"/>
      <c r="L721" s="7">
        <v>2062434</v>
      </c>
      <c r="M721" s="22">
        <v>45331</v>
      </c>
      <c r="N721" s="8" t="s">
        <v>180</v>
      </c>
      <c r="O721" s="8" t="s">
        <v>383</v>
      </c>
      <c r="P721" s="7">
        <v>509.48</v>
      </c>
      <c r="Q721" s="7">
        <v>1192883.24</v>
      </c>
      <c r="R721" s="7">
        <v>41071200</v>
      </c>
      <c r="S721" s="7">
        <v>10</v>
      </c>
      <c r="T721" s="7" t="s">
        <v>261</v>
      </c>
      <c r="U721" s="7" t="s">
        <v>178</v>
      </c>
      <c r="V721" s="6">
        <f t="shared" si="138"/>
        <v>119288.32400000001</v>
      </c>
      <c r="W721" s="6">
        <f t="shared" si="139"/>
        <v>11928.832400000001</v>
      </c>
      <c r="X721" s="6">
        <f t="shared" si="140"/>
        <v>131217.15640000001</v>
      </c>
      <c r="Y721" s="6">
        <f t="shared" si="141"/>
        <v>257.55114312632486</v>
      </c>
      <c r="Z721" s="6">
        <f t="shared" si="142"/>
        <v>2341.3740284211353</v>
      </c>
      <c r="AA721" s="9">
        <f t="shared" si="143"/>
        <v>509.48</v>
      </c>
      <c r="AB721" s="10">
        <v>509.48</v>
      </c>
      <c r="AC721" s="11">
        <f t="shared" si="144"/>
        <v>131217.15640000001</v>
      </c>
      <c r="AD721" s="12">
        <v>509</v>
      </c>
      <c r="AE721" s="13">
        <f t="shared" si="136"/>
        <v>0.48000000000001819</v>
      </c>
    </row>
    <row r="722" spans="1:31">
      <c r="A722" s="6">
        <v>26</v>
      </c>
      <c r="B722" s="6">
        <f t="shared" si="134"/>
        <v>4</v>
      </c>
      <c r="C722" s="6" t="str">
        <f t="shared" si="137"/>
        <v>652466500ALEATHER, HIDE TOP GRAIN, OBSIDIAN BLACK, NNB, BLA206738145331512.64</v>
      </c>
      <c r="D722" s="6" t="s">
        <v>384</v>
      </c>
      <c r="E722" s="6" t="s">
        <v>163</v>
      </c>
      <c r="F722" s="6"/>
      <c r="G722" s="7" t="s">
        <v>141</v>
      </c>
      <c r="H722" s="7"/>
      <c r="I722" s="7"/>
      <c r="J722" s="7"/>
      <c r="K722" s="7"/>
      <c r="L722" s="7">
        <v>2067381</v>
      </c>
      <c r="M722" s="22">
        <v>45331</v>
      </c>
      <c r="N722" s="8" t="s">
        <v>180</v>
      </c>
      <c r="O722" s="8" t="s">
        <v>383</v>
      </c>
      <c r="P722" s="7">
        <v>512.64</v>
      </c>
      <c r="Q722" s="7">
        <v>1194953.45</v>
      </c>
      <c r="R722" s="7">
        <v>41071200</v>
      </c>
      <c r="S722" s="7">
        <v>10</v>
      </c>
      <c r="T722" s="7" t="s">
        <v>261</v>
      </c>
      <c r="U722" s="7" t="s">
        <v>178</v>
      </c>
      <c r="V722" s="6">
        <f t="shared" si="138"/>
        <v>119495.345</v>
      </c>
      <c r="W722" s="6">
        <f t="shared" si="139"/>
        <v>11949.534500000002</v>
      </c>
      <c r="X722" s="6">
        <f t="shared" si="140"/>
        <v>131444.87950000001</v>
      </c>
      <c r="Y722" s="6">
        <f t="shared" si="141"/>
        <v>256.40777056023722</v>
      </c>
      <c r="Z722" s="6">
        <f t="shared" si="142"/>
        <v>2330.9797323657926</v>
      </c>
      <c r="AA722" s="9">
        <f t="shared" si="143"/>
        <v>512.64</v>
      </c>
      <c r="AB722" s="10">
        <v>512.64</v>
      </c>
      <c r="AC722" s="11">
        <f t="shared" si="144"/>
        <v>131444.87950000001</v>
      </c>
      <c r="AD722" s="12">
        <v>512.64</v>
      </c>
      <c r="AE722" s="13">
        <f t="shared" si="136"/>
        <v>0</v>
      </c>
    </row>
    <row r="723" spans="1:31">
      <c r="A723" s="6">
        <v>26</v>
      </c>
      <c r="B723" s="6">
        <f t="shared" si="134"/>
        <v>5</v>
      </c>
      <c r="C723" s="6" t="str">
        <f t="shared" si="137"/>
        <v>652466500ALEATHER, HIDE TOP GRAIN, OBSIDIAN BLACK, NNB, BLA206738145331507.69</v>
      </c>
      <c r="D723" s="6" t="s">
        <v>384</v>
      </c>
      <c r="E723" s="6" t="s">
        <v>163</v>
      </c>
      <c r="F723" s="6"/>
      <c r="G723" s="7" t="s">
        <v>141</v>
      </c>
      <c r="H723" s="7"/>
      <c r="I723" s="7"/>
      <c r="J723" s="7"/>
      <c r="K723" s="7"/>
      <c r="L723" s="7">
        <v>2067381</v>
      </c>
      <c r="M723" s="22">
        <v>45331</v>
      </c>
      <c r="N723" s="8" t="s">
        <v>180</v>
      </c>
      <c r="O723" s="8" t="s">
        <v>383</v>
      </c>
      <c r="P723" s="7">
        <v>507.69</v>
      </c>
      <c r="Q723" s="7">
        <v>1183414.33</v>
      </c>
      <c r="R723" s="7">
        <v>41071200</v>
      </c>
      <c r="S723" s="7">
        <v>10</v>
      </c>
      <c r="T723" s="7" t="s">
        <v>261</v>
      </c>
      <c r="U723" s="7" t="s">
        <v>178</v>
      </c>
      <c r="V723" s="6">
        <f t="shared" si="138"/>
        <v>118341.43300000002</v>
      </c>
      <c r="W723" s="6">
        <f t="shared" si="139"/>
        <v>11834.143300000003</v>
      </c>
      <c r="X723" s="6">
        <f t="shared" si="140"/>
        <v>130175.57630000002</v>
      </c>
      <c r="Y723" s="6">
        <f t="shared" si="141"/>
        <v>256.40760365577421</v>
      </c>
      <c r="Z723" s="6">
        <f t="shared" si="142"/>
        <v>2330.9782150524929</v>
      </c>
      <c r="AA723" s="9">
        <f t="shared" si="143"/>
        <v>507.69</v>
      </c>
      <c r="AB723" s="10">
        <v>507.69</v>
      </c>
      <c r="AC723" s="11">
        <f t="shared" si="144"/>
        <v>130175.57630000002</v>
      </c>
      <c r="AD723" s="12">
        <v>507.69</v>
      </c>
      <c r="AE723" s="13">
        <f t="shared" si="136"/>
        <v>0</v>
      </c>
    </row>
    <row r="724" spans="1:31">
      <c r="A724" s="6">
        <v>26</v>
      </c>
      <c r="B724" s="6">
        <f t="shared" si="134"/>
        <v>6</v>
      </c>
      <c r="C724" s="6" t="str">
        <f t="shared" si="137"/>
        <v>652466500ALEATHER, HIDE TOP GRAIN, OBSIDIAN BLACK, NNB, BLA206738145331530.05</v>
      </c>
      <c r="D724" s="6" t="s">
        <v>384</v>
      </c>
      <c r="E724" s="6" t="s">
        <v>163</v>
      </c>
      <c r="F724" s="6"/>
      <c r="G724" s="7" t="s">
        <v>141</v>
      </c>
      <c r="H724" s="7"/>
      <c r="I724" s="7"/>
      <c r="J724" s="7"/>
      <c r="K724" s="7"/>
      <c r="L724" s="7">
        <v>2067381</v>
      </c>
      <c r="M724" s="22">
        <v>45331</v>
      </c>
      <c r="N724" s="8" t="s">
        <v>180</v>
      </c>
      <c r="O724" s="8" t="s">
        <v>383</v>
      </c>
      <c r="P724" s="7">
        <v>530.04999999999995</v>
      </c>
      <c r="Q724" s="7">
        <v>1235535.47</v>
      </c>
      <c r="R724" s="7">
        <v>41071200</v>
      </c>
      <c r="S724" s="7">
        <v>10</v>
      </c>
      <c r="T724" s="7" t="s">
        <v>261</v>
      </c>
      <c r="U724" s="7" t="s">
        <v>178</v>
      </c>
      <c r="V724" s="6">
        <f t="shared" si="138"/>
        <v>123553.54700000001</v>
      </c>
      <c r="W724" s="6">
        <f t="shared" si="139"/>
        <v>12355.354700000002</v>
      </c>
      <c r="X724" s="6">
        <f t="shared" si="140"/>
        <v>135908.90170000002</v>
      </c>
      <c r="Y724" s="6">
        <f t="shared" si="141"/>
        <v>256.4077005942836</v>
      </c>
      <c r="Z724" s="6">
        <f t="shared" si="142"/>
        <v>2330.9790963116689</v>
      </c>
      <c r="AA724" s="9">
        <f t="shared" si="143"/>
        <v>530.04999999999995</v>
      </c>
      <c r="AB724" s="10">
        <v>530.04999999999995</v>
      </c>
      <c r="AC724" s="11">
        <f t="shared" si="144"/>
        <v>135908.90170000002</v>
      </c>
      <c r="AD724" s="12">
        <v>530.04999999999995</v>
      </c>
      <c r="AE724" s="13">
        <f t="shared" si="136"/>
        <v>0</v>
      </c>
    </row>
    <row r="725" spans="1:31">
      <c r="A725" s="6">
        <v>26</v>
      </c>
      <c r="B725" s="6">
        <f t="shared" si="134"/>
        <v>7</v>
      </c>
      <c r="C725" s="6" t="str">
        <f t="shared" si="137"/>
        <v>652466500ALEATHER, HIDE TOP GRAIN, OBSIDIAN BLACK, NNB, BLA361197545434527.39</v>
      </c>
      <c r="D725" s="6" t="s">
        <v>384</v>
      </c>
      <c r="E725" s="6" t="s">
        <v>163</v>
      </c>
      <c r="F725" s="6"/>
      <c r="G725" s="7" t="s">
        <v>141</v>
      </c>
      <c r="H725" s="7"/>
      <c r="I725" s="7"/>
      <c r="J725" s="7"/>
      <c r="K725" s="7"/>
      <c r="L725" s="7">
        <v>3611975</v>
      </c>
      <c r="M725" s="22">
        <v>45434</v>
      </c>
      <c r="N725" s="8" t="s">
        <v>180</v>
      </c>
      <c r="O725" s="8" t="s">
        <v>383</v>
      </c>
      <c r="P725" s="7">
        <v>527.39</v>
      </c>
      <c r="Q725" s="7">
        <v>1381335.06</v>
      </c>
      <c r="R725" s="7">
        <v>41071200</v>
      </c>
      <c r="S725" s="7">
        <v>10</v>
      </c>
      <c r="T725" s="7" t="s">
        <v>261</v>
      </c>
      <c r="U725" s="7" t="s">
        <v>178</v>
      </c>
      <c r="V725" s="6">
        <f t="shared" si="138"/>
        <v>138133.50600000002</v>
      </c>
      <c r="W725" s="6">
        <f t="shared" si="139"/>
        <v>13813.350600000003</v>
      </c>
      <c r="X725" s="6">
        <f t="shared" si="140"/>
        <v>151946.85660000003</v>
      </c>
      <c r="Y725" s="6">
        <f t="shared" si="141"/>
        <v>288.11099300328038</v>
      </c>
      <c r="Z725" s="6">
        <f t="shared" si="142"/>
        <v>2619.1908454843665</v>
      </c>
      <c r="AA725" s="9">
        <f t="shared" si="143"/>
        <v>527.39</v>
      </c>
      <c r="AB725" s="10">
        <v>467</v>
      </c>
      <c r="AC725" s="11">
        <f t="shared" si="144"/>
        <v>134547.83373253193</v>
      </c>
      <c r="AD725" s="12">
        <f>SUMIF($C$2:$C$2284,C725,$AB$2:$AB$2284)</f>
        <v>467</v>
      </c>
      <c r="AE725" s="13">
        <f t="shared" si="136"/>
        <v>60.389999999999986</v>
      </c>
    </row>
    <row r="726" spans="1:31">
      <c r="A726" s="6">
        <v>26</v>
      </c>
      <c r="B726" s="6">
        <f t="shared" si="134"/>
        <v>8</v>
      </c>
      <c r="C726" s="6" t="str">
        <f t="shared" si="137"/>
        <v>644345600ASCREW, SELF-TAPPING, PLA PLASTIC, 3.0, CROSS20061294532860000</v>
      </c>
      <c r="D726" s="6" t="s">
        <v>384</v>
      </c>
      <c r="E726" s="6" t="s">
        <v>166</v>
      </c>
      <c r="F726" s="6"/>
      <c r="G726" s="7" t="s">
        <v>144</v>
      </c>
      <c r="H726" s="7"/>
      <c r="I726" s="7"/>
      <c r="J726" s="7"/>
      <c r="K726" s="7"/>
      <c r="L726" s="7">
        <v>2006129</v>
      </c>
      <c r="M726" s="22">
        <v>45328</v>
      </c>
      <c r="N726" s="8" t="s">
        <v>190</v>
      </c>
      <c r="O726" s="8" t="s">
        <v>333</v>
      </c>
      <c r="P726" s="7">
        <v>60000</v>
      </c>
      <c r="Q726" s="7">
        <v>45751.21</v>
      </c>
      <c r="R726" s="7">
        <v>87089500</v>
      </c>
      <c r="S726" s="7">
        <v>15</v>
      </c>
      <c r="T726" s="7" t="s">
        <v>191</v>
      </c>
      <c r="U726" s="7" t="s">
        <v>178</v>
      </c>
      <c r="V726" s="6">
        <f t="shared" si="138"/>
        <v>6862.6814999999997</v>
      </c>
      <c r="W726" s="6">
        <f t="shared" si="139"/>
        <v>686.26814999999999</v>
      </c>
      <c r="X726" s="6">
        <f t="shared" si="140"/>
        <v>7548.9496499999996</v>
      </c>
      <c r="Y726" s="6">
        <f t="shared" si="141"/>
        <v>0.1258158275</v>
      </c>
      <c r="Z726" s="6">
        <f t="shared" si="142"/>
        <v>0.76252016666666667</v>
      </c>
      <c r="AA726" s="9">
        <f t="shared" si="143"/>
        <v>60000</v>
      </c>
      <c r="AB726" s="10">
        <v>21600</v>
      </c>
      <c r="AC726" s="11">
        <f t="shared" si="144"/>
        <v>2717.6218739999999</v>
      </c>
      <c r="AD726" s="12">
        <f>SUMIF($C$2:$C$2284,C726,$AB$2:$AB$2284)</f>
        <v>57196</v>
      </c>
      <c r="AE726" s="13">
        <f t="shared" si="136"/>
        <v>2804</v>
      </c>
    </row>
    <row r="727" spans="1:31">
      <c r="A727" s="6">
        <v>26</v>
      </c>
      <c r="B727" s="6">
        <f t="shared" si="134"/>
        <v>9</v>
      </c>
      <c r="C727" s="6" t="str">
        <f t="shared" si="137"/>
        <v>628408700ASCREW, STANDARD, METRIC, M5, HEXALOBULAR INTERNAL49016644551035000</v>
      </c>
      <c r="D727" s="6" t="s">
        <v>384</v>
      </c>
      <c r="E727" s="6" t="s">
        <v>167</v>
      </c>
      <c r="F727" s="6"/>
      <c r="G727" s="7" t="s">
        <v>145</v>
      </c>
      <c r="H727" s="7"/>
      <c r="I727" s="7"/>
      <c r="J727" s="7"/>
      <c r="K727" s="7"/>
      <c r="L727" s="7">
        <v>4901664</v>
      </c>
      <c r="M727" s="22">
        <v>45510</v>
      </c>
      <c r="N727" s="8" t="s">
        <v>190</v>
      </c>
      <c r="O727" s="8" t="s">
        <v>333</v>
      </c>
      <c r="P727" s="7">
        <v>35000</v>
      </c>
      <c r="Q727" s="7">
        <v>187256.23</v>
      </c>
      <c r="R727" s="7">
        <v>87089400</v>
      </c>
      <c r="S727" s="7">
        <v>15</v>
      </c>
      <c r="T727" s="7" t="s">
        <v>367</v>
      </c>
      <c r="U727" s="7" t="s">
        <v>178</v>
      </c>
      <c r="V727" s="6">
        <f t="shared" si="138"/>
        <v>28088.434499999999</v>
      </c>
      <c r="W727" s="6">
        <f t="shared" si="139"/>
        <v>2808.8434500000003</v>
      </c>
      <c r="X727" s="6">
        <f t="shared" si="140"/>
        <v>30897.27795</v>
      </c>
      <c r="Y727" s="6">
        <f t="shared" si="141"/>
        <v>0.88277936999999995</v>
      </c>
      <c r="Z727" s="6">
        <f t="shared" si="142"/>
        <v>5.3501780000000005</v>
      </c>
      <c r="AA727" s="9">
        <f t="shared" si="143"/>
        <v>35000</v>
      </c>
      <c r="AB727" s="10">
        <v>32400</v>
      </c>
      <c r="AC727" s="11">
        <f t="shared" si="144"/>
        <v>28602.051587999998</v>
      </c>
      <c r="AD727" s="12">
        <v>35000</v>
      </c>
      <c r="AE727" s="13">
        <f t="shared" si="136"/>
        <v>0</v>
      </c>
    </row>
    <row r="728" spans="1:31">
      <c r="A728" s="6">
        <v>26</v>
      </c>
      <c r="B728" s="6">
        <f t="shared" si="134"/>
        <v>10</v>
      </c>
      <c r="C728" s="6" t="str">
        <f t="shared" si="137"/>
        <v>651409900ASCREW, STD METRIC M6 HEXALOBULAR INTERNAL, T427244014537430000</v>
      </c>
      <c r="D728" s="6" t="s">
        <v>384</v>
      </c>
      <c r="E728" s="6" t="s">
        <v>168</v>
      </c>
      <c r="F728" s="6"/>
      <c r="G728" s="7" t="s">
        <v>146</v>
      </c>
      <c r="H728" s="7"/>
      <c r="I728" s="7"/>
      <c r="J728" s="7"/>
      <c r="K728" s="7"/>
      <c r="L728" s="7">
        <v>2724401</v>
      </c>
      <c r="M728" s="22">
        <v>45374</v>
      </c>
      <c r="N728" s="8" t="s">
        <v>189</v>
      </c>
      <c r="O728" s="8" t="s">
        <v>333</v>
      </c>
      <c r="P728" s="7">
        <v>30000</v>
      </c>
      <c r="Q728" s="7">
        <v>98743.21</v>
      </c>
      <c r="R728" s="7">
        <v>87089500</v>
      </c>
      <c r="S728" s="7">
        <v>15</v>
      </c>
      <c r="T728" s="7" t="s">
        <v>191</v>
      </c>
      <c r="U728" s="7" t="s">
        <v>178</v>
      </c>
      <c r="V728" s="6">
        <f t="shared" si="138"/>
        <v>14811.4815</v>
      </c>
      <c r="W728" s="6">
        <f t="shared" si="139"/>
        <v>1481.14815</v>
      </c>
      <c r="X728" s="6">
        <f t="shared" si="140"/>
        <v>16292.629649999999</v>
      </c>
      <c r="Y728" s="6">
        <f t="shared" si="141"/>
        <v>0.543087655</v>
      </c>
      <c r="Z728" s="6">
        <f t="shared" si="142"/>
        <v>3.2914403333333335</v>
      </c>
      <c r="AA728" s="9">
        <f t="shared" si="143"/>
        <v>30000</v>
      </c>
      <c r="AB728" s="10">
        <v>21600</v>
      </c>
      <c r="AC728" s="11">
        <f t="shared" si="144"/>
        <v>11730.693348000001</v>
      </c>
      <c r="AD728" s="12">
        <v>30000</v>
      </c>
      <c r="AE728" s="13">
        <f t="shared" si="136"/>
        <v>0</v>
      </c>
    </row>
    <row r="729" spans="1:31">
      <c r="A729" s="6">
        <v>26</v>
      </c>
      <c r="B729" s="6">
        <f t="shared" si="134"/>
        <v>11</v>
      </c>
      <c r="C729" s="6" t="str">
        <f t="shared" si="137"/>
        <v>651166400CSPRING, COIL, UPPER 53703854553745000</v>
      </c>
      <c r="D729" s="6" t="s">
        <v>384</v>
      </c>
      <c r="E729" s="6" t="s">
        <v>170</v>
      </c>
      <c r="F729" s="6"/>
      <c r="G729" s="7" t="s">
        <v>148</v>
      </c>
      <c r="H729" s="7"/>
      <c r="I729" s="7"/>
      <c r="J729" s="7"/>
      <c r="K729" s="7"/>
      <c r="L729" s="7">
        <v>5370385</v>
      </c>
      <c r="M729" s="22">
        <v>45537</v>
      </c>
      <c r="N729" s="8" t="s">
        <v>189</v>
      </c>
      <c r="O729" s="8" t="s">
        <v>333</v>
      </c>
      <c r="P729" s="7">
        <v>45000</v>
      </c>
      <c r="Q729" s="7">
        <v>87416.12</v>
      </c>
      <c r="R729" s="7">
        <v>87089500</v>
      </c>
      <c r="S729" s="7">
        <v>15</v>
      </c>
      <c r="T729" s="7" t="s">
        <v>386</v>
      </c>
      <c r="U729" s="7" t="s">
        <v>178</v>
      </c>
      <c r="V729" s="6">
        <f t="shared" si="138"/>
        <v>13112.418</v>
      </c>
      <c r="W729" s="6">
        <f t="shared" si="139"/>
        <v>1311.2418</v>
      </c>
      <c r="X729" s="6">
        <f t="shared" si="140"/>
        <v>14423.659799999999</v>
      </c>
      <c r="Y729" s="6">
        <f t="shared" si="141"/>
        <v>0.32052577333333332</v>
      </c>
      <c r="Z729" s="6">
        <f t="shared" si="142"/>
        <v>1.9425804444444443</v>
      </c>
      <c r="AA729" s="9">
        <f t="shared" si="143"/>
        <v>45000</v>
      </c>
      <c r="AB729" s="10">
        <v>32400</v>
      </c>
      <c r="AC729" s="11">
        <f t="shared" si="144"/>
        <v>10385.035055999999</v>
      </c>
      <c r="AD729" s="12">
        <v>45000</v>
      </c>
      <c r="AE729" s="13">
        <f t="shared" si="136"/>
        <v>0</v>
      </c>
    </row>
    <row r="730" spans="1:31">
      <c r="A730" s="6">
        <v>26</v>
      </c>
      <c r="B730" s="6">
        <f t="shared" si="134"/>
        <v>12</v>
      </c>
      <c r="C730" s="6" t="str">
        <f t="shared" si="137"/>
        <v>655818900BACTUATOR VIBRATION MOTOR ASSY WITH BRACKET BC3 CU9685069453079600</v>
      </c>
      <c r="D730" s="6" t="s">
        <v>384</v>
      </c>
      <c r="E730" s="6" t="s">
        <v>156</v>
      </c>
      <c r="F730" s="6"/>
      <c r="G730" s="7" t="s">
        <v>133</v>
      </c>
      <c r="H730" s="7"/>
      <c r="I730" s="7"/>
      <c r="J730" s="7"/>
      <c r="K730" s="7"/>
      <c r="L730" s="7">
        <v>9685069</v>
      </c>
      <c r="M730" s="22">
        <v>45307</v>
      </c>
      <c r="N730" s="8" t="s">
        <v>190</v>
      </c>
      <c r="O730" s="8" t="s">
        <v>333</v>
      </c>
      <c r="P730" s="7">
        <v>9600</v>
      </c>
      <c r="Q730" s="7">
        <v>3208455.8</v>
      </c>
      <c r="R730" s="7">
        <v>87089400</v>
      </c>
      <c r="S730" s="7">
        <v>15</v>
      </c>
      <c r="T730" s="7" t="s">
        <v>382</v>
      </c>
      <c r="U730" s="7" t="s">
        <v>178</v>
      </c>
      <c r="V730" s="6">
        <f t="shared" si="138"/>
        <v>481268.36999999994</v>
      </c>
      <c r="W730" s="6">
        <f t="shared" si="139"/>
        <v>48126.837</v>
      </c>
      <c r="X730" s="6">
        <f t="shared" si="140"/>
        <v>529395.20699999994</v>
      </c>
      <c r="Y730" s="6">
        <f t="shared" si="141"/>
        <v>55.145334062499991</v>
      </c>
      <c r="Z730" s="6">
        <f t="shared" si="142"/>
        <v>334.2141458333333</v>
      </c>
      <c r="AA730" s="9">
        <f t="shared" si="143"/>
        <v>9600</v>
      </c>
      <c r="AB730" s="10">
        <v>2453</v>
      </c>
      <c r="AC730" s="11">
        <f t="shared" si="144"/>
        <v>135271.50445531248</v>
      </c>
      <c r="AD730" s="12">
        <f t="shared" ref="AD730:AD752" si="146">SUMIF($C$2:$C$2284,C730,$AB$2:$AB$2284)</f>
        <v>9600</v>
      </c>
      <c r="AE730" s="13">
        <f t="shared" si="136"/>
        <v>0</v>
      </c>
    </row>
    <row r="731" spans="1:31">
      <c r="A731" s="6">
        <v>26</v>
      </c>
      <c r="B731" s="6">
        <f t="shared" si="134"/>
        <v>13</v>
      </c>
      <c r="C731" s="6" t="str">
        <f t="shared" si="137"/>
        <v>655818900BACTUATOR VIBRATION MOTOR ASSY WITH BRACKET BC3 CU4512849454884800</v>
      </c>
      <c r="D731" s="6" t="s">
        <v>384</v>
      </c>
      <c r="E731" s="6" t="s">
        <v>156</v>
      </c>
      <c r="F731" s="6"/>
      <c r="G731" s="7" t="s">
        <v>133</v>
      </c>
      <c r="H731" s="7"/>
      <c r="I731" s="7"/>
      <c r="J731" s="7"/>
      <c r="K731" s="7"/>
      <c r="L731" s="7">
        <v>4512849</v>
      </c>
      <c r="M731" s="22">
        <v>45488</v>
      </c>
      <c r="N731" s="8" t="s">
        <v>180</v>
      </c>
      <c r="O731" s="8" t="s">
        <v>332</v>
      </c>
      <c r="P731" s="7">
        <v>4800</v>
      </c>
      <c r="Q731" s="7">
        <v>1709248.91</v>
      </c>
      <c r="R731" s="7">
        <v>85013119</v>
      </c>
      <c r="S731" s="7">
        <v>15</v>
      </c>
      <c r="T731" s="7" t="s">
        <v>292</v>
      </c>
      <c r="U731" s="7" t="s">
        <v>178</v>
      </c>
      <c r="V731" s="6">
        <f t="shared" si="138"/>
        <v>256387.33649999998</v>
      </c>
      <c r="W731" s="6">
        <f t="shared" si="139"/>
        <v>25638.733649999998</v>
      </c>
      <c r="X731" s="6">
        <f t="shared" si="140"/>
        <v>282026.07014999999</v>
      </c>
      <c r="Y731" s="6">
        <f t="shared" si="141"/>
        <v>58.755431281249997</v>
      </c>
      <c r="Z731" s="6">
        <f t="shared" si="142"/>
        <v>356.09352291666664</v>
      </c>
      <c r="AA731" s="9">
        <f t="shared" si="143"/>
        <v>4800</v>
      </c>
      <c r="AB731" s="10">
        <v>3842</v>
      </c>
      <c r="AC731" s="11">
        <f t="shared" si="144"/>
        <v>225738.3669825625</v>
      </c>
      <c r="AD731" s="12">
        <f t="shared" si="146"/>
        <v>4800</v>
      </c>
      <c r="AE731" s="13">
        <f t="shared" si="136"/>
        <v>0</v>
      </c>
    </row>
    <row r="732" spans="1:31">
      <c r="A732" s="6">
        <v>26</v>
      </c>
      <c r="B732" s="6">
        <f t="shared" si="134"/>
        <v>14</v>
      </c>
      <c r="C732" s="6" t="str">
        <f t="shared" si="137"/>
        <v>655818900BACTUATOR VIBRATION MOTOR ASSY WITH BRACKET BC3 CU3647924454364800</v>
      </c>
      <c r="D732" s="6" t="s">
        <v>384</v>
      </c>
      <c r="E732" s="6" t="s">
        <v>156</v>
      </c>
      <c r="F732" s="6"/>
      <c r="G732" s="7" t="s">
        <v>133</v>
      </c>
      <c r="H732" s="7"/>
      <c r="I732" s="7"/>
      <c r="J732" s="7"/>
      <c r="K732" s="7"/>
      <c r="L732" s="7">
        <v>3647924</v>
      </c>
      <c r="M732" s="22">
        <v>45436</v>
      </c>
      <c r="N732" s="8" t="s">
        <v>180</v>
      </c>
      <c r="O732" s="8" t="s">
        <v>332</v>
      </c>
      <c r="P732" s="7">
        <v>4800</v>
      </c>
      <c r="Q732" s="7">
        <v>1708909.97</v>
      </c>
      <c r="R732" s="7">
        <v>85013119</v>
      </c>
      <c r="S732" s="7">
        <v>15</v>
      </c>
      <c r="T732" s="7" t="s">
        <v>292</v>
      </c>
      <c r="U732" s="7" t="s">
        <v>178</v>
      </c>
      <c r="V732" s="6">
        <f t="shared" si="138"/>
        <v>256336.49549999999</v>
      </c>
      <c r="W732" s="6">
        <f t="shared" si="139"/>
        <v>25633.649550000002</v>
      </c>
      <c r="X732" s="6">
        <f t="shared" si="140"/>
        <v>281970.14504999999</v>
      </c>
      <c r="Y732" s="6">
        <f t="shared" si="141"/>
        <v>58.743780218749997</v>
      </c>
      <c r="Z732" s="6">
        <f t="shared" si="142"/>
        <v>356.02291041666666</v>
      </c>
      <c r="AA732" s="9">
        <f t="shared" si="143"/>
        <v>4800</v>
      </c>
      <c r="AB732" s="10">
        <v>1352</v>
      </c>
      <c r="AC732" s="11">
        <f t="shared" si="144"/>
        <v>79421.590855749993</v>
      </c>
      <c r="AD732" s="12">
        <f t="shared" si="146"/>
        <v>4800</v>
      </c>
      <c r="AE732" s="13">
        <f t="shared" si="136"/>
        <v>0</v>
      </c>
    </row>
    <row r="733" spans="1:31">
      <c r="A733" s="6">
        <v>26</v>
      </c>
      <c r="B733" s="6">
        <f t="shared" si="134"/>
        <v>15</v>
      </c>
      <c r="C733" s="6" t="str">
        <f t="shared" si="137"/>
        <v>655818900BACTUATOR VIBRATION MOTOR ASSY WITH BRACKET BC3 CU55578924554714400</v>
      </c>
      <c r="D733" s="6" t="s">
        <v>384</v>
      </c>
      <c r="E733" s="6" t="s">
        <v>156</v>
      </c>
      <c r="F733" s="6"/>
      <c r="G733" s="7" t="s">
        <v>133</v>
      </c>
      <c r="H733" s="7"/>
      <c r="I733" s="7"/>
      <c r="J733" s="7"/>
      <c r="K733" s="7"/>
      <c r="L733" s="7">
        <v>5557892</v>
      </c>
      <c r="M733" s="22">
        <v>45547</v>
      </c>
      <c r="N733" s="8" t="s">
        <v>189</v>
      </c>
      <c r="O733" s="8" t="s">
        <v>333</v>
      </c>
      <c r="P733" s="7">
        <v>14400</v>
      </c>
      <c r="Q733" s="7">
        <v>4863124.43</v>
      </c>
      <c r="R733" s="7">
        <v>87089400</v>
      </c>
      <c r="S733" s="7">
        <v>15</v>
      </c>
      <c r="T733" s="7" t="s">
        <v>376</v>
      </c>
      <c r="U733" s="7" t="s">
        <v>178</v>
      </c>
      <c r="V733" s="6">
        <f t="shared" si="138"/>
        <v>729468.66449999996</v>
      </c>
      <c r="W733" s="6">
        <f t="shared" si="139"/>
        <v>72946.866450000001</v>
      </c>
      <c r="X733" s="6">
        <f t="shared" si="140"/>
        <v>802415.53094999993</v>
      </c>
      <c r="Y733" s="6">
        <f t="shared" si="141"/>
        <v>55.723300760416663</v>
      </c>
      <c r="Z733" s="6">
        <f t="shared" si="142"/>
        <v>337.71697430555554</v>
      </c>
      <c r="AA733" s="9">
        <f t="shared" si="143"/>
        <v>14400</v>
      </c>
      <c r="AB733" s="10">
        <v>3153</v>
      </c>
      <c r="AC733" s="11">
        <f t="shared" si="144"/>
        <v>175695.56729759375</v>
      </c>
      <c r="AD733" s="12">
        <f t="shared" si="146"/>
        <v>13349</v>
      </c>
      <c r="AE733" s="13">
        <f t="shared" si="136"/>
        <v>1051</v>
      </c>
    </row>
    <row r="734" spans="1:31" ht="30">
      <c r="A734" s="6">
        <v>26</v>
      </c>
      <c r="B734" s="6">
        <f t="shared" si="134"/>
        <v>16</v>
      </c>
      <c r="C734" s="6" t="str">
        <f t="shared" si="137"/>
        <v>655931500AARMATURE, MONOBLOCK ASW4, HYUNDAI BC3-CUV2456571451959720</v>
      </c>
      <c r="D734" s="6" t="s">
        <v>384</v>
      </c>
      <c r="E734" s="6" t="s">
        <v>157</v>
      </c>
      <c r="F734" s="6"/>
      <c r="G734" s="7" t="s">
        <v>134</v>
      </c>
      <c r="H734" s="7"/>
      <c r="I734" s="7"/>
      <c r="J734" s="7"/>
      <c r="K734" s="7"/>
      <c r="L734" s="7">
        <v>2456571</v>
      </c>
      <c r="M734" s="22">
        <v>45195</v>
      </c>
      <c r="N734" s="8" t="s">
        <v>185</v>
      </c>
      <c r="O734" s="8" t="s">
        <v>333</v>
      </c>
      <c r="P734" s="7">
        <v>9720</v>
      </c>
      <c r="Q734" s="7">
        <v>4109732</v>
      </c>
      <c r="R734" s="7">
        <v>87089400</v>
      </c>
      <c r="S734" s="7">
        <v>15</v>
      </c>
      <c r="T734" s="7" t="s">
        <v>186</v>
      </c>
      <c r="U734" s="7" t="s">
        <v>178</v>
      </c>
      <c r="V734" s="6">
        <f t="shared" si="138"/>
        <v>616459.79999999993</v>
      </c>
      <c r="W734" s="6">
        <f t="shared" si="139"/>
        <v>61645.979999999996</v>
      </c>
      <c r="X734" s="6">
        <f t="shared" si="140"/>
        <v>678105.77999999991</v>
      </c>
      <c r="Y734" s="6">
        <f t="shared" si="141"/>
        <v>69.763969135802455</v>
      </c>
      <c r="Z734" s="6">
        <f t="shared" si="142"/>
        <v>422.81193415637858</v>
      </c>
      <c r="AA734" s="9">
        <f t="shared" si="143"/>
        <v>9720</v>
      </c>
      <c r="AB734" s="10">
        <v>1320</v>
      </c>
      <c r="AC734" s="11">
        <f t="shared" si="144"/>
        <v>92088.439259259234</v>
      </c>
      <c r="AD734" s="12">
        <f t="shared" si="146"/>
        <v>9720</v>
      </c>
      <c r="AE734" s="13">
        <f t="shared" si="136"/>
        <v>0</v>
      </c>
    </row>
    <row r="735" spans="1:31" ht="30">
      <c r="A735" s="6">
        <v>26</v>
      </c>
      <c r="B735" s="6">
        <f t="shared" si="134"/>
        <v>17</v>
      </c>
      <c r="C735" s="6" t="str">
        <f t="shared" si="137"/>
        <v>655931500AARMATURE, MONOBLOCK ASW4, HYUNDAI BC3-CUV3641315454367452</v>
      </c>
      <c r="D735" s="6" t="s">
        <v>384</v>
      </c>
      <c r="E735" s="6" t="s">
        <v>157</v>
      </c>
      <c r="F735" s="6"/>
      <c r="G735" s="7" t="s">
        <v>134</v>
      </c>
      <c r="H735" s="7"/>
      <c r="I735" s="7"/>
      <c r="J735" s="7"/>
      <c r="K735" s="7"/>
      <c r="L735" s="7">
        <v>3641315</v>
      </c>
      <c r="M735" s="22">
        <v>45436</v>
      </c>
      <c r="N735" s="8" t="s">
        <v>185</v>
      </c>
      <c r="O735" s="8" t="s">
        <v>332</v>
      </c>
      <c r="P735" s="7">
        <v>7452</v>
      </c>
      <c r="Q735" s="7">
        <v>2990444</v>
      </c>
      <c r="R735" s="7">
        <v>87089400</v>
      </c>
      <c r="S735" s="7">
        <v>15</v>
      </c>
      <c r="T735" s="7" t="s">
        <v>194</v>
      </c>
      <c r="U735" s="7" t="s">
        <v>178</v>
      </c>
      <c r="V735" s="6">
        <f t="shared" si="138"/>
        <v>448566.6</v>
      </c>
      <c r="W735" s="6">
        <f t="shared" si="139"/>
        <v>44856.66</v>
      </c>
      <c r="X735" s="6">
        <f t="shared" si="140"/>
        <v>493423.26</v>
      </c>
      <c r="Y735" s="6">
        <f t="shared" si="141"/>
        <v>66.213534621578106</v>
      </c>
      <c r="Z735" s="6">
        <f t="shared" si="142"/>
        <v>401.29414922168547</v>
      </c>
      <c r="AA735" s="9">
        <f t="shared" si="143"/>
        <v>7452</v>
      </c>
      <c r="AB735" s="10">
        <v>1427</v>
      </c>
      <c r="AC735" s="11">
        <f t="shared" si="144"/>
        <v>94486.71390499195</v>
      </c>
      <c r="AD735" s="12">
        <f t="shared" si="146"/>
        <v>7452</v>
      </c>
      <c r="AE735" s="13">
        <f t="shared" si="136"/>
        <v>0</v>
      </c>
    </row>
    <row r="736" spans="1:31" ht="30">
      <c r="A736" s="6">
        <v>26</v>
      </c>
      <c r="B736" s="6">
        <f t="shared" si="134"/>
        <v>18</v>
      </c>
      <c r="C736" s="6" t="str">
        <f t="shared" si="137"/>
        <v>655931500AARMATURE, MONOBLOCK ASW4, HYUNDAI BC3-CUV9695579453086480</v>
      </c>
      <c r="D736" s="6" t="s">
        <v>384</v>
      </c>
      <c r="E736" s="6" t="s">
        <v>157</v>
      </c>
      <c r="F736" s="6"/>
      <c r="G736" s="7" t="s">
        <v>134</v>
      </c>
      <c r="H736" s="7"/>
      <c r="I736" s="7"/>
      <c r="J736" s="7"/>
      <c r="K736" s="7"/>
      <c r="L736" s="7">
        <v>9695579</v>
      </c>
      <c r="M736" s="22">
        <v>45308</v>
      </c>
      <c r="N736" s="8" t="s">
        <v>185</v>
      </c>
      <c r="O736" s="8" t="s">
        <v>332</v>
      </c>
      <c r="P736" s="7">
        <v>6480</v>
      </c>
      <c r="Q736" s="7">
        <v>2724238.16</v>
      </c>
      <c r="R736" s="7">
        <v>87089400</v>
      </c>
      <c r="S736" s="7">
        <v>15</v>
      </c>
      <c r="T736" s="7" t="s">
        <v>194</v>
      </c>
      <c r="U736" s="7" t="s">
        <v>178</v>
      </c>
      <c r="V736" s="6">
        <f t="shared" si="138"/>
        <v>408635.72399999999</v>
      </c>
      <c r="W736" s="6">
        <f t="shared" si="139"/>
        <v>40863.572400000005</v>
      </c>
      <c r="X736" s="6">
        <f t="shared" si="140"/>
        <v>449499.29639999999</v>
      </c>
      <c r="Y736" s="6">
        <f t="shared" si="141"/>
        <v>69.367175370370376</v>
      </c>
      <c r="Z736" s="6">
        <f t="shared" si="142"/>
        <v>420.40712345679015</v>
      </c>
      <c r="AA736" s="9">
        <f t="shared" si="143"/>
        <v>6480</v>
      </c>
      <c r="AB736" s="10">
        <v>1763</v>
      </c>
      <c r="AC736" s="11">
        <f t="shared" si="144"/>
        <v>122294.33017796297</v>
      </c>
      <c r="AD736" s="12">
        <f t="shared" si="146"/>
        <v>6480</v>
      </c>
      <c r="AE736" s="13">
        <f t="shared" si="136"/>
        <v>0</v>
      </c>
    </row>
    <row r="737" spans="1:31" ht="30">
      <c r="A737" s="6">
        <v>26</v>
      </c>
      <c r="B737" s="6">
        <f t="shared" si="134"/>
        <v>19</v>
      </c>
      <c r="C737" s="6" t="str">
        <f t="shared" si="137"/>
        <v>655931500AARMATURE, MONOBLOCK ASW4, HYUNDAI BC3-CUV46541374549710854</v>
      </c>
      <c r="D737" s="6" t="s">
        <v>384</v>
      </c>
      <c r="E737" s="6" t="s">
        <v>157</v>
      </c>
      <c r="F737" s="6"/>
      <c r="G737" s="7" t="s">
        <v>134</v>
      </c>
      <c r="H737" s="7"/>
      <c r="I737" s="7"/>
      <c r="J737" s="7"/>
      <c r="K737" s="7"/>
      <c r="L737" s="7">
        <v>4654137</v>
      </c>
      <c r="M737" s="22">
        <v>45497</v>
      </c>
      <c r="N737" s="8" t="s">
        <v>185</v>
      </c>
      <c r="O737" s="8" t="s">
        <v>332</v>
      </c>
      <c r="P737" s="7">
        <v>10854</v>
      </c>
      <c r="Q737" s="7">
        <v>4652722.95</v>
      </c>
      <c r="R737" s="7">
        <v>87089400</v>
      </c>
      <c r="S737" s="7">
        <v>15</v>
      </c>
      <c r="T737" s="7" t="s">
        <v>377</v>
      </c>
      <c r="U737" s="7" t="s">
        <v>178</v>
      </c>
      <c r="V737" s="6">
        <f t="shared" si="138"/>
        <v>697908.4425</v>
      </c>
      <c r="W737" s="6">
        <f t="shared" si="139"/>
        <v>69790.844250000009</v>
      </c>
      <c r="X737" s="6">
        <f t="shared" si="140"/>
        <v>767699.28674999997</v>
      </c>
      <c r="Y737" s="6">
        <f t="shared" si="141"/>
        <v>70.72961919568823</v>
      </c>
      <c r="Z737" s="6">
        <f t="shared" si="142"/>
        <v>428.66435876174683</v>
      </c>
      <c r="AA737" s="9">
        <f t="shared" si="143"/>
        <v>10854</v>
      </c>
      <c r="AB737" s="10">
        <v>5216</v>
      </c>
      <c r="AC737" s="11">
        <f t="shared" si="144"/>
        <v>368925.6937247098</v>
      </c>
      <c r="AD737" s="12">
        <f t="shared" si="146"/>
        <v>10854</v>
      </c>
      <c r="AE737" s="13">
        <f t="shared" si="136"/>
        <v>0</v>
      </c>
    </row>
    <row r="738" spans="1:31" ht="30">
      <c r="A738" s="6">
        <v>26</v>
      </c>
      <c r="B738" s="6">
        <f t="shared" si="134"/>
        <v>20</v>
      </c>
      <c r="C738" s="6" t="str">
        <f t="shared" si="137"/>
        <v>655931500AARMATURE, MONOBLOCK ASW4, HYUNDAI BC3-CUV3105903454023240</v>
      </c>
      <c r="D738" s="6" t="s">
        <v>384</v>
      </c>
      <c r="E738" s="6" t="s">
        <v>157</v>
      </c>
      <c r="F738" s="6"/>
      <c r="G738" s="7" t="s">
        <v>134</v>
      </c>
      <c r="H738" s="7"/>
      <c r="I738" s="7"/>
      <c r="J738" s="7"/>
      <c r="K738" s="7"/>
      <c r="L738" s="7">
        <v>3105903</v>
      </c>
      <c r="M738" s="22">
        <v>45402</v>
      </c>
      <c r="N738" s="8" t="s">
        <v>185</v>
      </c>
      <c r="O738" s="8" t="s">
        <v>332</v>
      </c>
      <c r="P738" s="7">
        <v>3240</v>
      </c>
      <c r="Q738" s="7">
        <v>1294067.32</v>
      </c>
      <c r="R738" s="7">
        <v>87089400</v>
      </c>
      <c r="S738" s="7">
        <v>15</v>
      </c>
      <c r="T738" s="7" t="s">
        <v>194</v>
      </c>
      <c r="U738" s="7" t="s">
        <v>178</v>
      </c>
      <c r="V738" s="6">
        <f t="shared" si="138"/>
        <v>194110.098</v>
      </c>
      <c r="W738" s="6">
        <f t="shared" si="139"/>
        <v>19411.0098</v>
      </c>
      <c r="X738" s="6">
        <f t="shared" si="140"/>
        <v>213521.1078</v>
      </c>
      <c r="Y738" s="6">
        <f t="shared" si="141"/>
        <v>65.901576481481484</v>
      </c>
      <c r="Z738" s="6">
        <f t="shared" si="142"/>
        <v>399.4034938271605</v>
      </c>
      <c r="AA738" s="9">
        <f t="shared" si="143"/>
        <v>3240</v>
      </c>
      <c r="AB738" s="10">
        <v>1074</v>
      </c>
      <c r="AC738" s="11">
        <f t="shared" si="144"/>
        <v>70778.29314111112</v>
      </c>
      <c r="AD738" s="12">
        <f t="shared" si="146"/>
        <v>2782</v>
      </c>
      <c r="AE738" s="13">
        <f t="shared" si="136"/>
        <v>458</v>
      </c>
    </row>
    <row r="739" spans="1:31">
      <c r="A739" s="6">
        <v>26</v>
      </c>
      <c r="B739" s="6">
        <f t="shared" si="134"/>
        <v>21</v>
      </c>
      <c r="C739" s="6" t="str">
        <f t="shared" si="137"/>
        <v>634240200AHORN CONTACT, CU 681124845118600000</v>
      </c>
      <c r="D739" s="6" t="s">
        <v>384</v>
      </c>
      <c r="E739" s="6" t="s">
        <v>160</v>
      </c>
      <c r="F739" s="6"/>
      <c r="G739" s="7" t="s">
        <v>138</v>
      </c>
      <c r="H739" s="7"/>
      <c r="I739" s="7"/>
      <c r="J739" s="7"/>
      <c r="K739" s="7"/>
      <c r="L739" s="7">
        <v>6811248</v>
      </c>
      <c r="M739" s="22">
        <v>45118</v>
      </c>
      <c r="N739" s="8" t="s">
        <v>189</v>
      </c>
      <c r="O739" s="8" t="s">
        <v>332</v>
      </c>
      <c r="P739" s="7">
        <v>600000</v>
      </c>
      <c r="Q739" s="7">
        <v>627311.64</v>
      </c>
      <c r="R739" s="7">
        <v>87089900</v>
      </c>
      <c r="S739" s="7">
        <v>15</v>
      </c>
      <c r="T739" s="7" t="s">
        <v>258</v>
      </c>
      <c r="U739" s="7" t="s">
        <v>178</v>
      </c>
      <c r="V739" s="6">
        <f t="shared" si="138"/>
        <v>94096.745999999999</v>
      </c>
      <c r="W739" s="6">
        <f t="shared" si="139"/>
        <v>9409.6746000000003</v>
      </c>
      <c r="X739" s="6">
        <f t="shared" si="140"/>
        <v>103506.4206</v>
      </c>
      <c r="Y739" s="6">
        <f t="shared" si="141"/>
        <v>0.17251070099999999</v>
      </c>
      <c r="Z739" s="6">
        <f t="shared" si="142"/>
        <v>1.0455194000000001</v>
      </c>
      <c r="AA739" s="9">
        <f t="shared" si="143"/>
        <v>600000</v>
      </c>
      <c r="AB739" s="10">
        <v>43200</v>
      </c>
      <c r="AC739" s="11">
        <f t="shared" si="144"/>
        <v>7452.4622831999995</v>
      </c>
      <c r="AD739" s="12">
        <f t="shared" si="146"/>
        <v>577364</v>
      </c>
      <c r="AE739" s="13">
        <f t="shared" si="136"/>
        <v>22636</v>
      </c>
    </row>
    <row r="740" spans="1:31">
      <c r="A740" s="6">
        <v>26</v>
      </c>
      <c r="B740" s="6">
        <f t="shared" si="134"/>
        <v>22</v>
      </c>
      <c r="C740" s="6" t="str">
        <f t="shared" si="137"/>
        <v>653052600AINFLATOR, APP-4.6, 2.2MO STANDARD_MIB, SQUARE_61X4310803449491728</v>
      </c>
      <c r="D740" s="6" t="s">
        <v>384</v>
      </c>
      <c r="E740" s="6" t="s">
        <v>161</v>
      </c>
      <c r="F740" s="6"/>
      <c r="G740" s="7" t="s">
        <v>139</v>
      </c>
      <c r="H740" s="7"/>
      <c r="I740" s="7"/>
      <c r="J740" s="7"/>
      <c r="K740" s="7"/>
      <c r="L740" s="7">
        <v>4310803</v>
      </c>
      <c r="M740" s="22">
        <v>44949</v>
      </c>
      <c r="N740" s="8" t="s">
        <v>184</v>
      </c>
      <c r="O740" s="8" t="s">
        <v>332</v>
      </c>
      <c r="P740" s="7">
        <v>1728</v>
      </c>
      <c r="Q740" s="7">
        <v>805238.46</v>
      </c>
      <c r="R740" s="7">
        <v>87089500</v>
      </c>
      <c r="S740" s="7">
        <v>15</v>
      </c>
      <c r="T740" s="7" t="s">
        <v>259</v>
      </c>
      <c r="U740" s="7" t="s">
        <v>200</v>
      </c>
      <c r="V740" s="6">
        <f t="shared" si="138"/>
        <v>120785.76899999999</v>
      </c>
      <c r="W740" s="6">
        <f t="shared" si="139"/>
        <v>12078.5769</v>
      </c>
      <c r="X740" s="6">
        <f t="shared" si="140"/>
        <v>132864.34589999999</v>
      </c>
      <c r="Y740" s="6">
        <f t="shared" si="141"/>
        <v>76.889089062499991</v>
      </c>
      <c r="Z740" s="6">
        <f t="shared" si="142"/>
        <v>465.99447916666662</v>
      </c>
      <c r="AA740" s="9">
        <f t="shared" si="143"/>
        <v>1728</v>
      </c>
      <c r="AB740" s="10">
        <v>960</v>
      </c>
      <c r="AC740" s="11">
        <f t="shared" si="144"/>
        <v>73813.525499999989</v>
      </c>
      <c r="AD740" s="12">
        <f t="shared" si="146"/>
        <v>1440</v>
      </c>
      <c r="AE740" s="13">
        <f t="shared" si="136"/>
        <v>288</v>
      </c>
    </row>
    <row r="741" spans="1:31">
      <c r="A741" s="6">
        <v>26</v>
      </c>
      <c r="B741" s="6">
        <f t="shared" si="134"/>
        <v>23</v>
      </c>
      <c r="C741" s="6" t="str">
        <f t="shared" si="137"/>
        <v>630580800ALABEL, RAW MATERIAL, BLA K12 TPC BUCKLE5160585449362400000</v>
      </c>
      <c r="D741" s="6" t="s">
        <v>384</v>
      </c>
      <c r="E741" s="6" t="s">
        <v>71</v>
      </c>
      <c r="F741" s="6"/>
      <c r="G741" s="7" t="s">
        <v>31</v>
      </c>
      <c r="H741" s="7"/>
      <c r="I741" s="7"/>
      <c r="J741" s="7"/>
      <c r="K741" s="7"/>
      <c r="L741" s="7">
        <v>5160585</v>
      </c>
      <c r="M741" s="22">
        <v>44936</v>
      </c>
      <c r="N741" s="8" t="s">
        <v>196</v>
      </c>
      <c r="O741" s="8" t="s">
        <v>333</v>
      </c>
      <c r="P741" s="7">
        <v>2400000</v>
      </c>
      <c r="Q741" s="7">
        <v>86522.34</v>
      </c>
      <c r="R741" s="7">
        <v>87082900</v>
      </c>
      <c r="S741" s="7">
        <v>15</v>
      </c>
      <c r="T741" s="7" t="s">
        <v>265</v>
      </c>
      <c r="U741" s="7" t="s">
        <v>178</v>
      </c>
      <c r="V741" s="6">
        <f t="shared" si="138"/>
        <v>12978.350999999999</v>
      </c>
      <c r="W741" s="6">
        <f t="shared" si="139"/>
        <v>1297.8351</v>
      </c>
      <c r="X741" s="6">
        <f t="shared" si="140"/>
        <v>14276.186099999999</v>
      </c>
      <c r="Y741" s="6">
        <f t="shared" si="141"/>
        <v>5.9484108749999999E-3</v>
      </c>
      <c r="Z741" s="6">
        <f t="shared" si="142"/>
        <v>3.6050974999999999E-2</v>
      </c>
      <c r="AA741" s="9">
        <f t="shared" si="143"/>
        <v>2400000</v>
      </c>
      <c r="AB741" s="10">
        <v>10800</v>
      </c>
      <c r="AC741" s="11">
        <f t="shared" si="144"/>
        <v>64.242837449999996</v>
      </c>
      <c r="AD741" s="12">
        <f t="shared" si="146"/>
        <v>548546</v>
      </c>
      <c r="AE741" s="13">
        <f t="shared" si="136"/>
        <v>1851454</v>
      </c>
    </row>
    <row r="742" spans="1:31">
      <c r="A742" s="6">
        <v>26</v>
      </c>
      <c r="B742" s="6">
        <f t="shared" si="134"/>
        <v>24</v>
      </c>
      <c r="C742" s="6" t="str">
        <f t="shared" si="137"/>
        <v>656011400ALEATHER, HIDE TOP GRAIN, GREY, FOSSIL GREY, T9Y,7374452451543703.92</v>
      </c>
      <c r="D742" s="6" t="s">
        <v>384</v>
      </c>
      <c r="E742" s="6" t="s">
        <v>162</v>
      </c>
      <c r="F742" s="6"/>
      <c r="G742" s="7" t="s">
        <v>140</v>
      </c>
      <c r="H742" s="7"/>
      <c r="I742" s="7"/>
      <c r="J742" s="7"/>
      <c r="K742" s="7"/>
      <c r="L742" s="7">
        <v>7374452</v>
      </c>
      <c r="M742" s="22">
        <v>45154</v>
      </c>
      <c r="N742" s="8" t="s">
        <v>190</v>
      </c>
      <c r="O742" s="8" t="s">
        <v>383</v>
      </c>
      <c r="P742" s="7">
        <v>3703.9199999999996</v>
      </c>
      <c r="Q742" s="7">
        <v>8436783.4900000002</v>
      </c>
      <c r="R742" s="7">
        <v>41071200</v>
      </c>
      <c r="S742" s="7">
        <v>0</v>
      </c>
      <c r="T742" s="7" t="s">
        <v>293</v>
      </c>
      <c r="U742" s="7" t="s">
        <v>178</v>
      </c>
      <c r="V742" s="6">
        <f t="shared" si="138"/>
        <v>0</v>
      </c>
      <c r="W742" s="6">
        <f t="shared" si="139"/>
        <v>0</v>
      </c>
      <c r="X742" s="6">
        <f t="shared" si="140"/>
        <v>0</v>
      </c>
      <c r="Y742" s="6">
        <f t="shared" si="141"/>
        <v>0</v>
      </c>
      <c r="Z742" s="6">
        <f t="shared" si="142"/>
        <v>2277.7985188664984</v>
      </c>
      <c r="AA742" s="9">
        <f t="shared" si="143"/>
        <v>3703.9199999999996</v>
      </c>
      <c r="AB742" s="10">
        <v>26.554577999999999</v>
      </c>
      <c r="AC742" s="11">
        <f t="shared" si="144"/>
        <v>0</v>
      </c>
      <c r="AD742" s="12">
        <f t="shared" si="146"/>
        <v>634.38362100000006</v>
      </c>
      <c r="AE742" s="13">
        <f t="shared" si="136"/>
        <v>3069.5363789999997</v>
      </c>
    </row>
    <row r="743" spans="1:31">
      <c r="A743" s="6">
        <v>26</v>
      </c>
      <c r="B743" s="6">
        <f t="shared" si="134"/>
        <v>25</v>
      </c>
      <c r="C743" s="6" t="str">
        <f t="shared" si="137"/>
        <v>608067201ANUT, ISO, M5 351094044894800000</v>
      </c>
      <c r="D743" s="6" t="s">
        <v>384</v>
      </c>
      <c r="E743" s="6" t="s">
        <v>164</v>
      </c>
      <c r="F743" s="6"/>
      <c r="G743" s="7" t="s">
        <v>142</v>
      </c>
      <c r="H743" s="7"/>
      <c r="I743" s="7"/>
      <c r="J743" s="7"/>
      <c r="K743" s="7"/>
      <c r="L743" s="7">
        <v>3510940</v>
      </c>
      <c r="M743" s="22">
        <v>44894</v>
      </c>
      <c r="N743" s="8" t="s">
        <v>189</v>
      </c>
      <c r="O743" s="8" t="s">
        <v>332</v>
      </c>
      <c r="P743" s="7">
        <v>800000</v>
      </c>
      <c r="Q743" s="7">
        <v>1498489.13</v>
      </c>
      <c r="R743" s="7">
        <v>87089500</v>
      </c>
      <c r="S743" s="7">
        <v>15</v>
      </c>
      <c r="T743" s="7" t="s">
        <v>183</v>
      </c>
      <c r="U743" s="7" t="s">
        <v>178</v>
      </c>
      <c r="V743" s="6">
        <f t="shared" si="138"/>
        <v>224773.36949999997</v>
      </c>
      <c r="W743" s="6">
        <f t="shared" si="139"/>
        <v>22477.336949999997</v>
      </c>
      <c r="X743" s="6">
        <f t="shared" si="140"/>
        <v>247250.70644999997</v>
      </c>
      <c r="Y743" s="6">
        <f t="shared" si="141"/>
        <v>0.30906338306249997</v>
      </c>
      <c r="Z743" s="6">
        <f t="shared" si="142"/>
        <v>1.8731114124999999</v>
      </c>
      <c r="AA743" s="9">
        <f t="shared" si="143"/>
        <v>800000</v>
      </c>
      <c r="AB743" s="10">
        <v>3840</v>
      </c>
      <c r="AC743" s="11">
        <f t="shared" si="144"/>
        <v>1186.8033909599999</v>
      </c>
      <c r="AD743" s="12">
        <f t="shared" si="146"/>
        <v>70960</v>
      </c>
      <c r="AE743" s="13">
        <f t="shared" si="136"/>
        <v>729040</v>
      </c>
    </row>
    <row r="744" spans="1:31">
      <c r="A744" s="6">
        <v>26</v>
      </c>
      <c r="B744" s="6">
        <f t="shared" si="134"/>
        <v>26</v>
      </c>
      <c r="C744" s="6" t="str">
        <f t="shared" si="137"/>
        <v>639590100BSCREW SELF TAPPING INTERNAL T15, 15.01055145483120000</v>
      </c>
      <c r="D744" s="6" t="s">
        <v>384</v>
      </c>
      <c r="E744" s="6" t="s">
        <v>165</v>
      </c>
      <c r="F744" s="6"/>
      <c r="G744" s="7" t="s">
        <v>143</v>
      </c>
      <c r="H744" s="7"/>
      <c r="I744" s="7"/>
      <c r="J744" s="7"/>
      <c r="K744" s="7"/>
      <c r="L744" s="7">
        <v>10551</v>
      </c>
      <c r="M744" s="22">
        <v>45483</v>
      </c>
      <c r="N744" s="8" t="s">
        <v>180</v>
      </c>
      <c r="O744" s="8" t="s">
        <v>333</v>
      </c>
      <c r="P744" s="7">
        <v>120000</v>
      </c>
      <c r="Q744" s="7">
        <v>157828.15</v>
      </c>
      <c r="R744" s="7">
        <v>87089400</v>
      </c>
      <c r="S744" s="7">
        <v>15</v>
      </c>
      <c r="T744" s="7" t="s">
        <v>378</v>
      </c>
      <c r="U744" s="7" t="s">
        <v>178</v>
      </c>
      <c r="V744" s="6">
        <f t="shared" si="138"/>
        <v>23674.2225</v>
      </c>
      <c r="W744" s="6">
        <f t="shared" si="139"/>
        <v>2367.4222500000001</v>
      </c>
      <c r="X744" s="6">
        <f t="shared" si="140"/>
        <v>26041.644749999999</v>
      </c>
      <c r="Y744" s="6">
        <f t="shared" si="141"/>
        <v>0.21701370624999999</v>
      </c>
      <c r="Z744" s="6">
        <f t="shared" si="142"/>
        <v>1.3152345833333332</v>
      </c>
      <c r="AA744" s="9">
        <f t="shared" si="143"/>
        <v>120000</v>
      </c>
      <c r="AB744" s="10">
        <v>63720</v>
      </c>
      <c r="AC744" s="11">
        <f t="shared" si="144"/>
        <v>13828.11336225</v>
      </c>
      <c r="AD744" s="12">
        <f t="shared" si="146"/>
        <v>119470</v>
      </c>
      <c r="AE744" s="13">
        <f t="shared" si="136"/>
        <v>530</v>
      </c>
    </row>
    <row r="745" spans="1:31">
      <c r="A745" s="6">
        <v>26</v>
      </c>
      <c r="B745" s="6">
        <f t="shared" si="134"/>
        <v>27</v>
      </c>
      <c r="C745" s="6" t="str">
        <f t="shared" si="137"/>
        <v>608225700ASCREW,STD METRIIC HEXALOBULAR  M5 T25 12MM44172494548220000</v>
      </c>
      <c r="D745" s="6" t="s">
        <v>384</v>
      </c>
      <c r="E745" s="6" t="s">
        <v>169</v>
      </c>
      <c r="F745" s="6"/>
      <c r="G745" s="7" t="s">
        <v>147</v>
      </c>
      <c r="H745" s="7"/>
      <c r="I745" s="7"/>
      <c r="J745" s="7"/>
      <c r="K745" s="7"/>
      <c r="L745" s="7">
        <v>4417249</v>
      </c>
      <c r="M745" s="22">
        <v>45482</v>
      </c>
      <c r="N745" s="8" t="s">
        <v>180</v>
      </c>
      <c r="O745" s="8" t="s">
        <v>332</v>
      </c>
      <c r="P745" s="7">
        <v>20000</v>
      </c>
      <c r="Q745" s="7">
        <v>72457.87</v>
      </c>
      <c r="R745" s="7">
        <v>87089400</v>
      </c>
      <c r="S745" s="7">
        <v>15</v>
      </c>
      <c r="T745" s="7" t="s">
        <v>275</v>
      </c>
      <c r="U745" s="7" t="s">
        <v>178</v>
      </c>
      <c r="V745" s="6">
        <f t="shared" si="138"/>
        <v>10868.680499999999</v>
      </c>
      <c r="W745" s="6">
        <f t="shared" si="139"/>
        <v>1086.8680499999998</v>
      </c>
      <c r="X745" s="6">
        <f t="shared" si="140"/>
        <v>11955.548549999998</v>
      </c>
      <c r="Y745" s="6">
        <f t="shared" si="141"/>
        <v>0.59777742749999985</v>
      </c>
      <c r="Z745" s="6">
        <f t="shared" si="142"/>
        <v>3.6228935</v>
      </c>
      <c r="AA745" s="9">
        <f t="shared" si="143"/>
        <v>20000</v>
      </c>
      <c r="AB745" s="10">
        <v>14284</v>
      </c>
      <c r="AC745" s="11">
        <f t="shared" si="144"/>
        <v>8538.6527744099985</v>
      </c>
      <c r="AD745" s="12">
        <f t="shared" si="146"/>
        <v>20000</v>
      </c>
      <c r="AE745" s="13">
        <f t="shared" si="136"/>
        <v>0</v>
      </c>
    </row>
    <row r="746" spans="1:31">
      <c r="A746" s="6">
        <v>26</v>
      </c>
      <c r="B746" s="6">
        <f t="shared" si="134"/>
        <v>28</v>
      </c>
      <c r="C746" s="6" t="str">
        <f t="shared" si="137"/>
        <v>608225700ASCREW,STD METRIIC HEXALOBULAR  M5 T25 12MM87825774470230000</v>
      </c>
      <c r="D746" s="6" t="s">
        <v>384</v>
      </c>
      <c r="E746" s="6" t="s">
        <v>169</v>
      </c>
      <c r="F746" s="6"/>
      <c r="G746" s="7" t="s">
        <v>147</v>
      </c>
      <c r="H746" s="7"/>
      <c r="I746" s="7"/>
      <c r="J746" s="7"/>
      <c r="K746" s="7"/>
      <c r="L746" s="7">
        <v>8782577</v>
      </c>
      <c r="M746" s="22">
        <v>44702</v>
      </c>
      <c r="N746" s="8" t="s">
        <v>189</v>
      </c>
      <c r="O746" s="8" t="s">
        <v>332</v>
      </c>
      <c r="P746" s="7">
        <v>30000</v>
      </c>
      <c r="Q746" s="7">
        <v>127363.04</v>
      </c>
      <c r="R746" s="7">
        <v>87089400</v>
      </c>
      <c r="S746" s="7">
        <v>15</v>
      </c>
      <c r="T746" s="7" t="s">
        <v>368</v>
      </c>
      <c r="U746" s="7" t="s">
        <v>178</v>
      </c>
      <c r="V746" s="6">
        <f t="shared" si="138"/>
        <v>19104.455999999998</v>
      </c>
      <c r="W746" s="6">
        <f t="shared" si="139"/>
        <v>1910.4456</v>
      </c>
      <c r="X746" s="6">
        <f t="shared" si="140"/>
        <v>21014.901599999997</v>
      </c>
      <c r="Y746" s="6">
        <f t="shared" si="141"/>
        <v>0.70049671999999996</v>
      </c>
      <c r="Z746" s="6">
        <f t="shared" si="142"/>
        <v>4.2454346666666662</v>
      </c>
      <c r="AA746" s="9">
        <f t="shared" si="143"/>
        <v>30000</v>
      </c>
      <c r="AB746" s="10">
        <v>3904</v>
      </c>
      <c r="AC746" s="11">
        <f t="shared" si="144"/>
        <v>2734.73919488</v>
      </c>
      <c r="AD746" s="12">
        <f t="shared" si="146"/>
        <v>30000</v>
      </c>
      <c r="AE746" s="13">
        <f t="shared" si="136"/>
        <v>0</v>
      </c>
    </row>
    <row r="747" spans="1:31">
      <c r="A747" s="6">
        <v>26</v>
      </c>
      <c r="B747" s="6">
        <f t="shared" si="134"/>
        <v>29</v>
      </c>
      <c r="C747" s="6" t="str">
        <f t="shared" si="137"/>
        <v>608225700ASCREW,STD METRIIC HEXALOBULAR  M5 T25 12MM96111084530110000</v>
      </c>
      <c r="D747" s="6" t="s">
        <v>384</v>
      </c>
      <c r="E747" s="6" t="s">
        <v>169</v>
      </c>
      <c r="F747" s="6"/>
      <c r="G747" s="7" t="s">
        <v>147</v>
      </c>
      <c r="H747" s="7"/>
      <c r="I747" s="7"/>
      <c r="J747" s="7"/>
      <c r="K747" s="7"/>
      <c r="L747" s="7">
        <v>9611108</v>
      </c>
      <c r="M747" s="22">
        <v>45301</v>
      </c>
      <c r="N747" s="8" t="s">
        <v>180</v>
      </c>
      <c r="O747" s="8" t="s">
        <v>332</v>
      </c>
      <c r="P747" s="7">
        <v>10000</v>
      </c>
      <c r="Q747" s="7">
        <v>36913.120000000003</v>
      </c>
      <c r="R747" s="7">
        <v>87089400</v>
      </c>
      <c r="S747" s="7">
        <v>15</v>
      </c>
      <c r="T747" s="7" t="s">
        <v>275</v>
      </c>
      <c r="U747" s="7" t="s">
        <v>178</v>
      </c>
      <c r="V747" s="6">
        <f t="shared" si="138"/>
        <v>5536.9679999999998</v>
      </c>
      <c r="W747" s="6">
        <f t="shared" si="139"/>
        <v>553.69680000000005</v>
      </c>
      <c r="X747" s="6">
        <f t="shared" si="140"/>
        <v>6090.6647999999996</v>
      </c>
      <c r="Y747" s="6">
        <f t="shared" si="141"/>
        <v>0.60906647999999997</v>
      </c>
      <c r="Z747" s="6">
        <f t="shared" si="142"/>
        <v>3.6913120000000004</v>
      </c>
      <c r="AA747" s="9">
        <f t="shared" si="143"/>
        <v>10000</v>
      </c>
      <c r="AB747" s="10">
        <v>3412</v>
      </c>
      <c r="AC747" s="11">
        <f t="shared" si="144"/>
        <v>2078.1348297599998</v>
      </c>
      <c r="AD747" s="12">
        <f t="shared" si="146"/>
        <v>10000</v>
      </c>
      <c r="AE747" s="13">
        <f t="shared" si="136"/>
        <v>0</v>
      </c>
    </row>
    <row r="748" spans="1:31" ht="30">
      <c r="A748" s="6">
        <v>27</v>
      </c>
      <c r="B748" s="6">
        <v>1</v>
      </c>
      <c r="C748" s="6" t="str">
        <f t="shared" si="137"/>
        <v>655931500AARMATURE, MONOBLOCK ASW4, HYUNDAI BC3-CUV5720169455564050</v>
      </c>
      <c r="D748" s="6" t="s">
        <v>389</v>
      </c>
      <c r="E748" s="6" t="s">
        <v>157</v>
      </c>
      <c r="F748" s="6"/>
      <c r="G748" s="7" t="s">
        <v>134</v>
      </c>
      <c r="H748" s="7"/>
      <c r="I748" s="7"/>
      <c r="J748" s="7"/>
      <c r="K748" s="7"/>
      <c r="L748" s="7">
        <v>5720169</v>
      </c>
      <c r="M748" s="22">
        <v>45556</v>
      </c>
      <c r="N748" s="8" t="s">
        <v>185</v>
      </c>
      <c r="O748" s="8" t="s">
        <v>332</v>
      </c>
      <c r="P748" s="7">
        <v>4050</v>
      </c>
      <c r="Q748" s="7">
        <v>1753205.16</v>
      </c>
      <c r="R748" s="7">
        <v>87089400</v>
      </c>
      <c r="S748" s="7">
        <v>15</v>
      </c>
      <c r="T748" s="7" t="s">
        <v>377</v>
      </c>
      <c r="U748" s="7" t="s">
        <v>178</v>
      </c>
      <c r="V748" s="6">
        <f t="shared" si="138"/>
        <v>262980.77399999998</v>
      </c>
      <c r="W748" s="6">
        <f t="shared" si="139"/>
        <v>26298.077399999998</v>
      </c>
      <c r="X748" s="6">
        <f t="shared" si="140"/>
        <v>289278.85139999999</v>
      </c>
      <c r="Y748" s="6">
        <f t="shared" si="141"/>
        <v>71.426876888888884</v>
      </c>
      <c r="Z748" s="6">
        <f t="shared" si="142"/>
        <v>432.89016296296296</v>
      </c>
      <c r="AA748" s="9">
        <f t="shared" si="143"/>
        <v>4050</v>
      </c>
      <c r="AB748" s="10">
        <v>4050</v>
      </c>
      <c r="AC748" s="11">
        <f t="shared" si="144"/>
        <v>289278.85139999999</v>
      </c>
      <c r="AD748" s="12">
        <f t="shared" si="146"/>
        <v>4050</v>
      </c>
      <c r="AE748" s="13">
        <f t="shared" si="136"/>
        <v>0</v>
      </c>
    </row>
    <row r="749" spans="1:31" ht="30">
      <c r="A749" s="6">
        <v>27</v>
      </c>
      <c r="B749" s="6">
        <v>2</v>
      </c>
      <c r="C749" s="6" t="str">
        <f t="shared" si="137"/>
        <v>655931500AARMATURE, MONOBLOCK ASW4, HYUNDAI BC3-CUV5965663455703564</v>
      </c>
      <c r="D749" s="6" t="s">
        <v>389</v>
      </c>
      <c r="E749" s="6" t="s">
        <v>157</v>
      </c>
      <c r="F749" s="6"/>
      <c r="G749" s="7" t="s">
        <v>134</v>
      </c>
      <c r="H749" s="7"/>
      <c r="I749" s="7"/>
      <c r="J749" s="7"/>
      <c r="K749" s="7"/>
      <c r="L749" s="7">
        <v>5965663</v>
      </c>
      <c r="M749" s="22">
        <v>45570</v>
      </c>
      <c r="N749" s="8" t="s">
        <v>185</v>
      </c>
      <c r="O749" s="8" t="s">
        <v>332</v>
      </c>
      <c r="P749" s="7">
        <v>3564</v>
      </c>
      <c r="Q749" s="7">
        <v>1482342.45</v>
      </c>
      <c r="R749" s="7">
        <v>87089400</v>
      </c>
      <c r="S749" s="7">
        <v>15</v>
      </c>
      <c r="T749" s="7" t="s">
        <v>377</v>
      </c>
      <c r="U749" s="7" t="s">
        <v>178</v>
      </c>
      <c r="V749" s="6">
        <f t="shared" si="138"/>
        <v>222351.36749999999</v>
      </c>
      <c r="W749" s="6">
        <f t="shared" si="139"/>
        <v>22235.136750000001</v>
      </c>
      <c r="X749" s="6">
        <f t="shared" si="140"/>
        <v>244586.50425</v>
      </c>
      <c r="Y749" s="6">
        <f t="shared" si="141"/>
        <v>68.626965277777771</v>
      </c>
      <c r="Z749" s="6">
        <f t="shared" si="142"/>
        <v>415.92100168350169</v>
      </c>
      <c r="AA749" s="9">
        <f t="shared" si="143"/>
        <v>3564</v>
      </c>
      <c r="AB749" s="10">
        <v>3564</v>
      </c>
      <c r="AC749" s="11">
        <f t="shared" si="144"/>
        <v>244586.50424999997</v>
      </c>
      <c r="AD749" s="12">
        <f t="shared" si="146"/>
        <v>3564</v>
      </c>
      <c r="AE749" s="13">
        <f t="shared" si="136"/>
        <v>0</v>
      </c>
    </row>
    <row r="750" spans="1:31" ht="30">
      <c r="A750" s="6">
        <v>27</v>
      </c>
      <c r="B750" s="6">
        <v>3</v>
      </c>
      <c r="C750" s="6" t="str">
        <f t="shared" si="137"/>
        <v>655931500AARMATURE, MONOBLOCK ASW4, HYUNDAI BC3-CUV5866272455634050</v>
      </c>
      <c r="D750" s="6" t="s">
        <v>389</v>
      </c>
      <c r="E750" s="6" t="s">
        <v>157</v>
      </c>
      <c r="F750" s="6"/>
      <c r="G750" s="7" t="s">
        <v>134</v>
      </c>
      <c r="H750" s="7"/>
      <c r="I750" s="7"/>
      <c r="J750" s="7"/>
      <c r="K750" s="7"/>
      <c r="L750" s="7">
        <v>5866272</v>
      </c>
      <c r="M750" s="22">
        <v>45563</v>
      </c>
      <c r="N750" s="8" t="s">
        <v>185</v>
      </c>
      <c r="O750" s="8" t="s">
        <v>332</v>
      </c>
      <c r="P750" s="7">
        <v>4050</v>
      </c>
      <c r="Q750" s="7">
        <v>1672011.1</v>
      </c>
      <c r="R750" s="7">
        <v>87089400</v>
      </c>
      <c r="S750" s="7">
        <v>15</v>
      </c>
      <c r="T750" s="7" t="s">
        <v>377</v>
      </c>
      <c r="U750" s="7" t="s">
        <v>178</v>
      </c>
      <c r="V750" s="6">
        <f t="shared" si="138"/>
        <v>250801.66500000001</v>
      </c>
      <c r="W750" s="6">
        <f t="shared" si="139"/>
        <v>25080.166500000003</v>
      </c>
      <c r="X750" s="6">
        <f t="shared" si="140"/>
        <v>275881.83150000003</v>
      </c>
      <c r="Y750" s="6">
        <f t="shared" si="141"/>
        <v>68.11897074074075</v>
      </c>
      <c r="Z750" s="6">
        <f t="shared" si="142"/>
        <v>412.84224691358025</v>
      </c>
      <c r="AA750" s="9">
        <f t="shared" si="143"/>
        <v>4050</v>
      </c>
      <c r="AB750" s="10">
        <v>3640</v>
      </c>
      <c r="AC750" s="11">
        <f t="shared" si="144"/>
        <v>247953.05349629634</v>
      </c>
      <c r="AD750" s="12">
        <f t="shared" si="146"/>
        <v>3640</v>
      </c>
      <c r="AE750" s="13">
        <f t="shared" si="136"/>
        <v>410</v>
      </c>
    </row>
    <row r="751" spans="1:31">
      <c r="A751" s="6">
        <v>27</v>
      </c>
      <c r="B751" s="6">
        <v>4</v>
      </c>
      <c r="C751" s="6" t="str">
        <f t="shared" si="137"/>
        <v>628408700ASCREW, STANDARD, METRIC, M5, HEXALOBULAR INTERNAL55680054554710000</v>
      </c>
      <c r="D751" s="6" t="s">
        <v>389</v>
      </c>
      <c r="E751" s="6" t="s">
        <v>167</v>
      </c>
      <c r="F751" s="6"/>
      <c r="G751" s="7" t="s">
        <v>145</v>
      </c>
      <c r="H751" s="7"/>
      <c r="I751" s="7"/>
      <c r="J751" s="7"/>
      <c r="K751" s="7"/>
      <c r="L751" s="7">
        <v>5568005</v>
      </c>
      <c r="M751" s="22">
        <v>45547</v>
      </c>
      <c r="N751" s="8" t="s">
        <v>180</v>
      </c>
      <c r="O751" s="8" t="s">
        <v>333</v>
      </c>
      <c r="P751" s="7">
        <v>10000</v>
      </c>
      <c r="Q751" s="7">
        <v>52986.43</v>
      </c>
      <c r="R751" s="7">
        <v>87089400</v>
      </c>
      <c r="S751" s="7">
        <v>15</v>
      </c>
      <c r="T751" s="7" t="s">
        <v>387</v>
      </c>
      <c r="U751" s="7" t="s">
        <v>178</v>
      </c>
      <c r="V751" s="6">
        <f t="shared" si="138"/>
        <v>7947.9645</v>
      </c>
      <c r="W751" s="6">
        <f t="shared" si="139"/>
        <v>794.79645000000005</v>
      </c>
      <c r="X751" s="6">
        <f t="shared" si="140"/>
        <v>8742.7609499999999</v>
      </c>
      <c r="Y751" s="6">
        <f t="shared" si="141"/>
        <v>0.87427609500000003</v>
      </c>
      <c r="Z751" s="6">
        <f t="shared" si="142"/>
        <v>5.2986430000000002</v>
      </c>
      <c r="AA751" s="9">
        <f t="shared" si="143"/>
        <v>10000</v>
      </c>
      <c r="AB751" s="10">
        <v>10000</v>
      </c>
      <c r="AC751" s="11">
        <f t="shared" si="144"/>
        <v>8742.7609499999999</v>
      </c>
      <c r="AD751" s="12">
        <f t="shared" si="146"/>
        <v>10000</v>
      </c>
      <c r="AE751" s="13">
        <f t="shared" si="136"/>
        <v>0</v>
      </c>
    </row>
    <row r="752" spans="1:31">
      <c r="A752" s="6">
        <v>27</v>
      </c>
      <c r="B752" s="6">
        <v>5</v>
      </c>
      <c r="C752" s="6" t="str">
        <f t="shared" si="137"/>
        <v>608225700ASCREW,STD METRIIC HEXALOBULAR  M5 T25 12MM59822704557035000</v>
      </c>
      <c r="D752" s="6" t="s">
        <v>389</v>
      </c>
      <c r="E752" s="6" t="s">
        <v>169</v>
      </c>
      <c r="F752" s="6"/>
      <c r="G752" s="7" t="s">
        <v>147</v>
      </c>
      <c r="H752" s="7"/>
      <c r="I752" s="7"/>
      <c r="J752" s="7"/>
      <c r="K752" s="7"/>
      <c r="L752" s="7">
        <v>5982270</v>
      </c>
      <c r="M752" s="22">
        <v>45570</v>
      </c>
      <c r="N752" s="8" t="s">
        <v>190</v>
      </c>
      <c r="O752" s="8" t="s">
        <v>332</v>
      </c>
      <c r="P752" s="7">
        <v>35000</v>
      </c>
      <c r="Q752" s="7">
        <v>113451.42</v>
      </c>
      <c r="R752" s="7">
        <v>87089400</v>
      </c>
      <c r="S752" s="7">
        <v>15</v>
      </c>
      <c r="T752" s="7" t="s">
        <v>275</v>
      </c>
      <c r="U752" s="7" t="s">
        <v>178</v>
      </c>
      <c r="V752" s="6">
        <f t="shared" si="138"/>
        <v>17017.713</v>
      </c>
      <c r="W752" s="6">
        <f t="shared" si="139"/>
        <v>1701.7713000000001</v>
      </c>
      <c r="X752" s="6">
        <f t="shared" si="140"/>
        <v>18719.4843</v>
      </c>
      <c r="Y752" s="6">
        <f t="shared" si="141"/>
        <v>0.53484240857142862</v>
      </c>
      <c r="Z752" s="6">
        <f t="shared" si="142"/>
        <v>3.2414691428571429</v>
      </c>
      <c r="AA752" s="9">
        <f t="shared" si="143"/>
        <v>35000</v>
      </c>
      <c r="AB752" s="10">
        <v>22508</v>
      </c>
      <c r="AC752" s="11">
        <f t="shared" si="144"/>
        <v>12038.232932125715</v>
      </c>
      <c r="AD752" s="12">
        <f t="shared" si="146"/>
        <v>35000</v>
      </c>
      <c r="AE752" s="13">
        <f t="shared" si="136"/>
        <v>0</v>
      </c>
    </row>
    <row r="753" spans="1:31">
      <c r="A753" s="6">
        <v>27</v>
      </c>
      <c r="B753" s="6">
        <v>6</v>
      </c>
      <c r="C753" s="6" t="str">
        <f t="shared" si="137"/>
        <v>651166400CSPRING, COIL, UPPER 53703854553745000</v>
      </c>
      <c r="D753" s="6" t="s">
        <v>389</v>
      </c>
      <c r="E753" s="6" t="s">
        <v>170</v>
      </c>
      <c r="F753" s="6"/>
      <c r="G753" s="7" t="s">
        <v>148</v>
      </c>
      <c r="H753" s="7"/>
      <c r="I753" s="7"/>
      <c r="J753" s="7"/>
      <c r="K753" s="7"/>
      <c r="L753" s="7">
        <v>5370385</v>
      </c>
      <c r="M753" s="22">
        <v>45537</v>
      </c>
      <c r="N753" s="8" t="s">
        <v>189</v>
      </c>
      <c r="O753" s="8" t="s">
        <v>333</v>
      </c>
      <c r="P753" s="7">
        <v>45000</v>
      </c>
      <c r="Q753" s="7">
        <v>87416.12</v>
      </c>
      <c r="R753" s="7">
        <v>87089500</v>
      </c>
      <c r="S753" s="7">
        <v>15</v>
      </c>
      <c r="T753" s="7" t="s">
        <v>386</v>
      </c>
      <c r="U753" s="7" t="s">
        <v>178</v>
      </c>
      <c r="V753" s="6">
        <f t="shared" si="138"/>
        <v>13112.418</v>
      </c>
      <c r="W753" s="6">
        <f t="shared" si="139"/>
        <v>1311.2418</v>
      </c>
      <c r="X753" s="6">
        <f t="shared" si="140"/>
        <v>14423.659799999999</v>
      </c>
      <c r="Y753" s="6">
        <f t="shared" si="141"/>
        <v>0.32052577333333332</v>
      </c>
      <c r="Z753" s="6">
        <f t="shared" si="142"/>
        <v>1.9425804444444443</v>
      </c>
      <c r="AA753" s="9">
        <f t="shared" si="143"/>
        <v>45000</v>
      </c>
      <c r="AB753" s="10">
        <v>36000</v>
      </c>
      <c r="AC753" s="11">
        <f t="shared" si="144"/>
        <v>11538.92784</v>
      </c>
      <c r="AD753" s="12">
        <v>45000</v>
      </c>
      <c r="AE753" s="13">
        <f t="shared" si="136"/>
        <v>0</v>
      </c>
    </row>
    <row r="754" spans="1:31">
      <c r="A754" s="6">
        <v>27</v>
      </c>
      <c r="B754" s="6">
        <v>7</v>
      </c>
      <c r="C754" s="6" t="str">
        <f t="shared" si="137"/>
        <v>655818900BACTUATOR VIBRATION MOTOR ASSY WITH BRACKET BC3 CU3880386454504800</v>
      </c>
      <c r="D754" s="6" t="s">
        <v>389</v>
      </c>
      <c r="E754" s="6" t="s">
        <v>156</v>
      </c>
      <c r="F754" s="6"/>
      <c r="G754" s="7" t="s">
        <v>133</v>
      </c>
      <c r="H754" s="7"/>
      <c r="I754" s="7"/>
      <c r="J754" s="7"/>
      <c r="K754" s="7"/>
      <c r="L754" s="7">
        <v>3880386</v>
      </c>
      <c r="M754" s="22">
        <v>45450</v>
      </c>
      <c r="N754" s="8" t="s">
        <v>180</v>
      </c>
      <c r="O754" s="8" t="s">
        <v>332</v>
      </c>
      <c r="P754" s="7">
        <v>4800</v>
      </c>
      <c r="Q754" s="7">
        <v>1707071.5</v>
      </c>
      <c r="R754" s="7">
        <v>85013119</v>
      </c>
      <c r="S754" s="7">
        <v>15</v>
      </c>
      <c r="T754" s="7" t="s">
        <v>292</v>
      </c>
      <c r="U754" s="7" t="s">
        <v>178</v>
      </c>
      <c r="V754" s="6">
        <f t="shared" si="138"/>
        <v>256060.72499999998</v>
      </c>
      <c r="W754" s="6">
        <f t="shared" si="139"/>
        <v>25606.072499999998</v>
      </c>
      <c r="X754" s="6">
        <f t="shared" si="140"/>
        <v>281666.79749999999</v>
      </c>
      <c r="Y754" s="6">
        <f t="shared" si="141"/>
        <v>58.680582812499999</v>
      </c>
      <c r="Z754" s="6">
        <f t="shared" si="142"/>
        <v>355.63989583333336</v>
      </c>
      <c r="AA754" s="9">
        <f t="shared" si="143"/>
        <v>4800</v>
      </c>
      <c r="AB754" s="10">
        <v>4800</v>
      </c>
      <c r="AC754" s="11">
        <f t="shared" si="144"/>
        <v>281666.79749999999</v>
      </c>
      <c r="AD754" s="12">
        <f>SUMIF($C$2:$C$2284,C754,$AB$2:$AB$2284)</f>
        <v>4800</v>
      </c>
      <c r="AE754" s="13">
        <f t="shared" si="136"/>
        <v>0</v>
      </c>
    </row>
    <row r="755" spans="1:31">
      <c r="A755" s="6">
        <v>27</v>
      </c>
      <c r="B755" s="6">
        <v>8</v>
      </c>
      <c r="C755" s="6" t="str">
        <f t="shared" si="137"/>
        <v>655818900BACTUATOR VIBRATION MOTOR ASSY WITH BRACKET BC3 CU4512846454884800</v>
      </c>
      <c r="D755" s="6" t="s">
        <v>389</v>
      </c>
      <c r="E755" s="6" t="s">
        <v>156</v>
      </c>
      <c r="F755" s="6"/>
      <c r="G755" s="7" t="s">
        <v>133</v>
      </c>
      <c r="H755" s="7"/>
      <c r="I755" s="7"/>
      <c r="J755" s="7"/>
      <c r="K755" s="7"/>
      <c r="L755" s="7">
        <v>4512846</v>
      </c>
      <c r="M755" s="22">
        <v>45488</v>
      </c>
      <c r="N755" s="8" t="s">
        <v>180</v>
      </c>
      <c r="O755" s="8" t="s">
        <v>332</v>
      </c>
      <c r="P755" s="7">
        <v>4800</v>
      </c>
      <c r="Q755" s="7">
        <v>1709248.91</v>
      </c>
      <c r="R755" s="7">
        <v>85013119</v>
      </c>
      <c r="S755" s="7">
        <v>15</v>
      </c>
      <c r="T755" s="7" t="s">
        <v>292</v>
      </c>
      <c r="U755" s="7" t="s">
        <v>178</v>
      </c>
      <c r="V755" s="6">
        <f t="shared" si="138"/>
        <v>256387.33649999998</v>
      </c>
      <c r="W755" s="6">
        <f t="shared" si="139"/>
        <v>25638.733649999998</v>
      </c>
      <c r="X755" s="6">
        <f t="shared" si="140"/>
        <v>282026.07014999999</v>
      </c>
      <c r="Y755" s="6">
        <f t="shared" si="141"/>
        <v>58.755431281249997</v>
      </c>
      <c r="Z755" s="6">
        <f t="shared" si="142"/>
        <v>356.09352291666664</v>
      </c>
      <c r="AA755" s="9">
        <f t="shared" si="143"/>
        <v>4800</v>
      </c>
      <c r="AB755" s="10">
        <v>4800</v>
      </c>
      <c r="AC755" s="11">
        <f t="shared" si="144"/>
        <v>282026.07014999999</v>
      </c>
      <c r="AD755" s="12">
        <f>SUMIF($C$2:$C$2284,C755,$AB$2:$AB$2284)</f>
        <v>4800</v>
      </c>
      <c r="AE755" s="13">
        <f t="shared" si="136"/>
        <v>0</v>
      </c>
    </row>
    <row r="756" spans="1:31">
      <c r="A756" s="6">
        <v>27</v>
      </c>
      <c r="B756" s="6">
        <v>9</v>
      </c>
      <c r="C756" s="6" t="str">
        <f t="shared" si="137"/>
        <v>655818900BACTUATOR VIBRATION MOTOR ASSY WITH BRACKET BC3 CU4975640455134800</v>
      </c>
      <c r="D756" s="6" t="s">
        <v>389</v>
      </c>
      <c r="E756" s="6" t="s">
        <v>156</v>
      </c>
      <c r="F756" s="6"/>
      <c r="G756" s="7" t="s">
        <v>133</v>
      </c>
      <c r="H756" s="7"/>
      <c r="I756" s="7"/>
      <c r="J756" s="7"/>
      <c r="K756" s="7"/>
      <c r="L756" s="7">
        <v>4975640</v>
      </c>
      <c r="M756" s="22">
        <v>45513</v>
      </c>
      <c r="N756" s="8" t="s">
        <v>180</v>
      </c>
      <c r="O756" s="8" t="s">
        <v>332</v>
      </c>
      <c r="P756" s="7">
        <v>4800</v>
      </c>
      <c r="Q756" s="7">
        <v>1713272.32</v>
      </c>
      <c r="R756" s="7">
        <v>85013119</v>
      </c>
      <c r="S756" s="7">
        <v>15</v>
      </c>
      <c r="T756" s="7" t="s">
        <v>292</v>
      </c>
      <c r="U756" s="7" t="s">
        <v>178</v>
      </c>
      <c r="V756" s="6">
        <f t="shared" si="138"/>
        <v>256990.848</v>
      </c>
      <c r="W756" s="6">
        <f t="shared" si="139"/>
        <v>25699.084800000001</v>
      </c>
      <c r="X756" s="6">
        <f t="shared" si="140"/>
        <v>282689.93280000001</v>
      </c>
      <c r="Y756" s="6">
        <f t="shared" si="141"/>
        <v>58.893736000000004</v>
      </c>
      <c r="Z756" s="6">
        <f t="shared" si="142"/>
        <v>356.93173333333334</v>
      </c>
      <c r="AA756" s="9">
        <f t="shared" si="143"/>
        <v>4800</v>
      </c>
      <c r="AB756" s="10">
        <v>1654</v>
      </c>
      <c r="AC756" s="11">
        <f t="shared" si="144"/>
        <v>97410.239344000001</v>
      </c>
      <c r="AD756" s="12">
        <f>SUMIF($C$2:$C$2284,C756,$AB$2:$AB$2284)</f>
        <v>4800</v>
      </c>
      <c r="AE756" s="13">
        <f t="shared" si="136"/>
        <v>0</v>
      </c>
    </row>
    <row r="757" spans="1:31">
      <c r="A757" s="6">
        <v>27</v>
      </c>
      <c r="B757" s="6">
        <v>10</v>
      </c>
      <c r="C757" s="6" t="str">
        <f t="shared" si="137"/>
        <v>651015100AARMATURE, MONOBLOCK, ASW4, HYUNDAI BC34646728449721782</v>
      </c>
      <c r="D757" s="6" t="s">
        <v>389</v>
      </c>
      <c r="E757" s="6" t="s">
        <v>158</v>
      </c>
      <c r="F757" s="6"/>
      <c r="G757" s="7" t="s">
        <v>135</v>
      </c>
      <c r="H757" s="7"/>
      <c r="I757" s="7"/>
      <c r="J757" s="7"/>
      <c r="K757" s="7"/>
      <c r="L757" s="7">
        <v>4646728</v>
      </c>
      <c r="M757" s="22">
        <v>44972</v>
      </c>
      <c r="N757" s="8" t="s">
        <v>184</v>
      </c>
      <c r="O757" s="8" t="s">
        <v>332</v>
      </c>
      <c r="P757" s="7">
        <v>1782</v>
      </c>
      <c r="Q757" s="7">
        <v>905743.22</v>
      </c>
      <c r="R757" s="7">
        <v>87089400</v>
      </c>
      <c r="S757" s="7">
        <v>15</v>
      </c>
      <c r="T757" s="7" t="s">
        <v>186</v>
      </c>
      <c r="U757" s="7" t="s">
        <v>178</v>
      </c>
      <c r="V757" s="6">
        <f t="shared" si="138"/>
        <v>135861.48299999998</v>
      </c>
      <c r="W757" s="6">
        <f t="shared" si="139"/>
        <v>13586.148299999999</v>
      </c>
      <c r="X757" s="6">
        <f t="shared" si="140"/>
        <v>149447.63129999998</v>
      </c>
      <c r="Y757" s="6">
        <f t="shared" si="141"/>
        <v>83.865112962962954</v>
      </c>
      <c r="Z757" s="6">
        <f t="shared" si="142"/>
        <v>508.27341189674519</v>
      </c>
      <c r="AA757" s="9">
        <f t="shared" si="143"/>
        <v>1782</v>
      </c>
      <c r="AB757" s="10">
        <v>746</v>
      </c>
      <c r="AC757" s="11">
        <f t="shared" si="144"/>
        <v>62563.374270370361</v>
      </c>
      <c r="AD757" s="12">
        <f>SUMIF($C$2:$C$2284,C757,$AB$2:$AB$2284)</f>
        <v>1632</v>
      </c>
      <c r="AE757" s="13">
        <f t="shared" si="136"/>
        <v>150</v>
      </c>
    </row>
    <row r="758" spans="1:31">
      <c r="A758" s="6">
        <v>27</v>
      </c>
      <c r="B758" s="6">
        <v>11</v>
      </c>
      <c r="C758" s="6" t="str">
        <f t="shared" si="137"/>
        <v>650557200GCUSHION, FOLDED, C AND S HONDA 2JX4224220454712160</v>
      </c>
      <c r="D758" s="6" t="s">
        <v>389</v>
      </c>
      <c r="E758" s="6" t="s">
        <v>159</v>
      </c>
      <c r="F758" s="6"/>
      <c r="G758" s="7" t="s">
        <v>136</v>
      </c>
      <c r="H758" s="7"/>
      <c r="I758" s="7"/>
      <c r="J758" s="7"/>
      <c r="K758" s="7"/>
      <c r="L758" s="7">
        <v>4224220</v>
      </c>
      <c r="M758" s="22">
        <v>45471</v>
      </c>
      <c r="N758" s="8" t="s">
        <v>182</v>
      </c>
      <c r="O758" s="8" t="s">
        <v>332</v>
      </c>
      <c r="P758" s="7">
        <v>2160</v>
      </c>
      <c r="Q758" s="7">
        <v>2625234.39</v>
      </c>
      <c r="R758" s="7">
        <v>87089500</v>
      </c>
      <c r="S758" s="7">
        <v>5</v>
      </c>
      <c r="T758" s="7" t="s">
        <v>385</v>
      </c>
      <c r="U758" s="7" t="s">
        <v>178</v>
      </c>
      <c r="V758" s="6">
        <f t="shared" si="138"/>
        <v>131261.71950000001</v>
      </c>
      <c r="W758" s="6">
        <f t="shared" si="139"/>
        <v>13126.171950000002</v>
      </c>
      <c r="X758" s="6">
        <f t="shared" si="140"/>
        <v>144387.89145</v>
      </c>
      <c r="Y758" s="6">
        <f t="shared" si="141"/>
        <v>66.84624604166666</v>
      </c>
      <c r="Z758" s="6">
        <f t="shared" si="142"/>
        <v>1215.3862916666667</v>
      </c>
      <c r="AA758" s="9">
        <f t="shared" si="143"/>
        <v>2160</v>
      </c>
      <c r="AB758" s="10">
        <v>480</v>
      </c>
      <c r="AC758" s="11">
        <f t="shared" si="144"/>
        <v>32086.198099999998</v>
      </c>
      <c r="AD758" s="12">
        <f>SUMIF($C$2:$C$2284,C758,$AB$2:$AB$2284)</f>
        <v>1920</v>
      </c>
      <c r="AE758" s="13">
        <f t="shared" si="136"/>
        <v>240</v>
      </c>
    </row>
    <row r="759" spans="1:31">
      <c r="A759" s="6">
        <v>27</v>
      </c>
      <c r="B759" s="6">
        <v>12</v>
      </c>
      <c r="C759" s="6" t="str">
        <f t="shared" si="137"/>
        <v>651015300BELEMENT, HEATER, HYBRID 3620214454354620</v>
      </c>
      <c r="D759" s="6" t="s">
        <v>389</v>
      </c>
      <c r="E759" s="6" t="s">
        <v>155</v>
      </c>
      <c r="F759" s="6"/>
      <c r="G759" s="7" t="s">
        <v>137</v>
      </c>
      <c r="H759" s="7"/>
      <c r="I759" s="7"/>
      <c r="J759" s="7"/>
      <c r="K759" s="7"/>
      <c r="L759" s="7">
        <v>3620214</v>
      </c>
      <c r="M759" s="22">
        <v>45435</v>
      </c>
      <c r="N759" s="8" t="s">
        <v>190</v>
      </c>
      <c r="O759" s="8" t="s">
        <v>333</v>
      </c>
      <c r="P759" s="7">
        <v>4620</v>
      </c>
      <c r="Q759" s="7">
        <v>2455104.85</v>
      </c>
      <c r="R759" s="7">
        <v>87089400</v>
      </c>
      <c r="S759" s="7">
        <v>15</v>
      </c>
      <c r="T759" s="7" t="s">
        <v>374</v>
      </c>
      <c r="U759" s="7" t="s">
        <v>178</v>
      </c>
      <c r="V759" s="6">
        <f t="shared" si="138"/>
        <v>368265.72749999998</v>
      </c>
      <c r="W759" s="6">
        <f t="shared" si="139"/>
        <v>36826.572749999999</v>
      </c>
      <c r="X759" s="6">
        <f t="shared" si="140"/>
        <v>405092.30024999997</v>
      </c>
      <c r="Y759" s="6">
        <f t="shared" si="141"/>
        <v>87.682316071428559</v>
      </c>
      <c r="Z759" s="6">
        <f t="shared" si="142"/>
        <v>531.40797619047623</v>
      </c>
      <c r="AA759" s="9">
        <f t="shared" si="143"/>
        <v>4620</v>
      </c>
      <c r="AB759" s="10">
        <v>2996</v>
      </c>
      <c r="AC759" s="11">
        <f t="shared" si="144"/>
        <v>262696.21894999995</v>
      </c>
      <c r="AD759" s="12">
        <v>4620</v>
      </c>
      <c r="AE759" s="13">
        <f t="shared" si="136"/>
        <v>0</v>
      </c>
    </row>
    <row r="760" spans="1:31">
      <c r="A760" s="6">
        <v>27</v>
      </c>
      <c r="B760" s="6">
        <v>13</v>
      </c>
      <c r="C760" s="6" t="str">
        <f t="shared" si="137"/>
        <v>634240200AHORN CONTACT, CU 681124845118600000</v>
      </c>
      <c r="D760" s="6" t="s">
        <v>389</v>
      </c>
      <c r="E760" s="6" t="s">
        <v>160</v>
      </c>
      <c r="F760" s="6"/>
      <c r="G760" s="7" t="s">
        <v>138</v>
      </c>
      <c r="H760" s="7"/>
      <c r="I760" s="7"/>
      <c r="J760" s="7"/>
      <c r="K760" s="7"/>
      <c r="L760" s="7">
        <v>6811248</v>
      </c>
      <c r="M760" s="22">
        <v>45118</v>
      </c>
      <c r="N760" s="8" t="s">
        <v>189</v>
      </c>
      <c r="O760" s="8" t="s">
        <v>332</v>
      </c>
      <c r="P760" s="7">
        <v>600000</v>
      </c>
      <c r="Q760" s="7">
        <v>627311.64</v>
      </c>
      <c r="R760" s="7">
        <v>87089900</v>
      </c>
      <c r="S760" s="7">
        <v>15</v>
      </c>
      <c r="T760" s="7" t="s">
        <v>258</v>
      </c>
      <c r="U760" s="7" t="s">
        <v>178</v>
      </c>
      <c r="V760" s="6">
        <f t="shared" si="138"/>
        <v>94096.745999999999</v>
      </c>
      <c r="W760" s="6">
        <f t="shared" si="139"/>
        <v>9409.6746000000003</v>
      </c>
      <c r="X760" s="6">
        <f t="shared" si="140"/>
        <v>103506.4206</v>
      </c>
      <c r="Y760" s="6">
        <f t="shared" si="141"/>
        <v>0.17251070099999999</v>
      </c>
      <c r="Z760" s="6">
        <f t="shared" si="142"/>
        <v>1.0455194000000001</v>
      </c>
      <c r="AA760" s="9">
        <f t="shared" si="143"/>
        <v>600000</v>
      </c>
      <c r="AB760" s="10">
        <v>48000</v>
      </c>
      <c r="AC760" s="11">
        <f t="shared" si="144"/>
        <v>8280.5136480000001</v>
      </c>
      <c r="AD760" s="12">
        <f>SUMIF($C$2:$C$2284,C760,$AB$2:$AB$2284)</f>
        <v>577364</v>
      </c>
      <c r="AE760" s="13">
        <f t="shared" ref="AE760:AE823" si="147">AA760-AD760</f>
        <v>22636</v>
      </c>
    </row>
    <row r="761" spans="1:31" ht="30">
      <c r="A761" s="6">
        <v>27</v>
      </c>
      <c r="B761" s="6">
        <v>14</v>
      </c>
      <c r="C761" s="6" t="str">
        <f t="shared" si="137"/>
        <v>653052600AINFLATOR, APP-4.6, 2.2MO STANDARD_MIB, SQUARE_61X3935038454542592</v>
      </c>
      <c r="D761" s="6" t="s">
        <v>389</v>
      </c>
      <c r="E761" s="6" t="s">
        <v>161</v>
      </c>
      <c r="F761" s="6"/>
      <c r="G761" s="7" t="s">
        <v>139</v>
      </c>
      <c r="H761" s="7"/>
      <c r="I761" s="7"/>
      <c r="J761" s="7"/>
      <c r="K761" s="7"/>
      <c r="L761" s="7">
        <v>3935038</v>
      </c>
      <c r="M761" s="22">
        <v>45454</v>
      </c>
      <c r="N761" s="8" t="s">
        <v>185</v>
      </c>
      <c r="O761" s="8" t="s">
        <v>333</v>
      </c>
      <c r="P761" s="7">
        <v>2592</v>
      </c>
      <c r="Q761" s="7">
        <v>1278631.6299999999</v>
      </c>
      <c r="R761" s="7">
        <v>87089500</v>
      </c>
      <c r="S761" s="7">
        <v>15</v>
      </c>
      <c r="T761" s="7" t="s">
        <v>388</v>
      </c>
      <c r="U761" s="7" t="s">
        <v>200</v>
      </c>
      <c r="V761" s="6">
        <f t="shared" si="138"/>
        <v>191794.74449999997</v>
      </c>
      <c r="W761" s="6">
        <f t="shared" si="139"/>
        <v>19179.474449999998</v>
      </c>
      <c r="X761" s="6">
        <f t="shared" si="140"/>
        <v>210974.21894999998</v>
      </c>
      <c r="Y761" s="6">
        <f t="shared" si="141"/>
        <v>81.394374594907404</v>
      </c>
      <c r="Z761" s="6">
        <f t="shared" si="142"/>
        <v>493.29923996913578</v>
      </c>
      <c r="AA761" s="9">
        <f t="shared" si="143"/>
        <v>2592</v>
      </c>
      <c r="AB761" s="10">
        <v>480</v>
      </c>
      <c r="AC761" s="11">
        <f t="shared" si="144"/>
        <v>39069.299805555551</v>
      </c>
      <c r="AD761" s="12">
        <f>SUMIF($C$2:$C$2284,C761,$AB$2:$AB$2284)</f>
        <v>960</v>
      </c>
      <c r="AE761" s="13">
        <f t="shared" si="147"/>
        <v>1632</v>
      </c>
    </row>
    <row r="762" spans="1:31">
      <c r="A762" s="6">
        <v>27</v>
      </c>
      <c r="B762" s="6">
        <v>15</v>
      </c>
      <c r="C762" s="6" t="str">
        <f t="shared" si="137"/>
        <v>630580800ALABEL, RAW MATERIAL, BLA K12 TPC BUCKLE5160585449362400000</v>
      </c>
      <c r="D762" s="6" t="s">
        <v>389</v>
      </c>
      <c r="E762" s="6" t="s">
        <v>71</v>
      </c>
      <c r="F762" s="6"/>
      <c r="G762" s="7" t="s">
        <v>31</v>
      </c>
      <c r="H762" s="7"/>
      <c r="I762" s="7"/>
      <c r="J762" s="7"/>
      <c r="K762" s="7"/>
      <c r="L762" s="7">
        <v>5160585</v>
      </c>
      <c r="M762" s="22">
        <v>44936</v>
      </c>
      <c r="N762" s="8" t="s">
        <v>196</v>
      </c>
      <c r="O762" s="8" t="s">
        <v>333</v>
      </c>
      <c r="P762" s="7">
        <v>2400000</v>
      </c>
      <c r="Q762" s="7">
        <v>86522.34</v>
      </c>
      <c r="R762" s="7">
        <v>87082900</v>
      </c>
      <c r="S762" s="7">
        <v>15</v>
      </c>
      <c r="T762" s="7" t="s">
        <v>265</v>
      </c>
      <c r="U762" s="7" t="s">
        <v>178</v>
      </c>
      <c r="V762" s="6">
        <f t="shared" si="138"/>
        <v>12978.350999999999</v>
      </c>
      <c r="W762" s="6">
        <f t="shared" si="139"/>
        <v>1297.8351</v>
      </c>
      <c r="X762" s="6">
        <f t="shared" si="140"/>
        <v>14276.186099999999</v>
      </c>
      <c r="Y762" s="6">
        <f t="shared" si="141"/>
        <v>5.9484108749999999E-3</v>
      </c>
      <c r="Z762" s="6">
        <f t="shared" si="142"/>
        <v>3.6050974999999999E-2</v>
      </c>
      <c r="AA762" s="9">
        <f t="shared" si="143"/>
        <v>2400000</v>
      </c>
      <c r="AB762" s="10">
        <v>12000</v>
      </c>
      <c r="AC762" s="11">
        <f t="shared" si="144"/>
        <v>71.380930500000005</v>
      </c>
      <c r="AD762" s="12">
        <f>SUMIF($C$2:$C$2284,C762,$AB$2:$AB$2284)</f>
        <v>548546</v>
      </c>
      <c r="AE762" s="13">
        <f t="shared" si="147"/>
        <v>1851454</v>
      </c>
    </row>
    <row r="763" spans="1:31">
      <c r="A763" s="6">
        <v>27</v>
      </c>
      <c r="B763" s="6">
        <v>16</v>
      </c>
      <c r="C763" s="6" t="str">
        <f t="shared" si="137"/>
        <v>656011400ALEATHER, HIDE TOP GRAIN, GREY, FOSSIL GREY, T9Y,7374452451543703.92</v>
      </c>
      <c r="D763" s="6" t="s">
        <v>389</v>
      </c>
      <c r="E763" s="6" t="s">
        <v>162</v>
      </c>
      <c r="F763" s="6"/>
      <c r="G763" s="7" t="s">
        <v>140</v>
      </c>
      <c r="H763" s="7"/>
      <c r="I763" s="7"/>
      <c r="J763" s="7"/>
      <c r="K763" s="7"/>
      <c r="L763" s="7">
        <v>7374452</v>
      </c>
      <c r="M763" s="22">
        <v>45154</v>
      </c>
      <c r="N763" s="8" t="s">
        <v>190</v>
      </c>
      <c r="O763" s="8" t="s">
        <v>383</v>
      </c>
      <c r="P763" s="7">
        <v>3703.9199999999996</v>
      </c>
      <c r="Q763" s="7">
        <v>8436783.4900000002</v>
      </c>
      <c r="R763" s="7">
        <v>41071200</v>
      </c>
      <c r="S763" s="7">
        <v>0</v>
      </c>
      <c r="T763" s="7" t="s">
        <v>293</v>
      </c>
      <c r="U763" s="7" t="s">
        <v>178</v>
      </c>
      <c r="V763" s="6">
        <f t="shared" si="138"/>
        <v>0</v>
      </c>
      <c r="W763" s="6">
        <f t="shared" si="139"/>
        <v>0</v>
      </c>
      <c r="X763" s="6">
        <f t="shared" si="140"/>
        <v>0</v>
      </c>
      <c r="Y763" s="6">
        <f t="shared" si="141"/>
        <v>0</v>
      </c>
      <c r="Z763" s="6">
        <f t="shared" si="142"/>
        <v>2277.7985188664984</v>
      </c>
      <c r="AA763" s="9">
        <f t="shared" si="143"/>
        <v>3703.9199999999996</v>
      </c>
      <c r="AB763" s="10">
        <v>18.744408</v>
      </c>
      <c r="AC763" s="11">
        <f t="shared" si="144"/>
        <v>0</v>
      </c>
      <c r="AD763" s="12">
        <f>SUMIF($C$2:$C$2284,C763,$AB$2:$AB$2284)</f>
        <v>634.38362100000006</v>
      </c>
      <c r="AE763" s="13">
        <f t="shared" si="147"/>
        <v>3069.5363789999997</v>
      </c>
    </row>
    <row r="764" spans="1:31">
      <c r="A764" s="6">
        <v>27</v>
      </c>
      <c r="B764" s="6">
        <v>17</v>
      </c>
      <c r="C764" s="6" t="str">
        <f t="shared" si="137"/>
        <v>652466500ALEATHER, HIDE TOP GRAIN, OBSIDIAN BLACK, NNB, BLA977890145313445.4</v>
      </c>
      <c r="D764" s="6" t="s">
        <v>389</v>
      </c>
      <c r="E764" s="6" t="s">
        <v>163</v>
      </c>
      <c r="F764" s="6"/>
      <c r="G764" s="7" t="s">
        <v>141</v>
      </c>
      <c r="H764" s="7"/>
      <c r="I764" s="7"/>
      <c r="J764" s="7"/>
      <c r="K764" s="7"/>
      <c r="L764" s="7">
        <v>9778901</v>
      </c>
      <c r="M764" s="22">
        <v>45313</v>
      </c>
      <c r="N764" s="8" t="s">
        <v>180</v>
      </c>
      <c r="O764" s="8" t="s">
        <v>383</v>
      </c>
      <c r="P764" s="7">
        <v>445.4</v>
      </c>
      <c r="Q764" s="7">
        <v>1074838.18</v>
      </c>
      <c r="R764" s="7">
        <v>41071200</v>
      </c>
      <c r="S764" s="7">
        <v>0</v>
      </c>
      <c r="T764" s="7" t="s">
        <v>279</v>
      </c>
      <c r="U764" s="7" t="s">
        <v>178</v>
      </c>
      <c r="V764" s="6">
        <f t="shared" si="138"/>
        <v>0</v>
      </c>
      <c r="W764" s="6">
        <f t="shared" si="139"/>
        <v>0</v>
      </c>
      <c r="X764" s="6">
        <f t="shared" si="140"/>
        <v>0</v>
      </c>
      <c r="Y764" s="6">
        <f t="shared" si="141"/>
        <v>0</v>
      </c>
      <c r="Z764" s="6">
        <f t="shared" si="142"/>
        <v>2413.1975303098338</v>
      </c>
      <c r="AA764" s="9">
        <f t="shared" si="143"/>
        <v>445.4</v>
      </c>
      <c r="AB764" s="10">
        <v>445</v>
      </c>
      <c r="AC764" s="11">
        <f t="shared" si="144"/>
        <v>0</v>
      </c>
      <c r="AD764" s="12">
        <f>SUMIF($C$2:$C$2284,C764,$AB$2:$AB$2284)</f>
        <v>445</v>
      </c>
      <c r="AE764" s="13">
        <f t="shared" si="147"/>
        <v>0.39999999999997726</v>
      </c>
    </row>
    <row r="765" spans="1:31">
      <c r="A765" s="6">
        <v>27</v>
      </c>
      <c r="B765" s="6">
        <v>18</v>
      </c>
      <c r="C765" s="6" t="str">
        <f t="shared" si="137"/>
        <v>652466500ALEATHER, HIDE TOP GRAIN, OBSIDIAN BLACK, NNB, BLA206243445331509.48</v>
      </c>
      <c r="D765" s="6" t="s">
        <v>389</v>
      </c>
      <c r="E765" s="6" t="s">
        <v>163</v>
      </c>
      <c r="F765" s="6"/>
      <c r="G765" s="7" t="s">
        <v>141</v>
      </c>
      <c r="H765" s="7"/>
      <c r="I765" s="7"/>
      <c r="J765" s="7"/>
      <c r="K765" s="7"/>
      <c r="L765" s="7">
        <v>2062434</v>
      </c>
      <c r="M765" s="22">
        <v>45331</v>
      </c>
      <c r="N765" s="8" t="s">
        <v>180</v>
      </c>
      <c r="O765" s="8" t="s">
        <v>383</v>
      </c>
      <c r="P765" s="7">
        <v>509.48</v>
      </c>
      <c r="Q765" s="7">
        <v>1192883.24</v>
      </c>
      <c r="R765" s="7">
        <v>41071200</v>
      </c>
      <c r="S765" s="7">
        <v>10</v>
      </c>
      <c r="T765" s="7" t="s">
        <v>261</v>
      </c>
      <c r="U765" s="7" t="s">
        <v>178</v>
      </c>
      <c r="V765" s="6">
        <f t="shared" si="138"/>
        <v>119288.32400000001</v>
      </c>
      <c r="W765" s="6">
        <f t="shared" si="139"/>
        <v>11928.832400000001</v>
      </c>
      <c r="X765" s="6">
        <f t="shared" si="140"/>
        <v>131217.15640000001</v>
      </c>
      <c r="Y765" s="6">
        <f t="shared" si="141"/>
        <v>257.55114312632486</v>
      </c>
      <c r="Z765" s="6">
        <f t="shared" si="142"/>
        <v>2341.3740284211353</v>
      </c>
      <c r="AA765" s="9">
        <f t="shared" si="143"/>
        <v>509.48</v>
      </c>
      <c r="AB765" s="10">
        <v>509</v>
      </c>
      <c r="AC765" s="11">
        <f t="shared" si="144"/>
        <v>131093.53185129934</v>
      </c>
      <c r="AD765" s="12">
        <v>509</v>
      </c>
      <c r="AE765" s="13">
        <f t="shared" si="147"/>
        <v>0.48000000000001819</v>
      </c>
    </row>
    <row r="766" spans="1:31">
      <c r="A766" s="6">
        <v>27</v>
      </c>
      <c r="B766" s="6">
        <v>19</v>
      </c>
      <c r="C766" s="6" t="str">
        <f t="shared" si="137"/>
        <v>652466500ALEATHER, HIDE TOP GRAIN, OBSIDIAN BLACK, NNB, BLA206738145331512.64</v>
      </c>
      <c r="D766" s="6" t="s">
        <v>389</v>
      </c>
      <c r="E766" s="6" t="s">
        <v>163</v>
      </c>
      <c r="F766" s="6"/>
      <c r="G766" s="7" t="s">
        <v>141</v>
      </c>
      <c r="H766" s="7"/>
      <c r="I766" s="7"/>
      <c r="J766" s="7"/>
      <c r="K766" s="7"/>
      <c r="L766" s="7">
        <v>2067381</v>
      </c>
      <c r="M766" s="22">
        <v>45331</v>
      </c>
      <c r="N766" s="8" t="s">
        <v>180</v>
      </c>
      <c r="O766" s="8" t="s">
        <v>383</v>
      </c>
      <c r="P766" s="7">
        <v>512.64</v>
      </c>
      <c r="Q766" s="7">
        <v>1194953.45</v>
      </c>
      <c r="R766" s="7">
        <v>41071200</v>
      </c>
      <c r="S766" s="7">
        <v>10</v>
      </c>
      <c r="T766" s="7" t="s">
        <v>261</v>
      </c>
      <c r="U766" s="7" t="s">
        <v>178</v>
      </c>
      <c r="V766" s="6">
        <f t="shared" si="138"/>
        <v>119495.345</v>
      </c>
      <c r="W766" s="6">
        <f t="shared" si="139"/>
        <v>11949.534500000002</v>
      </c>
      <c r="X766" s="6">
        <f t="shared" si="140"/>
        <v>131444.87950000001</v>
      </c>
      <c r="Y766" s="6">
        <f t="shared" si="141"/>
        <v>256.40777056023722</v>
      </c>
      <c r="Z766" s="6">
        <f t="shared" si="142"/>
        <v>2330.9797323657926</v>
      </c>
      <c r="AA766" s="9">
        <f t="shared" si="143"/>
        <v>512.64</v>
      </c>
      <c r="AB766" s="10">
        <v>512.63</v>
      </c>
      <c r="AC766" s="11">
        <f t="shared" si="144"/>
        <v>131442.3154222944</v>
      </c>
      <c r="AD766" s="12">
        <v>512.64</v>
      </c>
      <c r="AE766" s="13">
        <f t="shared" si="147"/>
        <v>0</v>
      </c>
    </row>
    <row r="767" spans="1:31">
      <c r="A767" s="6">
        <v>27</v>
      </c>
      <c r="B767" s="6">
        <v>20</v>
      </c>
      <c r="C767" s="6" t="str">
        <f t="shared" si="137"/>
        <v>652466500ALEATHER, HIDE TOP GRAIN, OBSIDIAN BLACK, NNB, BLA206738145331507.69</v>
      </c>
      <c r="D767" s="6" t="s">
        <v>389</v>
      </c>
      <c r="E767" s="6" t="s">
        <v>163</v>
      </c>
      <c r="F767" s="6"/>
      <c r="G767" s="7" t="s">
        <v>141</v>
      </c>
      <c r="H767" s="7"/>
      <c r="I767" s="7"/>
      <c r="J767" s="7"/>
      <c r="K767" s="7"/>
      <c r="L767" s="7">
        <v>2067381</v>
      </c>
      <c r="M767" s="22">
        <v>45331</v>
      </c>
      <c r="N767" s="8" t="s">
        <v>180</v>
      </c>
      <c r="O767" s="8" t="s">
        <v>383</v>
      </c>
      <c r="P767" s="7">
        <v>507.69</v>
      </c>
      <c r="Q767" s="7">
        <v>1183414.33</v>
      </c>
      <c r="R767" s="7">
        <v>41071200</v>
      </c>
      <c r="S767" s="7">
        <v>10</v>
      </c>
      <c r="T767" s="7" t="s">
        <v>261</v>
      </c>
      <c r="U767" s="7" t="s">
        <v>178</v>
      </c>
      <c r="V767" s="6">
        <f t="shared" si="138"/>
        <v>118341.43300000002</v>
      </c>
      <c r="W767" s="6">
        <f t="shared" si="139"/>
        <v>11834.143300000003</v>
      </c>
      <c r="X767" s="6">
        <f t="shared" si="140"/>
        <v>130175.57630000002</v>
      </c>
      <c r="Y767" s="6">
        <f t="shared" si="141"/>
        <v>256.40760365577421</v>
      </c>
      <c r="Z767" s="6">
        <f t="shared" si="142"/>
        <v>2330.9782150524929</v>
      </c>
      <c r="AA767" s="9">
        <f t="shared" si="143"/>
        <v>507.69</v>
      </c>
      <c r="AB767" s="10">
        <v>507.69</v>
      </c>
      <c r="AC767" s="11">
        <f t="shared" si="144"/>
        <v>130175.57630000002</v>
      </c>
      <c r="AD767" s="12">
        <v>507.69</v>
      </c>
      <c r="AE767" s="13">
        <f t="shared" si="147"/>
        <v>0</v>
      </c>
    </row>
    <row r="768" spans="1:31">
      <c r="A768" s="6">
        <v>27</v>
      </c>
      <c r="B768" s="6">
        <v>21</v>
      </c>
      <c r="C768" s="6" t="str">
        <f t="shared" si="137"/>
        <v>652466500ALEATHER, HIDE TOP GRAIN, OBSIDIAN BLACK, NNB, BLA206738145331530.05</v>
      </c>
      <c r="D768" s="6" t="s">
        <v>389</v>
      </c>
      <c r="E768" s="6" t="s">
        <v>163</v>
      </c>
      <c r="F768" s="6"/>
      <c r="G768" s="7" t="s">
        <v>141</v>
      </c>
      <c r="H768" s="7"/>
      <c r="I768" s="7"/>
      <c r="J768" s="7"/>
      <c r="K768" s="7"/>
      <c r="L768" s="7">
        <v>2067381</v>
      </c>
      <c r="M768" s="22">
        <v>45331</v>
      </c>
      <c r="N768" s="8" t="s">
        <v>180</v>
      </c>
      <c r="O768" s="8" t="s">
        <v>383</v>
      </c>
      <c r="P768" s="7">
        <v>530.04999999999995</v>
      </c>
      <c r="Q768" s="7">
        <v>1235535.47</v>
      </c>
      <c r="R768" s="7">
        <v>41071200</v>
      </c>
      <c r="S768" s="7">
        <v>10</v>
      </c>
      <c r="T768" s="7" t="s">
        <v>261</v>
      </c>
      <c r="U768" s="7" t="s">
        <v>178</v>
      </c>
      <c r="V768" s="6">
        <f t="shared" si="138"/>
        <v>123553.54700000001</v>
      </c>
      <c r="W768" s="6">
        <f t="shared" si="139"/>
        <v>12355.354700000002</v>
      </c>
      <c r="X768" s="6">
        <f t="shared" si="140"/>
        <v>135908.90170000002</v>
      </c>
      <c r="Y768" s="6">
        <f t="shared" si="141"/>
        <v>256.4077005942836</v>
      </c>
      <c r="Z768" s="6">
        <f t="shared" si="142"/>
        <v>2330.9790963116689</v>
      </c>
      <c r="AA768" s="9">
        <f t="shared" si="143"/>
        <v>530.04999999999995</v>
      </c>
      <c r="AB768" s="10">
        <v>276</v>
      </c>
      <c r="AC768" s="11">
        <f t="shared" si="144"/>
        <v>70768.525364022265</v>
      </c>
      <c r="AD768" s="12">
        <v>530.04999999999995</v>
      </c>
      <c r="AE768" s="13">
        <f t="shared" si="147"/>
        <v>0</v>
      </c>
    </row>
    <row r="769" spans="1:31">
      <c r="A769" s="6">
        <v>27</v>
      </c>
      <c r="B769" s="6">
        <v>22</v>
      </c>
      <c r="C769" s="6" t="str">
        <f t="shared" si="137"/>
        <v>608067201ANUT, ISO, M5 351094044894800000</v>
      </c>
      <c r="D769" s="6" t="s">
        <v>389</v>
      </c>
      <c r="E769" s="6" t="s">
        <v>164</v>
      </c>
      <c r="F769" s="6"/>
      <c r="G769" s="7" t="s">
        <v>142</v>
      </c>
      <c r="H769" s="7"/>
      <c r="I769" s="7"/>
      <c r="J769" s="7"/>
      <c r="K769" s="7"/>
      <c r="L769" s="7">
        <v>3510940</v>
      </c>
      <c r="M769" s="22">
        <v>44894</v>
      </c>
      <c r="N769" s="8" t="s">
        <v>189</v>
      </c>
      <c r="O769" s="8" t="s">
        <v>332</v>
      </c>
      <c r="P769" s="7">
        <v>800000</v>
      </c>
      <c r="Q769" s="7">
        <v>1498489.13</v>
      </c>
      <c r="R769" s="7">
        <v>87089500</v>
      </c>
      <c r="S769" s="7">
        <v>15</v>
      </c>
      <c r="T769" s="7" t="s">
        <v>183</v>
      </c>
      <c r="U769" s="7" t="s">
        <v>178</v>
      </c>
      <c r="V769" s="6">
        <f t="shared" si="138"/>
        <v>224773.36949999997</v>
      </c>
      <c r="W769" s="6">
        <f t="shared" si="139"/>
        <v>22477.336949999997</v>
      </c>
      <c r="X769" s="6">
        <f t="shared" si="140"/>
        <v>247250.70644999997</v>
      </c>
      <c r="Y769" s="6">
        <f t="shared" si="141"/>
        <v>0.30906338306249997</v>
      </c>
      <c r="Z769" s="6">
        <f t="shared" si="142"/>
        <v>1.8731114124999999</v>
      </c>
      <c r="AA769" s="9">
        <f t="shared" si="143"/>
        <v>800000</v>
      </c>
      <c r="AB769" s="10">
        <v>1920</v>
      </c>
      <c r="AC769" s="11">
        <f t="shared" si="144"/>
        <v>593.40169547999994</v>
      </c>
      <c r="AD769" s="12">
        <f>SUMIF($C$2:$C$2284,C769,$AB$2:$AB$2284)</f>
        <v>70960</v>
      </c>
      <c r="AE769" s="13">
        <f t="shared" si="147"/>
        <v>729040</v>
      </c>
    </row>
    <row r="770" spans="1:31">
      <c r="A770" s="6">
        <v>27</v>
      </c>
      <c r="B770" s="6">
        <v>23</v>
      </c>
      <c r="C770" s="6" t="str">
        <f t="shared" ref="C770:C833" si="148">E770&amp;G770&amp;L770&amp;M770&amp;P770</f>
        <v>644345600ASCREW, SELF-TAPPING, PLA PLASTIC, 3.0, CROSS20061294532860000</v>
      </c>
      <c r="D770" s="6" t="s">
        <v>389</v>
      </c>
      <c r="E770" s="6" t="s">
        <v>166</v>
      </c>
      <c r="F770" s="6"/>
      <c r="G770" s="7" t="s">
        <v>144</v>
      </c>
      <c r="H770" s="7"/>
      <c r="I770" s="7"/>
      <c r="J770" s="7"/>
      <c r="K770" s="7"/>
      <c r="L770" s="7">
        <v>2006129</v>
      </c>
      <c r="M770" s="22">
        <v>45328</v>
      </c>
      <c r="N770" s="8" t="s">
        <v>190</v>
      </c>
      <c r="O770" s="8" t="s">
        <v>333</v>
      </c>
      <c r="P770" s="7">
        <v>60000</v>
      </c>
      <c r="Q770" s="7">
        <v>45751.21</v>
      </c>
      <c r="R770" s="7">
        <v>87089500</v>
      </c>
      <c r="S770" s="7">
        <v>15</v>
      </c>
      <c r="T770" s="7" t="s">
        <v>191</v>
      </c>
      <c r="U770" s="7" t="s">
        <v>178</v>
      </c>
      <c r="V770" s="6">
        <f t="shared" ref="V770:V833" si="149">Q770*S770%</f>
        <v>6862.6814999999997</v>
      </c>
      <c r="W770" s="6">
        <f t="shared" ref="W770:W833" si="150">V770*0.1</f>
        <v>686.26814999999999</v>
      </c>
      <c r="X770" s="6">
        <f t="shared" ref="X770:X833" si="151">V770+W770</f>
        <v>7548.9496499999996</v>
      </c>
      <c r="Y770" s="6">
        <f t="shared" ref="Y770:Y833" si="152">X770/P770</f>
        <v>0.1258158275</v>
      </c>
      <c r="Z770" s="6">
        <f t="shared" ref="Z770:Z833" si="153">Q770/P770</f>
        <v>0.76252016666666667</v>
      </c>
      <c r="AA770" s="9">
        <f t="shared" ref="AA770:AA833" si="154">P770</f>
        <v>60000</v>
      </c>
      <c r="AB770" s="10">
        <v>24000</v>
      </c>
      <c r="AC770" s="11">
        <f t="shared" si="144"/>
        <v>3019.5798600000003</v>
      </c>
      <c r="AD770" s="12">
        <f>SUMIF($C$2:$C$2284,C770,$AB$2:$AB$2284)</f>
        <v>57196</v>
      </c>
      <c r="AE770" s="13">
        <f t="shared" si="147"/>
        <v>2804</v>
      </c>
    </row>
    <row r="771" spans="1:31">
      <c r="A771" s="6">
        <v>27</v>
      </c>
      <c r="B771" s="6">
        <v>24</v>
      </c>
      <c r="C771" s="6" t="str">
        <f t="shared" si="148"/>
        <v>628408700ASCREW, STANDARD, METRIC, M5, HEXALOBULAR INTERNAL49016644551035000</v>
      </c>
      <c r="D771" s="6" t="s">
        <v>389</v>
      </c>
      <c r="E771" s="6" t="s">
        <v>167</v>
      </c>
      <c r="F771" s="6"/>
      <c r="G771" s="7" t="s">
        <v>145</v>
      </c>
      <c r="H771" s="7"/>
      <c r="I771" s="7"/>
      <c r="J771" s="7"/>
      <c r="K771" s="7"/>
      <c r="L771" s="7">
        <v>4901664</v>
      </c>
      <c r="M771" s="22">
        <v>45510</v>
      </c>
      <c r="N771" s="8" t="s">
        <v>190</v>
      </c>
      <c r="O771" s="8" t="s">
        <v>333</v>
      </c>
      <c r="P771" s="7">
        <v>35000</v>
      </c>
      <c r="Q771" s="7">
        <v>187256.23</v>
      </c>
      <c r="R771" s="7">
        <v>87089400</v>
      </c>
      <c r="S771" s="7">
        <v>15</v>
      </c>
      <c r="T771" s="7" t="s">
        <v>367</v>
      </c>
      <c r="U771" s="7" t="s">
        <v>178</v>
      </c>
      <c r="V771" s="6">
        <f t="shared" si="149"/>
        <v>28088.434499999999</v>
      </c>
      <c r="W771" s="6">
        <f t="shared" si="150"/>
        <v>2808.8434500000003</v>
      </c>
      <c r="X771" s="6">
        <f t="shared" si="151"/>
        <v>30897.27795</v>
      </c>
      <c r="Y771" s="6">
        <f t="shared" si="152"/>
        <v>0.88277936999999995</v>
      </c>
      <c r="Z771" s="6">
        <f t="shared" si="153"/>
        <v>5.3501780000000005</v>
      </c>
      <c r="AA771" s="9">
        <f t="shared" si="154"/>
        <v>35000</v>
      </c>
      <c r="AB771" s="10">
        <v>26000</v>
      </c>
      <c r="AC771" s="11">
        <f t="shared" ref="AC771:AC834" si="155">AB771*Y771</f>
        <v>22952.263619999998</v>
      </c>
      <c r="AD771" s="12">
        <v>35000</v>
      </c>
      <c r="AE771" s="13">
        <f t="shared" si="147"/>
        <v>0</v>
      </c>
    </row>
    <row r="772" spans="1:31">
      <c r="A772" s="6">
        <v>27</v>
      </c>
      <c r="B772" s="6">
        <v>25</v>
      </c>
      <c r="C772" s="6" t="str">
        <f t="shared" si="148"/>
        <v>651409900ASCREW, STD METRIC M6 HEXALOBULAR INTERNAL, T427244014537430000</v>
      </c>
      <c r="D772" s="6" t="s">
        <v>389</v>
      </c>
      <c r="E772" s="6" t="s">
        <v>168</v>
      </c>
      <c r="F772" s="6"/>
      <c r="G772" s="7" t="s">
        <v>146</v>
      </c>
      <c r="H772" s="7"/>
      <c r="I772" s="7"/>
      <c r="J772" s="7"/>
      <c r="K772" s="7"/>
      <c r="L772" s="7">
        <v>2724401</v>
      </c>
      <c r="M772" s="22">
        <v>45374</v>
      </c>
      <c r="N772" s="8" t="s">
        <v>189</v>
      </c>
      <c r="O772" s="8" t="s">
        <v>333</v>
      </c>
      <c r="P772" s="7">
        <v>30000</v>
      </c>
      <c r="Q772" s="7">
        <v>98743.21</v>
      </c>
      <c r="R772" s="7">
        <v>87089500</v>
      </c>
      <c r="S772" s="7">
        <v>15</v>
      </c>
      <c r="T772" s="7" t="s">
        <v>191</v>
      </c>
      <c r="U772" s="7" t="s">
        <v>178</v>
      </c>
      <c r="V772" s="6">
        <f t="shared" si="149"/>
        <v>14811.4815</v>
      </c>
      <c r="W772" s="6">
        <f t="shared" si="150"/>
        <v>1481.14815</v>
      </c>
      <c r="X772" s="6">
        <f t="shared" si="151"/>
        <v>16292.629649999999</v>
      </c>
      <c r="Y772" s="6">
        <f t="shared" si="152"/>
        <v>0.543087655</v>
      </c>
      <c r="Z772" s="6">
        <f t="shared" si="153"/>
        <v>3.2914403333333335</v>
      </c>
      <c r="AA772" s="9">
        <f t="shared" si="154"/>
        <v>30000</v>
      </c>
      <c r="AB772" s="10">
        <v>24000</v>
      </c>
      <c r="AC772" s="11">
        <f t="shared" si="155"/>
        <v>13034.103719999999</v>
      </c>
      <c r="AD772" s="12">
        <v>30000</v>
      </c>
      <c r="AE772" s="13">
        <f t="shared" si="147"/>
        <v>0</v>
      </c>
    </row>
    <row r="773" spans="1:31">
      <c r="A773" s="6">
        <v>28</v>
      </c>
      <c r="B773" s="6">
        <v>1</v>
      </c>
      <c r="C773" s="6" t="str">
        <f t="shared" si="148"/>
        <v>655818900BACTUATOR VIBRATION MOTOR ASSY WITH BRACKET BC3 CU60277404557414400</v>
      </c>
      <c r="D773" s="6" t="s">
        <v>399</v>
      </c>
      <c r="E773" s="6" t="s">
        <v>156</v>
      </c>
      <c r="F773" s="6"/>
      <c r="G773" s="7" t="s">
        <v>133</v>
      </c>
      <c r="H773" s="7"/>
      <c r="I773" s="7"/>
      <c r="J773" s="7"/>
      <c r="K773" s="7"/>
      <c r="L773" s="7">
        <v>6027740</v>
      </c>
      <c r="M773" s="22">
        <v>45574</v>
      </c>
      <c r="N773" s="8" t="s">
        <v>189</v>
      </c>
      <c r="O773" s="8" t="s">
        <v>333</v>
      </c>
      <c r="P773" s="7">
        <v>14400</v>
      </c>
      <c r="Q773" s="7">
        <v>4860545.5199999996</v>
      </c>
      <c r="R773" s="7">
        <v>87089400</v>
      </c>
      <c r="S773" s="7">
        <v>15</v>
      </c>
      <c r="T773" s="7" t="s">
        <v>376</v>
      </c>
      <c r="U773" s="7" t="s">
        <v>178</v>
      </c>
      <c r="V773" s="6">
        <f t="shared" si="149"/>
        <v>729081.82799999986</v>
      </c>
      <c r="W773" s="6">
        <f t="shared" si="150"/>
        <v>72908.182799999995</v>
      </c>
      <c r="X773" s="6">
        <f t="shared" si="151"/>
        <v>801990.01079999981</v>
      </c>
      <c r="Y773" s="6">
        <f t="shared" si="152"/>
        <v>55.693750749999985</v>
      </c>
      <c r="Z773" s="6">
        <f t="shared" si="153"/>
        <v>337.5378833333333</v>
      </c>
      <c r="AA773" s="9">
        <f t="shared" si="154"/>
        <v>14400</v>
      </c>
      <c r="AB773" s="10">
        <v>10529</v>
      </c>
      <c r="AC773" s="11">
        <f t="shared" si="155"/>
        <v>586399.50164674979</v>
      </c>
      <c r="AD773" s="12">
        <f t="shared" ref="AD773:AD803" si="156">SUMIF($C$2:$C$2284,C773,$AB$2:$AB$2284)</f>
        <v>13348</v>
      </c>
      <c r="AE773" s="13">
        <f t="shared" si="147"/>
        <v>1052</v>
      </c>
    </row>
    <row r="774" spans="1:31">
      <c r="A774" s="6">
        <v>28</v>
      </c>
      <c r="B774" s="6">
        <v>2</v>
      </c>
      <c r="C774" s="6" t="str">
        <f t="shared" si="148"/>
        <v>655931500AARMATURE, MONOBLOCK ASW4, HYUNDAI BC3-CUV6643339451073240</v>
      </c>
      <c r="D774" s="6" t="s">
        <v>399</v>
      </c>
      <c r="E774" s="6" t="s">
        <v>157</v>
      </c>
      <c r="F774" s="6"/>
      <c r="G774" s="7" t="s">
        <v>134</v>
      </c>
      <c r="H774" s="7"/>
      <c r="I774" s="7"/>
      <c r="J774" s="7"/>
      <c r="K774" s="7"/>
      <c r="L774" s="7">
        <v>6643339</v>
      </c>
      <c r="M774" s="22">
        <v>45107</v>
      </c>
      <c r="N774" s="8" t="s">
        <v>184</v>
      </c>
      <c r="O774" s="8" t="s">
        <v>332</v>
      </c>
      <c r="P774" s="7">
        <v>3240</v>
      </c>
      <c r="Q774" s="7">
        <v>1332963.92</v>
      </c>
      <c r="R774" s="7">
        <v>87089400</v>
      </c>
      <c r="S774" s="7">
        <v>15</v>
      </c>
      <c r="T774" s="7" t="s">
        <v>186</v>
      </c>
      <c r="U774" s="7" t="s">
        <v>178</v>
      </c>
      <c r="V774" s="6">
        <f t="shared" si="149"/>
        <v>199944.58799999999</v>
      </c>
      <c r="W774" s="6">
        <f t="shared" si="150"/>
        <v>19994.4588</v>
      </c>
      <c r="X774" s="6">
        <f t="shared" si="151"/>
        <v>219939.04679999998</v>
      </c>
      <c r="Y774" s="6">
        <f t="shared" si="152"/>
        <v>67.882421851851845</v>
      </c>
      <c r="Z774" s="6">
        <f t="shared" si="153"/>
        <v>411.4086172839506</v>
      </c>
      <c r="AA774" s="9">
        <f t="shared" si="154"/>
        <v>3240</v>
      </c>
      <c r="AB774" s="10">
        <v>3240</v>
      </c>
      <c r="AC774" s="11">
        <f t="shared" si="155"/>
        <v>219939.04679999998</v>
      </c>
      <c r="AD774" s="12">
        <f t="shared" si="156"/>
        <v>3240</v>
      </c>
      <c r="AE774" s="13">
        <f t="shared" si="147"/>
        <v>0</v>
      </c>
    </row>
    <row r="775" spans="1:31" ht="30">
      <c r="A775" s="6">
        <v>28</v>
      </c>
      <c r="B775" s="6">
        <v>3</v>
      </c>
      <c r="C775" s="6" t="str">
        <f t="shared" si="148"/>
        <v>655931500AARMATURE, MONOBLOCK ASW4, HYUNDAI BC3-CUV458438145492810</v>
      </c>
      <c r="D775" s="6" t="s">
        <v>399</v>
      </c>
      <c r="E775" s="6" t="s">
        <v>157</v>
      </c>
      <c r="F775" s="6"/>
      <c r="G775" s="7" t="s">
        <v>134</v>
      </c>
      <c r="H775" s="7"/>
      <c r="I775" s="7"/>
      <c r="J775" s="7"/>
      <c r="K775" s="7"/>
      <c r="L775" s="7">
        <v>4584381</v>
      </c>
      <c r="M775" s="22">
        <v>45492</v>
      </c>
      <c r="N775" s="8" t="s">
        <v>185</v>
      </c>
      <c r="O775" s="8" t="s">
        <v>332</v>
      </c>
      <c r="P775" s="7">
        <v>810</v>
      </c>
      <c r="Q775" s="7">
        <v>323024.90999999997</v>
      </c>
      <c r="R775" s="7">
        <v>87089400</v>
      </c>
      <c r="S775" s="7">
        <v>15</v>
      </c>
      <c r="T775" s="7" t="s">
        <v>194</v>
      </c>
      <c r="U775" s="7" t="s">
        <v>178</v>
      </c>
      <c r="V775" s="6">
        <f t="shared" si="149"/>
        <v>48453.736499999992</v>
      </c>
      <c r="W775" s="6">
        <f t="shared" si="150"/>
        <v>4845.3736499999995</v>
      </c>
      <c r="X775" s="6">
        <f t="shared" si="151"/>
        <v>53299.110149999993</v>
      </c>
      <c r="Y775" s="6">
        <f t="shared" si="152"/>
        <v>65.80137055555555</v>
      </c>
      <c r="Z775" s="6">
        <f t="shared" si="153"/>
        <v>398.79618518518515</v>
      </c>
      <c r="AA775" s="9">
        <f t="shared" si="154"/>
        <v>810</v>
      </c>
      <c r="AB775" s="10">
        <v>810</v>
      </c>
      <c r="AC775" s="11">
        <f t="shared" si="155"/>
        <v>53299.110149999993</v>
      </c>
      <c r="AD775" s="12">
        <f t="shared" si="156"/>
        <v>810</v>
      </c>
      <c r="AE775" s="13">
        <f t="shared" si="147"/>
        <v>0</v>
      </c>
    </row>
    <row r="776" spans="1:31" ht="30">
      <c r="A776" s="6">
        <v>28</v>
      </c>
      <c r="B776" s="6">
        <v>4</v>
      </c>
      <c r="C776" s="6" t="str">
        <f t="shared" si="148"/>
        <v>655931500AARMATURE, MONOBLOCK ASW4, HYUNDAI BC3-CUV486826745507324</v>
      </c>
      <c r="D776" s="6" t="s">
        <v>399</v>
      </c>
      <c r="E776" s="6" t="s">
        <v>157</v>
      </c>
      <c r="F776" s="6"/>
      <c r="G776" s="7" t="s">
        <v>134</v>
      </c>
      <c r="H776" s="7"/>
      <c r="I776" s="7"/>
      <c r="J776" s="7"/>
      <c r="K776" s="7"/>
      <c r="L776" s="7">
        <v>4868267</v>
      </c>
      <c r="M776" s="22">
        <v>45507</v>
      </c>
      <c r="N776" s="8" t="s">
        <v>185</v>
      </c>
      <c r="O776" s="8" t="s">
        <v>332</v>
      </c>
      <c r="P776" s="7">
        <v>324</v>
      </c>
      <c r="Q776" s="7">
        <v>141438.22</v>
      </c>
      <c r="R776" s="7">
        <v>87089400</v>
      </c>
      <c r="S776" s="7">
        <v>15</v>
      </c>
      <c r="T776" s="7" t="s">
        <v>194</v>
      </c>
      <c r="U776" s="7" t="s">
        <v>178</v>
      </c>
      <c r="V776" s="6">
        <f t="shared" si="149"/>
        <v>21215.733</v>
      </c>
      <c r="W776" s="6">
        <f t="shared" si="150"/>
        <v>2121.5733</v>
      </c>
      <c r="X776" s="6">
        <f t="shared" si="151"/>
        <v>23337.3063</v>
      </c>
      <c r="Y776" s="6">
        <f t="shared" si="152"/>
        <v>72.028723148148146</v>
      </c>
      <c r="Z776" s="6">
        <f t="shared" si="153"/>
        <v>436.53771604938271</v>
      </c>
      <c r="AA776" s="9">
        <f t="shared" si="154"/>
        <v>324</v>
      </c>
      <c r="AB776" s="10">
        <v>324</v>
      </c>
      <c r="AC776" s="11">
        <f t="shared" si="155"/>
        <v>23337.3063</v>
      </c>
      <c r="AD776" s="12">
        <f t="shared" si="156"/>
        <v>324</v>
      </c>
      <c r="AE776" s="13">
        <f t="shared" si="147"/>
        <v>0</v>
      </c>
    </row>
    <row r="777" spans="1:31" ht="30">
      <c r="A777" s="6">
        <v>28</v>
      </c>
      <c r="B777" s="6">
        <v>5</v>
      </c>
      <c r="C777" s="6" t="str">
        <f t="shared" si="148"/>
        <v>655931500AARMATURE, MONOBLOCK ASW4, HYUNDAI BC3-CUV5124358455233552</v>
      </c>
      <c r="D777" s="6" t="s">
        <v>399</v>
      </c>
      <c r="E777" s="6" t="s">
        <v>157</v>
      </c>
      <c r="F777" s="6"/>
      <c r="G777" s="7" t="s">
        <v>134</v>
      </c>
      <c r="H777" s="7"/>
      <c r="I777" s="7"/>
      <c r="J777" s="7"/>
      <c r="K777" s="7"/>
      <c r="L777" s="7">
        <v>5124358</v>
      </c>
      <c r="M777" s="22">
        <v>45523</v>
      </c>
      <c r="N777" s="8" t="s">
        <v>185</v>
      </c>
      <c r="O777" s="8" t="s">
        <v>332</v>
      </c>
      <c r="P777" s="7">
        <v>3552</v>
      </c>
      <c r="Q777" s="7">
        <v>1585184.62</v>
      </c>
      <c r="R777" s="7">
        <v>87089400</v>
      </c>
      <c r="S777" s="7">
        <v>15</v>
      </c>
      <c r="T777" s="7" t="s">
        <v>194</v>
      </c>
      <c r="U777" s="7" t="s">
        <v>178</v>
      </c>
      <c r="V777" s="6">
        <f t="shared" si="149"/>
        <v>237777.693</v>
      </c>
      <c r="W777" s="6">
        <f t="shared" si="150"/>
        <v>23777.7693</v>
      </c>
      <c r="X777" s="6">
        <f t="shared" si="151"/>
        <v>261555.46230000001</v>
      </c>
      <c r="Y777" s="6">
        <f t="shared" si="152"/>
        <v>73.636109881756767</v>
      </c>
      <c r="Z777" s="6">
        <f t="shared" si="153"/>
        <v>446.27945382882888</v>
      </c>
      <c r="AA777" s="9">
        <f t="shared" si="154"/>
        <v>3552</v>
      </c>
      <c r="AB777" s="10">
        <v>3552</v>
      </c>
      <c r="AC777" s="11">
        <f t="shared" si="155"/>
        <v>261555.46230000004</v>
      </c>
      <c r="AD777" s="12">
        <f t="shared" si="156"/>
        <v>3552</v>
      </c>
      <c r="AE777" s="13">
        <f t="shared" si="147"/>
        <v>0</v>
      </c>
    </row>
    <row r="778" spans="1:31" ht="30">
      <c r="A778" s="6">
        <v>28</v>
      </c>
      <c r="B778" s="6">
        <v>6</v>
      </c>
      <c r="C778" s="6" t="str">
        <f t="shared" si="148"/>
        <v>655931500AARMATURE, MONOBLOCK ASW4, HYUNDAI BC3-CUV512589045523800</v>
      </c>
      <c r="D778" s="6" t="s">
        <v>399</v>
      </c>
      <c r="E778" s="6" t="s">
        <v>157</v>
      </c>
      <c r="F778" s="6"/>
      <c r="G778" s="7" t="s">
        <v>134</v>
      </c>
      <c r="H778" s="7"/>
      <c r="I778" s="7"/>
      <c r="J778" s="7"/>
      <c r="K778" s="7"/>
      <c r="L778" s="7">
        <v>5125890</v>
      </c>
      <c r="M778" s="22">
        <v>45523</v>
      </c>
      <c r="N778" s="8" t="s">
        <v>185</v>
      </c>
      <c r="O778" s="8" t="s">
        <v>332</v>
      </c>
      <c r="P778" s="7">
        <v>800</v>
      </c>
      <c r="Q778" s="7">
        <v>357313.53</v>
      </c>
      <c r="R778" s="7">
        <v>87089400</v>
      </c>
      <c r="S778" s="7">
        <v>15</v>
      </c>
      <c r="T778" s="7" t="s">
        <v>194</v>
      </c>
      <c r="U778" s="7" t="s">
        <v>178</v>
      </c>
      <c r="V778" s="6">
        <f t="shared" si="149"/>
        <v>53597.029500000004</v>
      </c>
      <c r="W778" s="6">
        <f t="shared" si="150"/>
        <v>5359.7029500000008</v>
      </c>
      <c r="X778" s="6">
        <f t="shared" si="151"/>
        <v>58956.732450000003</v>
      </c>
      <c r="Y778" s="6">
        <f t="shared" si="152"/>
        <v>73.695915562500005</v>
      </c>
      <c r="Z778" s="6">
        <f t="shared" si="153"/>
        <v>446.64191250000005</v>
      </c>
      <c r="AA778" s="9">
        <f t="shared" si="154"/>
        <v>800</v>
      </c>
      <c r="AB778" s="10">
        <v>800</v>
      </c>
      <c r="AC778" s="11">
        <f t="shared" si="155"/>
        <v>58956.732450000003</v>
      </c>
      <c r="AD778" s="12">
        <f t="shared" si="156"/>
        <v>800</v>
      </c>
      <c r="AE778" s="13">
        <f t="shared" si="147"/>
        <v>0</v>
      </c>
    </row>
    <row r="779" spans="1:31" ht="30">
      <c r="A779" s="6">
        <v>28</v>
      </c>
      <c r="B779" s="6">
        <v>7</v>
      </c>
      <c r="C779" s="6" t="str">
        <f t="shared" si="148"/>
        <v>655931500AARMATURE, MONOBLOCK ASW4, HYUNDAI BC3-CUV5288271455321620</v>
      </c>
      <c r="D779" s="6" t="s">
        <v>399</v>
      </c>
      <c r="E779" s="6" t="s">
        <v>157</v>
      </c>
      <c r="F779" s="6"/>
      <c r="G779" s="7" t="s">
        <v>134</v>
      </c>
      <c r="H779" s="7"/>
      <c r="I779" s="7"/>
      <c r="J779" s="7"/>
      <c r="K779" s="7"/>
      <c r="L779" s="7">
        <v>5288271</v>
      </c>
      <c r="M779" s="22">
        <v>45532</v>
      </c>
      <c r="N779" s="8" t="s">
        <v>185</v>
      </c>
      <c r="O779" s="8" t="s">
        <v>332</v>
      </c>
      <c r="P779" s="7">
        <v>1620</v>
      </c>
      <c r="Q779" s="7">
        <v>723469.52</v>
      </c>
      <c r="R779" s="7">
        <v>87089400</v>
      </c>
      <c r="S779" s="7">
        <v>15</v>
      </c>
      <c r="T779" s="7" t="s">
        <v>377</v>
      </c>
      <c r="U779" s="7" t="s">
        <v>178</v>
      </c>
      <c r="V779" s="6">
        <f t="shared" si="149"/>
        <v>108520.428</v>
      </c>
      <c r="W779" s="6">
        <f t="shared" si="150"/>
        <v>10852.042800000001</v>
      </c>
      <c r="X779" s="6">
        <f t="shared" si="151"/>
        <v>119372.4708</v>
      </c>
      <c r="Y779" s="6">
        <f t="shared" si="152"/>
        <v>73.686710370370363</v>
      </c>
      <c r="Z779" s="6">
        <f t="shared" si="153"/>
        <v>446.58612345679012</v>
      </c>
      <c r="AA779" s="9">
        <f t="shared" si="154"/>
        <v>1620</v>
      </c>
      <c r="AB779" s="10">
        <v>1620</v>
      </c>
      <c r="AC779" s="11">
        <f t="shared" si="155"/>
        <v>119372.4708</v>
      </c>
      <c r="AD779" s="12">
        <f t="shared" si="156"/>
        <v>1620</v>
      </c>
      <c r="AE779" s="13">
        <f t="shared" si="147"/>
        <v>0</v>
      </c>
    </row>
    <row r="780" spans="1:31" ht="30">
      <c r="A780" s="6">
        <v>28</v>
      </c>
      <c r="B780" s="6">
        <v>8</v>
      </c>
      <c r="C780" s="6" t="str">
        <f t="shared" si="148"/>
        <v>655931500AARMATURE, MONOBLOCK ASW4, HYUNDAI BC3-CUV554122545546972</v>
      </c>
      <c r="D780" s="6" t="s">
        <v>399</v>
      </c>
      <c r="E780" s="6" t="s">
        <v>157</v>
      </c>
      <c r="F780" s="6"/>
      <c r="G780" s="7" t="s">
        <v>134</v>
      </c>
      <c r="H780" s="7"/>
      <c r="I780" s="7"/>
      <c r="J780" s="7"/>
      <c r="K780" s="7"/>
      <c r="L780" s="7">
        <v>5541225</v>
      </c>
      <c r="M780" s="22">
        <v>45546</v>
      </c>
      <c r="N780" s="8" t="s">
        <v>185</v>
      </c>
      <c r="O780" s="8" t="s">
        <v>332</v>
      </c>
      <c r="P780" s="7">
        <v>972</v>
      </c>
      <c r="Q780" s="7">
        <v>399269.36</v>
      </c>
      <c r="R780" s="7">
        <v>87089400</v>
      </c>
      <c r="S780" s="7">
        <v>15</v>
      </c>
      <c r="T780" s="7" t="s">
        <v>377</v>
      </c>
      <c r="U780" s="7" t="s">
        <v>178</v>
      </c>
      <c r="V780" s="6">
        <f t="shared" si="149"/>
        <v>59890.403999999995</v>
      </c>
      <c r="W780" s="6">
        <f t="shared" si="150"/>
        <v>5989.0403999999999</v>
      </c>
      <c r="X780" s="6">
        <f t="shared" si="151"/>
        <v>65879.444399999993</v>
      </c>
      <c r="Y780" s="6">
        <f t="shared" si="152"/>
        <v>67.777206172839499</v>
      </c>
      <c r="Z780" s="6">
        <f t="shared" si="153"/>
        <v>410.7709465020576</v>
      </c>
      <c r="AA780" s="9">
        <f t="shared" si="154"/>
        <v>972</v>
      </c>
      <c r="AB780" s="10">
        <v>183</v>
      </c>
      <c r="AC780" s="11">
        <f t="shared" si="155"/>
        <v>12403.228729629629</v>
      </c>
      <c r="AD780" s="12">
        <f t="shared" si="156"/>
        <v>183</v>
      </c>
      <c r="AE780" s="13">
        <f t="shared" si="147"/>
        <v>789</v>
      </c>
    </row>
    <row r="781" spans="1:31">
      <c r="A781" s="6">
        <v>28</v>
      </c>
      <c r="B781" s="6">
        <v>9</v>
      </c>
      <c r="C781" s="6" t="str">
        <f t="shared" si="148"/>
        <v>651015100AARMATURE, MONOBLOCK, ASW4, HYUNDAI BC34646728449721782</v>
      </c>
      <c r="D781" s="6" t="s">
        <v>399</v>
      </c>
      <c r="E781" s="6" t="s">
        <v>158</v>
      </c>
      <c r="F781" s="6"/>
      <c r="G781" s="7" t="s">
        <v>135</v>
      </c>
      <c r="H781" s="7"/>
      <c r="I781" s="7"/>
      <c r="J781" s="7"/>
      <c r="K781" s="7"/>
      <c r="L781" s="7">
        <v>4646728</v>
      </c>
      <c r="M781" s="22">
        <v>44972</v>
      </c>
      <c r="N781" s="8" t="s">
        <v>184</v>
      </c>
      <c r="O781" s="8" t="s">
        <v>332</v>
      </c>
      <c r="P781" s="7">
        <v>1782</v>
      </c>
      <c r="Q781" s="7">
        <v>905743.22</v>
      </c>
      <c r="R781" s="7">
        <v>87089400</v>
      </c>
      <c r="S781" s="7">
        <v>15</v>
      </c>
      <c r="T781" s="7" t="s">
        <v>186</v>
      </c>
      <c r="U781" s="7" t="s">
        <v>178</v>
      </c>
      <c r="V781" s="6">
        <f t="shared" si="149"/>
        <v>135861.48299999998</v>
      </c>
      <c r="W781" s="6">
        <f t="shared" si="150"/>
        <v>13586.148299999999</v>
      </c>
      <c r="X781" s="6">
        <f t="shared" si="151"/>
        <v>149447.63129999998</v>
      </c>
      <c r="Y781" s="6">
        <f t="shared" si="152"/>
        <v>83.865112962962954</v>
      </c>
      <c r="Z781" s="6">
        <f t="shared" si="153"/>
        <v>508.27341189674519</v>
      </c>
      <c r="AA781" s="9">
        <f t="shared" si="154"/>
        <v>1782</v>
      </c>
      <c r="AB781" s="10">
        <v>271</v>
      </c>
      <c r="AC781" s="11">
        <f t="shared" si="155"/>
        <v>22727.445612962962</v>
      </c>
      <c r="AD781" s="12">
        <f t="shared" si="156"/>
        <v>1632</v>
      </c>
      <c r="AE781" s="13">
        <f t="shared" si="147"/>
        <v>150</v>
      </c>
    </row>
    <row r="782" spans="1:31">
      <c r="A782" s="6">
        <v>28</v>
      </c>
      <c r="B782" s="6">
        <v>10</v>
      </c>
      <c r="C782" s="6" t="str">
        <f t="shared" si="148"/>
        <v>650557200GCUSHION, FOLDED, C AND S HONDA 2JX4224220454712160</v>
      </c>
      <c r="D782" s="6" t="s">
        <v>399</v>
      </c>
      <c r="E782" s="6" t="s">
        <v>159</v>
      </c>
      <c r="F782" s="6"/>
      <c r="G782" s="7" t="s">
        <v>136</v>
      </c>
      <c r="H782" s="7"/>
      <c r="I782" s="7"/>
      <c r="J782" s="7"/>
      <c r="K782" s="7"/>
      <c r="L782" s="7">
        <v>4224220</v>
      </c>
      <c r="M782" s="22">
        <v>45471</v>
      </c>
      <c r="N782" s="8" t="s">
        <v>182</v>
      </c>
      <c r="O782" s="8" t="s">
        <v>332</v>
      </c>
      <c r="P782" s="7">
        <v>2160</v>
      </c>
      <c r="Q782" s="7">
        <v>2625234.39</v>
      </c>
      <c r="R782" s="7">
        <v>87089500</v>
      </c>
      <c r="S782" s="7">
        <v>5</v>
      </c>
      <c r="T782" s="7" t="s">
        <v>385</v>
      </c>
      <c r="U782" s="7" t="s">
        <v>178</v>
      </c>
      <c r="V782" s="6">
        <f t="shared" si="149"/>
        <v>131261.71950000001</v>
      </c>
      <c r="W782" s="6">
        <f t="shared" si="150"/>
        <v>13126.171950000002</v>
      </c>
      <c r="X782" s="6">
        <f t="shared" si="151"/>
        <v>144387.89145</v>
      </c>
      <c r="Y782" s="6">
        <f t="shared" si="152"/>
        <v>66.84624604166666</v>
      </c>
      <c r="Z782" s="6">
        <f t="shared" si="153"/>
        <v>1215.3862916666667</v>
      </c>
      <c r="AA782" s="9">
        <f t="shared" si="154"/>
        <v>2160</v>
      </c>
      <c r="AB782" s="10">
        <v>480</v>
      </c>
      <c r="AC782" s="11">
        <f t="shared" si="155"/>
        <v>32086.198099999998</v>
      </c>
      <c r="AD782" s="12">
        <f t="shared" si="156"/>
        <v>1920</v>
      </c>
      <c r="AE782" s="13">
        <f t="shared" si="147"/>
        <v>240</v>
      </c>
    </row>
    <row r="783" spans="1:31">
      <c r="A783" s="6">
        <v>28</v>
      </c>
      <c r="B783" s="6">
        <v>11</v>
      </c>
      <c r="C783" s="6" t="str">
        <f t="shared" si="148"/>
        <v>651015300BELEMENT, HEATER, HYBRID 8847092452502100</v>
      </c>
      <c r="D783" s="6" t="s">
        <v>399</v>
      </c>
      <c r="E783" s="6" t="s">
        <v>155</v>
      </c>
      <c r="F783" s="6"/>
      <c r="G783" s="7" t="s">
        <v>137</v>
      </c>
      <c r="H783" s="7"/>
      <c r="I783" s="7"/>
      <c r="J783" s="7"/>
      <c r="K783" s="7"/>
      <c r="L783" s="7">
        <v>8847092</v>
      </c>
      <c r="M783" s="22">
        <v>45250</v>
      </c>
      <c r="N783" s="8" t="s">
        <v>180</v>
      </c>
      <c r="O783" s="8" t="s">
        <v>332</v>
      </c>
      <c r="P783" s="7">
        <v>2100</v>
      </c>
      <c r="Q783" s="7">
        <v>1327136.24</v>
      </c>
      <c r="R783" s="7">
        <v>87089900</v>
      </c>
      <c r="S783" s="7">
        <v>15</v>
      </c>
      <c r="T783" s="7" t="s">
        <v>276</v>
      </c>
      <c r="U783" s="7" t="s">
        <v>178</v>
      </c>
      <c r="V783" s="6">
        <f t="shared" si="149"/>
        <v>199070.43599999999</v>
      </c>
      <c r="W783" s="6">
        <f t="shared" si="150"/>
        <v>19907.043600000001</v>
      </c>
      <c r="X783" s="6">
        <f t="shared" si="151"/>
        <v>218977.47959999999</v>
      </c>
      <c r="Y783" s="6">
        <f t="shared" si="152"/>
        <v>104.27499028571428</v>
      </c>
      <c r="Z783" s="6">
        <f t="shared" si="153"/>
        <v>631.96963809523811</v>
      </c>
      <c r="AA783" s="9">
        <f t="shared" si="154"/>
        <v>2100</v>
      </c>
      <c r="AB783" s="10">
        <v>2100</v>
      </c>
      <c r="AC783" s="11">
        <f t="shared" si="155"/>
        <v>218977.47959999999</v>
      </c>
      <c r="AD783" s="12">
        <f t="shared" si="156"/>
        <v>2100</v>
      </c>
      <c r="AE783" s="13">
        <f t="shared" si="147"/>
        <v>0</v>
      </c>
    </row>
    <row r="784" spans="1:31">
      <c r="A784" s="6">
        <v>28</v>
      </c>
      <c r="B784" s="6">
        <v>12</v>
      </c>
      <c r="C784" s="6" t="str">
        <f t="shared" si="148"/>
        <v>651015300BELEMENT, HEATER, HYBRID 920192945273840</v>
      </c>
      <c r="D784" s="6" t="s">
        <v>399</v>
      </c>
      <c r="E784" s="6" t="s">
        <v>155</v>
      </c>
      <c r="F784" s="6"/>
      <c r="G784" s="7" t="s">
        <v>137</v>
      </c>
      <c r="H784" s="7"/>
      <c r="I784" s="7"/>
      <c r="J784" s="7"/>
      <c r="K784" s="7"/>
      <c r="L784" s="7">
        <v>9201929</v>
      </c>
      <c r="M784" s="22">
        <v>45273</v>
      </c>
      <c r="N784" s="8" t="s">
        <v>180</v>
      </c>
      <c r="O784" s="8" t="s">
        <v>332</v>
      </c>
      <c r="P784" s="7">
        <v>840</v>
      </c>
      <c r="Q784" s="7">
        <v>508939.18</v>
      </c>
      <c r="R784" s="7">
        <v>87089900</v>
      </c>
      <c r="S784" s="7">
        <v>15</v>
      </c>
      <c r="T784" s="7" t="s">
        <v>276</v>
      </c>
      <c r="U784" s="7" t="s">
        <v>178</v>
      </c>
      <c r="V784" s="6">
        <f t="shared" si="149"/>
        <v>76340.876999999993</v>
      </c>
      <c r="W784" s="6">
        <f t="shared" si="150"/>
        <v>7634.0877</v>
      </c>
      <c r="X784" s="6">
        <f t="shared" si="151"/>
        <v>83974.964699999997</v>
      </c>
      <c r="Y784" s="6">
        <f t="shared" si="152"/>
        <v>99.970196071428575</v>
      </c>
      <c r="Z784" s="6">
        <f t="shared" si="153"/>
        <v>605.87997619047621</v>
      </c>
      <c r="AA784" s="9">
        <f t="shared" si="154"/>
        <v>840</v>
      </c>
      <c r="AB784" s="10">
        <v>533</v>
      </c>
      <c r="AC784" s="11">
        <f t="shared" si="155"/>
        <v>53284.114506071433</v>
      </c>
      <c r="AD784" s="12">
        <f t="shared" si="156"/>
        <v>533</v>
      </c>
      <c r="AE784" s="13">
        <f t="shared" si="147"/>
        <v>307</v>
      </c>
    </row>
    <row r="785" spans="1:31">
      <c r="A785" s="6">
        <v>28</v>
      </c>
      <c r="B785" s="6">
        <v>13</v>
      </c>
      <c r="C785" s="6" t="str">
        <f t="shared" si="148"/>
        <v>634240200AHORN CONTACT, CU 681124845118600000</v>
      </c>
      <c r="D785" s="6" t="s">
        <v>399</v>
      </c>
      <c r="E785" s="6" t="s">
        <v>160</v>
      </c>
      <c r="F785" s="6"/>
      <c r="G785" s="7" t="s">
        <v>138</v>
      </c>
      <c r="H785" s="7"/>
      <c r="I785" s="7"/>
      <c r="J785" s="7"/>
      <c r="K785" s="7"/>
      <c r="L785" s="7">
        <v>6811248</v>
      </c>
      <c r="M785" s="22">
        <v>45118</v>
      </c>
      <c r="N785" s="8" t="s">
        <v>189</v>
      </c>
      <c r="O785" s="8" t="s">
        <v>332</v>
      </c>
      <c r="P785" s="7">
        <v>600000</v>
      </c>
      <c r="Q785" s="7">
        <v>627311.64</v>
      </c>
      <c r="R785" s="7">
        <v>87089900</v>
      </c>
      <c r="S785" s="7">
        <v>15</v>
      </c>
      <c r="T785" s="7" t="s">
        <v>258</v>
      </c>
      <c r="U785" s="7" t="s">
        <v>178</v>
      </c>
      <c r="V785" s="6">
        <f t="shared" si="149"/>
        <v>94096.745999999999</v>
      </c>
      <c r="W785" s="6">
        <f t="shared" si="150"/>
        <v>9409.6746000000003</v>
      </c>
      <c r="X785" s="6">
        <f t="shared" si="151"/>
        <v>103506.4206</v>
      </c>
      <c r="Y785" s="6">
        <f t="shared" si="152"/>
        <v>0.17251070099999999</v>
      </c>
      <c r="Z785" s="6">
        <f t="shared" si="153"/>
        <v>1.0455194000000001</v>
      </c>
      <c r="AA785" s="9">
        <f t="shared" si="154"/>
        <v>600000</v>
      </c>
      <c r="AB785" s="10">
        <v>43200</v>
      </c>
      <c r="AC785" s="11">
        <f t="shared" si="155"/>
        <v>7452.4622831999995</v>
      </c>
      <c r="AD785" s="12">
        <f t="shared" si="156"/>
        <v>577364</v>
      </c>
      <c r="AE785" s="13">
        <f t="shared" si="147"/>
        <v>22636</v>
      </c>
    </row>
    <row r="786" spans="1:31" ht="30">
      <c r="A786" s="6">
        <v>28</v>
      </c>
      <c r="B786" s="6">
        <v>14</v>
      </c>
      <c r="C786" s="6" t="str">
        <f t="shared" si="148"/>
        <v>653052600AINFLATOR, APP-4.6, 2.2MO STANDARD_MIB, SQUARE_61X3935038454542592</v>
      </c>
      <c r="D786" s="6" t="s">
        <v>399</v>
      </c>
      <c r="E786" s="6" t="s">
        <v>161</v>
      </c>
      <c r="F786" s="6"/>
      <c r="G786" s="7" t="s">
        <v>139</v>
      </c>
      <c r="H786" s="7"/>
      <c r="I786" s="7"/>
      <c r="J786" s="7"/>
      <c r="K786" s="7"/>
      <c r="L786" s="7">
        <v>3935038</v>
      </c>
      <c r="M786" s="22">
        <v>45454</v>
      </c>
      <c r="N786" s="8" t="s">
        <v>185</v>
      </c>
      <c r="O786" s="8" t="s">
        <v>333</v>
      </c>
      <c r="P786" s="7">
        <v>2592</v>
      </c>
      <c r="Q786" s="7">
        <v>1278631.6299999999</v>
      </c>
      <c r="R786" s="7">
        <v>87089500</v>
      </c>
      <c r="S786" s="7">
        <v>15</v>
      </c>
      <c r="T786" s="7" t="s">
        <v>388</v>
      </c>
      <c r="U786" s="7" t="s">
        <v>200</v>
      </c>
      <c r="V786" s="6">
        <f t="shared" si="149"/>
        <v>191794.74449999997</v>
      </c>
      <c r="W786" s="6">
        <f t="shared" si="150"/>
        <v>19179.474449999998</v>
      </c>
      <c r="X786" s="6">
        <f t="shared" si="151"/>
        <v>210974.21894999998</v>
      </c>
      <c r="Y786" s="6">
        <f t="shared" si="152"/>
        <v>81.394374594907404</v>
      </c>
      <c r="Z786" s="6">
        <f t="shared" si="153"/>
        <v>493.29923996913578</v>
      </c>
      <c r="AA786" s="9">
        <f t="shared" si="154"/>
        <v>2592</v>
      </c>
      <c r="AB786" s="10">
        <v>480</v>
      </c>
      <c r="AC786" s="11">
        <f t="shared" si="155"/>
        <v>39069.299805555551</v>
      </c>
      <c r="AD786" s="12">
        <f t="shared" si="156"/>
        <v>960</v>
      </c>
      <c r="AE786" s="13">
        <f t="shared" si="147"/>
        <v>1632</v>
      </c>
    </row>
    <row r="787" spans="1:31">
      <c r="A787" s="6">
        <v>28</v>
      </c>
      <c r="B787" s="6">
        <v>15</v>
      </c>
      <c r="C787" s="6" t="str">
        <f t="shared" si="148"/>
        <v>630580800ALABEL, RAW MATERIAL, BLA K12 TPC BUCKLE5160585449362400000</v>
      </c>
      <c r="D787" s="6" t="s">
        <v>399</v>
      </c>
      <c r="E787" s="6" t="s">
        <v>71</v>
      </c>
      <c r="F787" s="6"/>
      <c r="G787" s="7" t="s">
        <v>31</v>
      </c>
      <c r="H787" s="7"/>
      <c r="I787" s="7"/>
      <c r="J787" s="7"/>
      <c r="K787" s="7"/>
      <c r="L787" s="7">
        <v>5160585</v>
      </c>
      <c r="M787" s="22">
        <v>44936</v>
      </c>
      <c r="N787" s="8" t="s">
        <v>196</v>
      </c>
      <c r="O787" s="8" t="s">
        <v>333</v>
      </c>
      <c r="P787" s="7">
        <v>2400000</v>
      </c>
      <c r="Q787" s="7">
        <v>86522.34</v>
      </c>
      <c r="R787" s="7">
        <v>87082900</v>
      </c>
      <c r="S787" s="7">
        <v>15</v>
      </c>
      <c r="T787" s="7" t="s">
        <v>265</v>
      </c>
      <c r="U787" s="7" t="s">
        <v>178</v>
      </c>
      <c r="V787" s="6">
        <f t="shared" si="149"/>
        <v>12978.350999999999</v>
      </c>
      <c r="W787" s="6">
        <f t="shared" si="150"/>
        <v>1297.8351</v>
      </c>
      <c r="X787" s="6">
        <f t="shared" si="151"/>
        <v>14276.186099999999</v>
      </c>
      <c r="Y787" s="6">
        <f t="shared" si="152"/>
        <v>5.9484108749999999E-3</v>
      </c>
      <c r="Z787" s="6">
        <f t="shared" si="153"/>
        <v>3.6050974999999999E-2</v>
      </c>
      <c r="AA787" s="9">
        <f t="shared" si="154"/>
        <v>2400000</v>
      </c>
      <c r="AB787" s="10">
        <v>10800</v>
      </c>
      <c r="AC787" s="11">
        <f t="shared" si="155"/>
        <v>64.242837449999996</v>
      </c>
      <c r="AD787" s="12">
        <f t="shared" si="156"/>
        <v>548546</v>
      </c>
      <c r="AE787" s="13">
        <f t="shared" si="147"/>
        <v>1851454</v>
      </c>
    </row>
    <row r="788" spans="1:31">
      <c r="A788" s="6">
        <v>28</v>
      </c>
      <c r="B788" s="6">
        <v>16</v>
      </c>
      <c r="C788" s="6" t="str">
        <f t="shared" si="148"/>
        <v>656011400ALEATHER, HIDE TOP GRAIN, GREY, FOSSIL GREY, T9Y,941830645287540.69</v>
      </c>
      <c r="D788" s="6" t="s">
        <v>399</v>
      </c>
      <c r="E788" s="6" t="s">
        <v>162</v>
      </c>
      <c r="F788" s="6"/>
      <c r="G788" s="7" t="s">
        <v>140</v>
      </c>
      <c r="H788" s="7"/>
      <c r="I788" s="7"/>
      <c r="J788" s="7"/>
      <c r="K788" s="7"/>
      <c r="L788" s="7">
        <v>9418306</v>
      </c>
      <c r="M788" s="22">
        <v>45287</v>
      </c>
      <c r="N788" s="8" t="s">
        <v>190</v>
      </c>
      <c r="O788" s="8" t="s">
        <v>383</v>
      </c>
      <c r="P788" s="7">
        <v>540.69000000000005</v>
      </c>
      <c r="Q788" s="7">
        <v>1239991.82</v>
      </c>
      <c r="R788" s="7">
        <v>41071200</v>
      </c>
      <c r="S788" s="7">
        <v>0</v>
      </c>
      <c r="T788" s="7" t="s">
        <v>260</v>
      </c>
      <c r="U788" s="7" t="s">
        <v>178</v>
      </c>
      <c r="V788" s="6">
        <f t="shared" si="149"/>
        <v>0</v>
      </c>
      <c r="W788" s="6">
        <f t="shared" si="150"/>
        <v>0</v>
      </c>
      <c r="X788" s="6">
        <f t="shared" si="151"/>
        <v>0</v>
      </c>
      <c r="Y788" s="6">
        <f t="shared" si="152"/>
        <v>0</v>
      </c>
      <c r="Z788" s="6">
        <f t="shared" si="153"/>
        <v>2293.3507555160995</v>
      </c>
      <c r="AA788" s="9">
        <f t="shared" si="154"/>
        <v>540.69000000000005</v>
      </c>
      <c r="AB788" s="10">
        <v>0.26033899999999999</v>
      </c>
      <c r="AC788" s="11">
        <f t="shared" si="155"/>
        <v>0</v>
      </c>
      <c r="AD788" s="12">
        <f t="shared" si="156"/>
        <v>528.58033899999998</v>
      </c>
      <c r="AE788" s="13">
        <f t="shared" si="147"/>
        <v>12.109661000000074</v>
      </c>
    </row>
    <row r="789" spans="1:31">
      <c r="A789" s="6">
        <v>28</v>
      </c>
      <c r="B789" s="6">
        <v>17</v>
      </c>
      <c r="C789" s="6" t="str">
        <f t="shared" si="148"/>
        <v>652466500ALEATHER, HIDE TOP GRAIN, OBSIDIAN BLACK, NNB, BLA932905344741555.46</v>
      </c>
      <c r="D789" s="6" t="s">
        <v>399</v>
      </c>
      <c r="E789" s="6" t="s">
        <v>163</v>
      </c>
      <c r="F789" s="6"/>
      <c r="G789" s="7" t="s">
        <v>141</v>
      </c>
      <c r="H789" s="7"/>
      <c r="I789" s="7"/>
      <c r="J789" s="7"/>
      <c r="K789" s="7"/>
      <c r="L789" s="7">
        <v>9329053</v>
      </c>
      <c r="M789" s="22">
        <v>44741</v>
      </c>
      <c r="N789" s="8" t="s">
        <v>283</v>
      </c>
      <c r="O789" s="8" t="s">
        <v>383</v>
      </c>
      <c r="P789" s="7">
        <v>555.46</v>
      </c>
      <c r="Q789" s="7">
        <v>1391845.15</v>
      </c>
      <c r="R789" s="7">
        <v>41071200</v>
      </c>
      <c r="S789" s="7">
        <v>10</v>
      </c>
      <c r="T789" s="7" t="s">
        <v>261</v>
      </c>
      <c r="U789" s="7" t="s">
        <v>178</v>
      </c>
      <c r="V789" s="6">
        <f t="shared" si="149"/>
        <v>139184.51499999998</v>
      </c>
      <c r="W789" s="6">
        <f t="shared" si="150"/>
        <v>13918.451499999999</v>
      </c>
      <c r="X789" s="6">
        <f t="shared" si="151"/>
        <v>153102.96649999998</v>
      </c>
      <c r="Y789" s="6">
        <f t="shared" si="152"/>
        <v>275.6327485327476</v>
      </c>
      <c r="Z789" s="6">
        <f t="shared" si="153"/>
        <v>2505.7522593886147</v>
      </c>
      <c r="AA789" s="9">
        <f t="shared" si="154"/>
        <v>555.46</v>
      </c>
      <c r="AB789" s="10">
        <v>555.46</v>
      </c>
      <c r="AC789" s="11">
        <f t="shared" si="155"/>
        <v>153102.96649999998</v>
      </c>
      <c r="AD789" s="12">
        <f t="shared" si="156"/>
        <v>555.46</v>
      </c>
      <c r="AE789" s="13">
        <f t="shared" si="147"/>
        <v>0</v>
      </c>
    </row>
    <row r="790" spans="1:31">
      <c r="A790" s="6">
        <v>28</v>
      </c>
      <c r="B790" s="6">
        <v>18</v>
      </c>
      <c r="C790" s="6" t="str">
        <f t="shared" si="148"/>
        <v>652466500ALEATHER, HIDE TOP GRAIN, OBSIDIAN BLACK, NNB, BLA932905344741541.51</v>
      </c>
      <c r="D790" s="6" t="s">
        <v>399</v>
      </c>
      <c r="E790" s="6" t="s">
        <v>163</v>
      </c>
      <c r="F790" s="6"/>
      <c r="G790" s="7" t="s">
        <v>141</v>
      </c>
      <c r="H790" s="7"/>
      <c r="I790" s="7"/>
      <c r="J790" s="7"/>
      <c r="K790" s="7"/>
      <c r="L790" s="7">
        <v>9329053</v>
      </c>
      <c r="M790" s="22">
        <v>44741</v>
      </c>
      <c r="N790" s="8" t="s">
        <v>283</v>
      </c>
      <c r="O790" s="8" t="s">
        <v>383</v>
      </c>
      <c r="P790" s="7">
        <v>541.51</v>
      </c>
      <c r="Q790" s="7">
        <v>1356889.73</v>
      </c>
      <c r="R790" s="7">
        <v>41071200</v>
      </c>
      <c r="S790" s="7">
        <v>10</v>
      </c>
      <c r="T790" s="7" t="s">
        <v>261</v>
      </c>
      <c r="U790" s="7" t="s">
        <v>178</v>
      </c>
      <c r="V790" s="6">
        <f t="shared" si="149"/>
        <v>135688.973</v>
      </c>
      <c r="W790" s="6">
        <f t="shared" si="150"/>
        <v>13568.897300000001</v>
      </c>
      <c r="X790" s="6">
        <f t="shared" si="151"/>
        <v>149257.87030000001</v>
      </c>
      <c r="Y790" s="6">
        <f t="shared" si="152"/>
        <v>275.63271278462082</v>
      </c>
      <c r="Z790" s="6">
        <f t="shared" si="153"/>
        <v>2505.7519344056436</v>
      </c>
      <c r="AA790" s="9">
        <f t="shared" si="154"/>
        <v>541.51</v>
      </c>
      <c r="AB790" s="10">
        <v>541.51</v>
      </c>
      <c r="AC790" s="11">
        <f t="shared" si="155"/>
        <v>149257.87030000001</v>
      </c>
      <c r="AD790" s="12">
        <f t="shared" si="156"/>
        <v>541.51</v>
      </c>
      <c r="AE790" s="13">
        <f t="shared" si="147"/>
        <v>0</v>
      </c>
    </row>
    <row r="791" spans="1:31">
      <c r="A791" s="6">
        <v>28</v>
      </c>
      <c r="B791" s="6">
        <v>19</v>
      </c>
      <c r="C791" s="6" t="str">
        <f t="shared" si="148"/>
        <v>652466500ALEATHER, HIDE TOP GRAIN, OBSIDIAN BLACK, NNB, BLA932905344741541.71</v>
      </c>
      <c r="D791" s="6" t="s">
        <v>399</v>
      </c>
      <c r="E791" s="6" t="s">
        <v>163</v>
      </c>
      <c r="F791" s="6"/>
      <c r="G791" s="7" t="s">
        <v>141</v>
      </c>
      <c r="H791" s="7"/>
      <c r="I791" s="7"/>
      <c r="J791" s="7"/>
      <c r="K791" s="7"/>
      <c r="L791" s="7">
        <v>9329053</v>
      </c>
      <c r="M791" s="22">
        <v>44741</v>
      </c>
      <c r="N791" s="8" t="s">
        <v>283</v>
      </c>
      <c r="O791" s="8" t="s">
        <v>383</v>
      </c>
      <c r="P791" s="7">
        <v>541.71</v>
      </c>
      <c r="Q791" s="7">
        <v>1357390.88</v>
      </c>
      <c r="R791" s="7">
        <v>41071200</v>
      </c>
      <c r="S791" s="7">
        <v>10</v>
      </c>
      <c r="T791" s="7" t="s">
        <v>261</v>
      </c>
      <c r="U791" s="7" t="s">
        <v>178</v>
      </c>
      <c r="V791" s="6">
        <f t="shared" si="149"/>
        <v>135739.08799999999</v>
      </c>
      <c r="W791" s="6">
        <f t="shared" si="150"/>
        <v>13573.908799999999</v>
      </c>
      <c r="X791" s="6">
        <f t="shared" si="151"/>
        <v>149312.99679999999</v>
      </c>
      <c r="Y791" s="6">
        <f t="shared" si="152"/>
        <v>275.63271270606043</v>
      </c>
      <c r="Z791" s="6">
        <f t="shared" si="153"/>
        <v>2505.7519336914584</v>
      </c>
      <c r="AA791" s="9">
        <f t="shared" si="154"/>
        <v>541.71</v>
      </c>
      <c r="AB791" s="10">
        <v>541.71</v>
      </c>
      <c r="AC791" s="11">
        <f t="shared" si="155"/>
        <v>149312.99679999999</v>
      </c>
      <c r="AD791" s="12">
        <f t="shared" si="156"/>
        <v>541.71</v>
      </c>
      <c r="AE791" s="13">
        <f t="shared" si="147"/>
        <v>0</v>
      </c>
    </row>
    <row r="792" spans="1:31">
      <c r="A792" s="6">
        <v>28</v>
      </c>
      <c r="B792" s="6">
        <v>20</v>
      </c>
      <c r="C792" s="6" t="str">
        <f t="shared" si="148"/>
        <v>652466500ALEATHER, HIDE TOP GRAIN, OBSIDIAN BLACK, NNB, BLA932905344741524.46</v>
      </c>
      <c r="D792" s="6" t="s">
        <v>399</v>
      </c>
      <c r="E792" s="6" t="s">
        <v>163</v>
      </c>
      <c r="F792" s="6"/>
      <c r="G792" s="7" t="s">
        <v>141</v>
      </c>
      <c r="H792" s="7"/>
      <c r="I792" s="7"/>
      <c r="J792" s="7"/>
      <c r="K792" s="7"/>
      <c r="L792" s="7">
        <v>9329053</v>
      </c>
      <c r="M792" s="22">
        <v>44741</v>
      </c>
      <c r="N792" s="8" t="s">
        <v>283</v>
      </c>
      <c r="O792" s="8" t="s">
        <v>383</v>
      </c>
      <c r="P792" s="7">
        <v>524.46</v>
      </c>
      <c r="Q792" s="7">
        <v>1314166.8799999999</v>
      </c>
      <c r="R792" s="7">
        <v>41071200</v>
      </c>
      <c r="S792" s="7">
        <v>10</v>
      </c>
      <c r="T792" s="7" t="s">
        <v>261</v>
      </c>
      <c r="U792" s="7" t="s">
        <v>178</v>
      </c>
      <c r="V792" s="6">
        <f t="shared" si="149"/>
        <v>131416.68799999999</v>
      </c>
      <c r="W792" s="6">
        <f t="shared" si="150"/>
        <v>13141.668799999999</v>
      </c>
      <c r="X792" s="6">
        <f t="shared" si="151"/>
        <v>144558.35680000001</v>
      </c>
      <c r="Y792" s="6">
        <f t="shared" si="152"/>
        <v>275.63275902833391</v>
      </c>
      <c r="Z792" s="6">
        <f t="shared" si="153"/>
        <v>2505.7523548030349</v>
      </c>
      <c r="AA792" s="9">
        <f t="shared" si="154"/>
        <v>524.46</v>
      </c>
      <c r="AB792" s="10">
        <v>524.46</v>
      </c>
      <c r="AC792" s="11">
        <f t="shared" si="155"/>
        <v>144558.35680000001</v>
      </c>
      <c r="AD792" s="12">
        <f t="shared" si="156"/>
        <v>524.46</v>
      </c>
      <c r="AE792" s="13">
        <f t="shared" si="147"/>
        <v>0</v>
      </c>
    </row>
    <row r="793" spans="1:31">
      <c r="A793" s="6">
        <v>28</v>
      </c>
      <c r="B793" s="6">
        <v>21</v>
      </c>
      <c r="C793" s="6" t="str">
        <f t="shared" si="148"/>
        <v>652466500ALEATHER, HIDE TOP GRAIN, OBSIDIAN BLACK, NNB, BLA932905344741569.6</v>
      </c>
      <c r="D793" s="6" t="s">
        <v>399</v>
      </c>
      <c r="E793" s="6" t="s">
        <v>163</v>
      </c>
      <c r="F793" s="6"/>
      <c r="G793" s="7" t="s">
        <v>141</v>
      </c>
      <c r="H793" s="7"/>
      <c r="I793" s="7"/>
      <c r="J793" s="7"/>
      <c r="K793" s="7"/>
      <c r="L793" s="7">
        <v>9329053</v>
      </c>
      <c r="M793" s="22">
        <v>44741</v>
      </c>
      <c r="N793" s="8" t="s">
        <v>283</v>
      </c>
      <c r="O793" s="8" t="s">
        <v>383</v>
      </c>
      <c r="P793" s="7">
        <v>569.6</v>
      </c>
      <c r="Q793" s="7">
        <v>1427276.25</v>
      </c>
      <c r="R793" s="7">
        <v>41071200</v>
      </c>
      <c r="S793" s="7">
        <v>10</v>
      </c>
      <c r="T793" s="7" t="s">
        <v>261</v>
      </c>
      <c r="U793" s="7" t="s">
        <v>178</v>
      </c>
      <c r="V793" s="6">
        <f t="shared" si="149"/>
        <v>142727.625</v>
      </c>
      <c r="W793" s="6">
        <f t="shared" si="150"/>
        <v>14272.762500000001</v>
      </c>
      <c r="X793" s="6">
        <f t="shared" si="151"/>
        <v>157000.38750000001</v>
      </c>
      <c r="Y793" s="6">
        <f t="shared" si="152"/>
        <v>275.63270277387642</v>
      </c>
      <c r="Z793" s="6">
        <f t="shared" si="153"/>
        <v>2505.7518433988762</v>
      </c>
      <c r="AA793" s="9">
        <f t="shared" si="154"/>
        <v>569.6</v>
      </c>
      <c r="AB793" s="10">
        <v>561</v>
      </c>
      <c r="AC793" s="11">
        <f t="shared" si="155"/>
        <v>154629.94625614467</v>
      </c>
      <c r="AD793" s="12">
        <f t="shared" si="156"/>
        <v>561</v>
      </c>
      <c r="AE793" s="13">
        <f t="shared" si="147"/>
        <v>8.6000000000000227</v>
      </c>
    </row>
    <row r="794" spans="1:31">
      <c r="A794" s="6">
        <v>28</v>
      </c>
      <c r="B794" s="6">
        <v>22</v>
      </c>
      <c r="C794" s="6" t="str">
        <f t="shared" si="148"/>
        <v>608067201ANUT, ISO, M5 351094044894800000</v>
      </c>
      <c r="D794" s="6" t="s">
        <v>399</v>
      </c>
      <c r="E794" s="6" t="s">
        <v>164</v>
      </c>
      <c r="F794" s="6"/>
      <c r="G794" s="7" t="s">
        <v>142</v>
      </c>
      <c r="H794" s="7"/>
      <c r="I794" s="7"/>
      <c r="J794" s="7"/>
      <c r="K794" s="7"/>
      <c r="L794" s="7">
        <v>3510940</v>
      </c>
      <c r="M794" s="22">
        <v>44894</v>
      </c>
      <c r="N794" s="8" t="s">
        <v>189</v>
      </c>
      <c r="O794" s="8" t="s">
        <v>332</v>
      </c>
      <c r="P794" s="7">
        <v>800000</v>
      </c>
      <c r="Q794" s="7">
        <v>1498489.13</v>
      </c>
      <c r="R794" s="7">
        <v>87089500</v>
      </c>
      <c r="S794" s="7">
        <v>15</v>
      </c>
      <c r="T794" s="7" t="s">
        <v>183</v>
      </c>
      <c r="U794" s="7" t="s">
        <v>178</v>
      </c>
      <c r="V794" s="6">
        <f t="shared" si="149"/>
        <v>224773.36949999997</v>
      </c>
      <c r="W794" s="6">
        <f t="shared" si="150"/>
        <v>22477.336949999997</v>
      </c>
      <c r="X794" s="6">
        <f t="shared" si="151"/>
        <v>247250.70644999997</v>
      </c>
      <c r="Y794" s="6">
        <f t="shared" si="152"/>
        <v>0.30906338306249997</v>
      </c>
      <c r="Z794" s="6">
        <f t="shared" si="153"/>
        <v>1.8731114124999999</v>
      </c>
      <c r="AA794" s="9">
        <f t="shared" si="154"/>
        <v>800000</v>
      </c>
      <c r="AB794" s="10">
        <v>1920</v>
      </c>
      <c r="AC794" s="11">
        <f t="shared" si="155"/>
        <v>593.40169547999994</v>
      </c>
      <c r="AD794" s="12">
        <f t="shared" si="156"/>
        <v>70960</v>
      </c>
      <c r="AE794" s="13">
        <f t="shared" si="147"/>
        <v>729040</v>
      </c>
    </row>
    <row r="795" spans="1:31">
      <c r="A795" s="6">
        <v>28</v>
      </c>
      <c r="B795" s="6">
        <v>23</v>
      </c>
      <c r="C795" s="6" t="str">
        <f t="shared" si="148"/>
        <v>644345600ASCREW, SELF-TAPPING, PLA PLASTIC, 3.0, CROSS82103034520890000</v>
      </c>
      <c r="D795" s="6" t="s">
        <v>399</v>
      </c>
      <c r="E795" s="6" t="s">
        <v>166</v>
      </c>
      <c r="F795" s="6"/>
      <c r="G795" s="7" t="s">
        <v>144</v>
      </c>
      <c r="H795" s="7"/>
      <c r="I795" s="7"/>
      <c r="J795" s="7"/>
      <c r="K795" s="7"/>
      <c r="L795" s="7">
        <v>8210303</v>
      </c>
      <c r="M795" s="22">
        <v>45208</v>
      </c>
      <c r="N795" s="8" t="s">
        <v>190</v>
      </c>
      <c r="O795" s="8" t="s">
        <v>333</v>
      </c>
      <c r="P795" s="7">
        <v>90000</v>
      </c>
      <c r="Q795" s="7">
        <v>68654.59</v>
      </c>
      <c r="R795" s="7">
        <v>87089500</v>
      </c>
      <c r="S795" s="7">
        <v>15</v>
      </c>
      <c r="T795" s="7" t="s">
        <v>191</v>
      </c>
      <c r="U795" s="7" t="s">
        <v>178</v>
      </c>
      <c r="V795" s="6">
        <f t="shared" si="149"/>
        <v>10298.188499999998</v>
      </c>
      <c r="W795" s="6">
        <f t="shared" si="150"/>
        <v>1029.8188499999999</v>
      </c>
      <c r="X795" s="6">
        <f t="shared" si="151"/>
        <v>11328.007349999998</v>
      </c>
      <c r="Y795" s="6">
        <f t="shared" si="152"/>
        <v>0.12586674833333331</v>
      </c>
      <c r="Z795" s="6">
        <f t="shared" si="153"/>
        <v>0.76282877777777769</v>
      </c>
      <c r="AA795" s="9">
        <f t="shared" si="154"/>
        <v>90000</v>
      </c>
      <c r="AB795" s="10">
        <v>10004</v>
      </c>
      <c r="AC795" s="11">
        <f t="shared" si="155"/>
        <v>1259.1709503266663</v>
      </c>
      <c r="AD795" s="12">
        <f t="shared" si="156"/>
        <v>90000</v>
      </c>
      <c r="AE795" s="13">
        <f t="shared" si="147"/>
        <v>0</v>
      </c>
    </row>
    <row r="796" spans="1:31">
      <c r="A796" s="6">
        <v>28</v>
      </c>
      <c r="B796" s="6">
        <v>24</v>
      </c>
      <c r="C796" s="6" t="str">
        <f t="shared" si="148"/>
        <v>644345600ASCREW, SELF-TAPPING, PLA PLASTIC, 3.0, CROSS20061294532860000</v>
      </c>
      <c r="D796" s="6" t="s">
        <v>399</v>
      </c>
      <c r="E796" s="6" t="s">
        <v>166</v>
      </c>
      <c r="F796" s="6"/>
      <c r="G796" s="7" t="s">
        <v>144</v>
      </c>
      <c r="H796" s="7"/>
      <c r="I796" s="7"/>
      <c r="J796" s="7"/>
      <c r="K796" s="7"/>
      <c r="L796" s="7">
        <v>2006129</v>
      </c>
      <c r="M796" s="22">
        <v>45328</v>
      </c>
      <c r="N796" s="8" t="s">
        <v>190</v>
      </c>
      <c r="O796" s="8" t="s">
        <v>333</v>
      </c>
      <c r="P796" s="7">
        <v>60000</v>
      </c>
      <c r="Q796" s="7">
        <v>45751.21</v>
      </c>
      <c r="R796" s="7">
        <v>87089500</v>
      </c>
      <c r="S796" s="7">
        <v>15</v>
      </c>
      <c r="T796" s="7" t="s">
        <v>191</v>
      </c>
      <c r="U796" s="7" t="s">
        <v>178</v>
      </c>
      <c r="V796" s="6">
        <f t="shared" si="149"/>
        <v>6862.6814999999997</v>
      </c>
      <c r="W796" s="6">
        <f t="shared" si="150"/>
        <v>686.26814999999999</v>
      </c>
      <c r="X796" s="6">
        <f t="shared" si="151"/>
        <v>7548.9496499999996</v>
      </c>
      <c r="Y796" s="6">
        <f t="shared" si="152"/>
        <v>0.1258158275</v>
      </c>
      <c r="Z796" s="6">
        <f t="shared" si="153"/>
        <v>0.76252016666666667</v>
      </c>
      <c r="AA796" s="9">
        <f t="shared" si="154"/>
        <v>60000</v>
      </c>
      <c r="AB796" s="10">
        <v>11596</v>
      </c>
      <c r="AC796" s="11">
        <f t="shared" si="155"/>
        <v>1458.96033569</v>
      </c>
      <c r="AD796" s="12">
        <f t="shared" si="156"/>
        <v>57196</v>
      </c>
      <c r="AE796" s="13">
        <f t="shared" si="147"/>
        <v>2804</v>
      </c>
    </row>
    <row r="797" spans="1:31">
      <c r="A797" s="6">
        <v>28</v>
      </c>
      <c r="B797" s="6">
        <v>25</v>
      </c>
      <c r="C797" s="6" t="str">
        <f t="shared" si="148"/>
        <v>628408700ASCREW, STANDARD, METRIC, M5, HEXALOBULAR INTERNAL75023584516220000</v>
      </c>
      <c r="D797" s="6" t="s">
        <v>399</v>
      </c>
      <c r="E797" s="6" t="s">
        <v>167</v>
      </c>
      <c r="F797" s="6"/>
      <c r="G797" s="7" t="s">
        <v>145</v>
      </c>
      <c r="H797" s="7"/>
      <c r="I797" s="7"/>
      <c r="J797" s="7"/>
      <c r="K797" s="7"/>
      <c r="L797" s="7">
        <v>7502358</v>
      </c>
      <c r="M797" s="22">
        <v>45162</v>
      </c>
      <c r="N797" s="8" t="s">
        <v>180</v>
      </c>
      <c r="O797" s="8" t="s">
        <v>333</v>
      </c>
      <c r="P797" s="7">
        <v>20000</v>
      </c>
      <c r="Q797" s="7">
        <v>104717.67</v>
      </c>
      <c r="R797" s="7">
        <v>87089900</v>
      </c>
      <c r="S797" s="7">
        <v>15</v>
      </c>
      <c r="T797" s="7" t="s">
        <v>390</v>
      </c>
      <c r="U797" s="7" t="s">
        <v>178</v>
      </c>
      <c r="V797" s="6">
        <f t="shared" si="149"/>
        <v>15707.6505</v>
      </c>
      <c r="W797" s="6">
        <f t="shared" si="150"/>
        <v>1570.76505</v>
      </c>
      <c r="X797" s="6">
        <f t="shared" si="151"/>
        <v>17278.415549999998</v>
      </c>
      <c r="Y797" s="6">
        <f t="shared" si="152"/>
        <v>0.86392077749999985</v>
      </c>
      <c r="Z797" s="6">
        <f t="shared" si="153"/>
        <v>5.2358834999999999</v>
      </c>
      <c r="AA797" s="9">
        <f t="shared" si="154"/>
        <v>20000</v>
      </c>
      <c r="AB797" s="10">
        <v>20000</v>
      </c>
      <c r="AC797" s="11">
        <f t="shared" si="155"/>
        <v>17278.415549999998</v>
      </c>
      <c r="AD797" s="12">
        <f t="shared" si="156"/>
        <v>20000</v>
      </c>
      <c r="AE797" s="13">
        <f t="shared" si="147"/>
        <v>0</v>
      </c>
    </row>
    <row r="798" spans="1:31">
      <c r="A798" s="6">
        <v>28</v>
      </c>
      <c r="B798" s="6">
        <v>26</v>
      </c>
      <c r="C798" s="6" t="str">
        <f t="shared" si="148"/>
        <v>628408700ASCREW, STANDARD, METRIC, M5, HEXALOBULAR INTERNAL87160874524025000</v>
      </c>
      <c r="D798" s="6" t="s">
        <v>399</v>
      </c>
      <c r="E798" s="6" t="s">
        <v>167</v>
      </c>
      <c r="F798" s="6"/>
      <c r="G798" s="7" t="s">
        <v>145</v>
      </c>
      <c r="H798" s="7"/>
      <c r="I798" s="7"/>
      <c r="J798" s="7"/>
      <c r="K798" s="7"/>
      <c r="L798" s="7">
        <v>8716087</v>
      </c>
      <c r="M798" s="22">
        <v>45240</v>
      </c>
      <c r="N798" s="8" t="s">
        <v>180</v>
      </c>
      <c r="O798" s="8" t="s">
        <v>333</v>
      </c>
      <c r="P798" s="7">
        <v>25000</v>
      </c>
      <c r="Q798" s="7">
        <v>131287.13</v>
      </c>
      <c r="R798" s="7">
        <v>87089900</v>
      </c>
      <c r="S798" s="7">
        <v>15</v>
      </c>
      <c r="T798" s="7" t="s">
        <v>391</v>
      </c>
      <c r="U798" s="7" t="s">
        <v>178</v>
      </c>
      <c r="V798" s="6">
        <f t="shared" si="149"/>
        <v>19693.069500000001</v>
      </c>
      <c r="W798" s="6">
        <f t="shared" si="150"/>
        <v>1969.3069500000001</v>
      </c>
      <c r="X798" s="6">
        <f t="shared" si="151"/>
        <v>21662.376450000003</v>
      </c>
      <c r="Y798" s="6">
        <f t="shared" si="152"/>
        <v>0.86649505800000015</v>
      </c>
      <c r="Z798" s="6">
        <f t="shared" si="153"/>
        <v>5.2514852000000003</v>
      </c>
      <c r="AA798" s="9">
        <f t="shared" si="154"/>
        <v>25000</v>
      </c>
      <c r="AB798" s="10">
        <v>12400</v>
      </c>
      <c r="AC798" s="11">
        <f t="shared" si="155"/>
        <v>10744.538719200002</v>
      </c>
      <c r="AD798" s="12">
        <f t="shared" si="156"/>
        <v>23153</v>
      </c>
      <c r="AE798" s="13">
        <f t="shared" si="147"/>
        <v>1847</v>
      </c>
    </row>
    <row r="799" spans="1:31">
      <c r="A799" s="6">
        <v>28</v>
      </c>
      <c r="B799" s="6">
        <v>27</v>
      </c>
      <c r="C799" s="6" t="str">
        <f t="shared" si="148"/>
        <v>651409900ASCREW, STD METRIC M6 HEXALOBULAR INTERNAL, T458717404556530000</v>
      </c>
      <c r="D799" s="6" t="s">
        <v>399</v>
      </c>
      <c r="E799" s="6" t="s">
        <v>168</v>
      </c>
      <c r="F799" s="6"/>
      <c r="G799" s="7" t="s">
        <v>146</v>
      </c>
      <c r="H799" s="7"/>
      <c r="I799" s="7"/>
      <c r="J799" s="7"/>
      <c r="K799" s="7"/>
      <c r="L799" s="7">
        <v>5871740</v>
      </c>
      <c r="M799" s="22">
        <v>45565</v>
      </c>
      <c r="N799" s="8" t="s">
        <v>189</v>
      </c>
      <c r="O799" s="8" t="s">
        <v>333</v>
      </c>
      <c r="P799" s="7">
        <v>30000</v>
      </c>
      <c r="Q799" s="7">
        <v>100534.3</v>
      </c>
      <c r="R799" s="7">
        <v>87089500</v>
      </c>
      <c r="S799" s="7">
        <v>15</v>
      </c>
      <c r="T799" s="7" t="s">
        <v>392</v>
      </c>
      <c r="U799" s="7" t="s">
        <v>178</v>
      </c>
      <c r="V799" s="6">
        <f t="shared" si="149"/>
        <v>15080.145</v>
      </c>
      <c r="W799" s="6">
        <f t="shared" si="150"/>
        <v>1508.0145000000002</v>
      </c>
      <c r="X799" s="6">
        <f t="shared" si="151"/>
        <v>16588.159500000002</v>
      </c>
      <c r="Y799" s="6">
        <f t="shared" si="152"/>
        <v>0.55293865000000009</v>
      </c>
      <c r="Z799" s="6">
        <f t="shared" si="153"/>
        <v>3.3511433333333334</v>
      </c>
      <c r="AA799" s="9">
        <f t="shared" si="154"/>
        <v>30000</v>
      </c>
      <c r="AB799" s="10">
        <v>21600</v>
      </c>
      <c r="AC799" s="11">
        <f t="shared" si="155"/>
        <v>11943.474840000003</v>
      </c>
      <c r="AD799" s="12">
        <f t="shared" si="156"/>
        <v>30000</v>
      </c>
      <c r="AE799" s="13">
        <f t="shared" si="147"/>
        <v>0</v>
      </c>
    </row>
    <row r="800" spans="1:31">
      <c r="A800" s="6">
        <v>28</v>
      </c>
      <c r="B800" s="6">
        <v>28</v>
      </c>
      <c r="C800" s="6" t="str">
        <f t="shared" si="148"/>
        <v>608225700ASCREW,STD METRIIC HEXALOBULAR  M5 T25 12MM66767534561055000</v>
      </c>
      <c r="D800" s="6" t="s">
        <v>399</v>
      </c>
      <c r="E800" s="6" t="s">
        <v>169</v>
      </c>
      <c r="F800" s="6"/>
      <c r="G800" s="7" t="s">
        <v>147</v>
      </c>
      <c r="H800" s="7"/>
      <c r="I800" s="7"/>
      <c r="J800" s="7"/>
      <c r="K800" s="7"/>
      <c r="L800" s="7">
        <v>6676753</v>
      </c>
      <c r="M800" s="22">
        <v>45610</v>
      </c>
      <c r="N800" s="8" t="s">
        <v>189</v>
      </c>
      <c r="O800" s="8" t="s">
        <v>333</v>
      </c>
      <c r="P800" s="7">
        <v>55000</v>
      </c>
      <c r="Q800" s="7">
        <v>182574.3</v>
      </c>
      <c r="R800" s="7">
        <v>87089400</v>
      </c>
      <c r="S800" s="7">
        <v>15</v>
      </c>
      <c r="T800" s="7" t="s">
        <v>393</v>
      </c>
      <c r="U800" s="7" t="s">
        <v>178</v>
      </c>
      <c r="V800" s="6">
        <f t="shared" si="149"/>
        <v>27386.144999999997</v>
      </c>
      <c r="W800" s="6">
        <f t="shared" si="150"/>
        <v>2738.6144999999997</v>
      </c>
      <c r="X800" s="6">
        <f t="shared" si="151"/>
        <v>30124.759499999996</v>
      </c>
      <c r="Y800" s="6">
        <f t="shared" si="152"/>
        <v>0.5477228999999999</v>
      </c>
      <c r="Z800" s="6">
        <f t="shared" si="153"/>
        <v>3.3195327272727271</v>
      </c>
      <c r="AA800" s="9">
        <f t="shared" si="154"/>
        <v>55000</v>
      </c>
      <c r="AB800" s="10">
        <v>21058</v>
      </c>
      <c r="AC800" s="11">
        <f t="shared" si="155"/>
        <v>11533.948828199998</v>
      </c>
      <c r="AD800" s="12">
        <f t="shared" si="156"/>
        <v>54960</v>
      </c>
      <c r="AE800" s="13">
        <f t="shared" si="147"/>
        <v>40</v>
      </c>
    </row>
    <row r="801" spans="1:31">
      <c r="A801" s="6">
        <v>28</v>
      </c>
      <c r="B801" s="6">
        <v>29</v>
      </c>
      <c r="C801" s="6" t="str">
        <f t="shared" si="148"/>
        <v>651166400CSPRING, COIL, UPPER 60650984557650000</v>
      </c>
      <c r="D801" s="6" t="s">
        <v>399</v>
      </c>
      <c r="E801" s="6" t="s">
        <v>170</v>
      </c>
      <c r="F801" s="6"/>
      <c r="G801" s="7" t="s">
        <v>148</v>
      </c>
      <c r="H801" s="7"/>
      <c r="I801" s="7"/>
      <c r="J801" s="7"/>
      <c r="K801" s="7"/>
      <c r="L801" s="7">
        <v>6065098</v>
      </c>
      <c r="M801" s="22">
        <v>45576</v>
      </c>
      <c r="N801" s="8" t="s">
        <v>189</v>
      </c>
      <c r="O801" s="8" t="s">
        <v>333</v>
      </c>
      <c r="P801" s="7">
        <v>50000</v>
      </c>
      <c r="Q801" s="7">
        <v>94566.97</v>
      </c>
      <c r="R801" s="7">
        <v>87089500</v>
      </c>
      <c r="S801" s="7">
        <v>15</v>
      </c>
      <c r="T801" s="7" t="s">
        <v>386</v>
      </c>
      <c r="U801" s="7" t="s">
        <v>178</v>
      </c>
      <c r="V801" s="6">
        <f t="shared" si="149"/>
        <v>14185.0455</v>
      </c>
      <c r="W801" s="6">
        <f t="shared" si="150"/>
        <v>1418.5045500000001</v>
      </c>
      <c r="X801" s="6">
        <f t="shared" si="151"/>
        <v>15603.55005</v>
      </c>
      <c r="Y801" s="6">
        <f t="shared" si="152"/>
        <v>0.31207100100000001</v>
      </c>
      <c r="Z801" s="6">
        <f t="shared" si="153"/>
        <v>1.8913394000000001</v>
      </c>
      <c r="AA801" s="9">
        <f t="shared" si="154"/>
        <v>50000</v>
      </c>
      <c r="AB801" s="10">
        <v>32400</v>
      </c>
      <c r="AC801" s="11">
        <f t="shared" si="155"/>
        <v>10111.1004324</v>
      </c>
      <c r="AD801" s="12">
        <f t="shared" si="156"/>
        <v>50000</v>
      </c>
      <c r="AE801" s="13">
        <f t="shared" si="147"/>
        <v>0</v>
      </c>
    </row>
    <row r="802" spans="1:31" ht="30">
      <c r="A802" s="6">
        <v>29</v>
      </c>
      <c r="B802" s="6">
        <v>1</v>
      </c>
      <c r="C802" s="6" t="str">
        <f t="shared" si="148"/>
        <v>655931500AARMATURE, MONOBLOCK ASW4, HYUNDAI BC3-CUV6561821456043240</v>
      </c>
      <c r="D802" s="6" t="s">
        <v>400</v>
      </c>
      <c r="E802" s="6" t="s">
        <v>157</v>
      </c>
      <c r="F802" s="6"/>
      <c r="G802" s="7" t="s">
        <v>134</v>
      </c>
      <c r="H802" s="7"/>
      <c r="I802" s="7"/>
      <c r="J802" s="7"/>
      <c r="K802" s="7"/>
      <c r="L802" s="7">
        <v>6561821</v>
      </c>
      <c r="M802" s="22">
        <v>45604</v>
      </c>
      <c r="N802" s="8" t="s">
        <v>185</v>
      </c>
      <c r="O802" s="8" t="s">
        <v>332</v>
      </c>
      <c r="P802" s="7">
        <v>3240</v>
      </c>
      <c r="Q802" s="7">
        <v>1329480.69</v>
      </c>
      <c r="R802" s="7">
        <v>87089400</v>
      </c>
      <c r="S802" s="7">
        <v>15</v>
      </c>
      <c r="T802" s="7" t="s">
        <v>194</v>
      </c>
      <c r="U802" s="7" t="s">
        <v>178</v>
      </c>
      <c r="V802" s="6">
        <f t="shared" si="149"/>
        <v>199422.1035</v>
      </c>
      <c r="W802" s="6">
        <f t="shared" si="150"/>
        <v>19942.210350000001</v>
      </c>
      <c r="X802" s="6">
        <f t="shared" si="151"/>
        <v>219364.31385000001</v>
      </c>
      <c r="Y802" s="6">
        <f t="shared" si="152"/>
        <v>67.705035138888888</v>
      </c>
      <c r="Z802" s="6">
        <f t="shared" si="153"/>
        <v>410.33354629629628</v>
      </c>
      <c r="AA802" s="9">
        <f t="shared" si="154"/>
        <v>3240</v>
      </c>
      <c r="AB802" s="10">
        <v>3240</v>
      </c>
      <c r="AC802" s="11">
        <f t="shared" si="155"/>
        <v>219364.31385000001</v>
      </c>
      <c r="AD802" s="12">
        <f t="shared" si="156"/>
        <v>3240</v>
      </c>
      <c r="AE802" s="13">
        <f t="shared" si="147"/>
        <v>0</v>
      </c>
    </row>
    <row r="803" spans="1:31">
      <c r="A803" s="6">
        <v>29</v>
      </c>
      <c r="B803" s="6">
        <v>2</v>
      </c>
      <c r="C803" s="6" t="str">
        <f t="shared" si="148"/>
        <v>608225700ASCREW,STD METRIIC HEXALOBULAR  M5 T25 12MM66767534561055000</v>
      </c>
      <c r="D803" s="6" t="s">
        <v>400</v>
      </c>
      <c r="E803" s="6" t="s">
        <v>169</v>
      </c>
      <c r="F803" s="6"/>
      <c r="G803" s="7" t="s">
        <v>147</v>
      </c>
      <c r="H803" s="7"/>
      <c r="I803" s="7"/>
      <c r="J803" s="7"/>
      <c r="K803" s="7"/>
      <c r="L803" s="7">
        <v>6676753</v>
      </c>
      <c r="M803" s="22">
        <v>45610</v>
      </c>
      <c r="N803" s="8" t="s">
        <v>189</v>
      </c>
      <c r="O803" s="8" t="s">
        <v>333</v>
      </c>
      <c r="P803" s="7">
        <v>55000</v>
      </c>
      <c r="Q803" s="7">
        <v>182574.3</v>
      </c>
      <c r="R803" s="7">
        <v>87089400</v>
      </c>
      <c r="S803" s="7">
        <v>15</v>
      </c>
      <c r="T803" s="7" t="s">
        <v>393</v>
      </c>
      <c r="U803" s="7" t="s">
        <v>178</v>
      </c>
      <c r="V803" s="6">
        <f t="shared" si="149"/>
        <v>27386.144999999997</v>
      </c>
      <c r="W803" s="6">
        <f t="shared" si="150"/>
        <v>2738.6144999999997</v>
      </c>
      <c r="X803" s="6">
        <f t="shared" si="151"/>
        <v>30124.759499999996</v>
      </c>
      <c r="Y803" s="6">
        <f t="shared" si="152"/>
        <v>0.5477228999999999</v>
      </c>
      <c r="Z803" s="6">
        <f t="shared" si="153"/>
        <v>3.3195327272727271</v>
      </c>
      <c r="AA803" s="9">
        <f t="shared" si="154"/>
        <v>55000</v>
      </c>
      <c r="AB803" s="10">
        <v>3960</v>
      </c>
      <c r="AC803" s="11">
        <f t="shared" si="155"/>
        <v>2168.9826839999996</v>
      </c>
      <c r="AD803" s="12">
        <f t="shared" si="156"/>
        <v>54960</v>
      </c>
      <c r="AE803" s="13">
        <f t="shared" si="147"/>
        <v>40</v>
      </c>
    </row>
    <row r="804" spans="1:31">
      <c r="A804" s="6">
        <v>29</v>
      </c>
      <c r="B804" s="6">
        <v>3</v>
      </c>
      <c r="C804" s="6" t="str">
        <f t="shared" si="148"/>
        <v>655818900BACTUATOR VIBRATION MOTOR ASSY WITH BRACKET BC3 CU5190313455264800</v>
      </c>
      <c r="D804" s="6" t="s">
        <v>400</v>
      </c>
      <c r="E804" s="6" t="s">
        <v>156</v>
      </c>
      <c r="F804" s="6"/>
      <c r="G804" s="7" t="s">
        <v>133</v>
      </c>
      <c r="H804" s="7"/>
      <c r="I804" s="7"/>
      <c r="J804" s="7"/>
      <c r="K804" s="7"/>
      <c r="L804" s="7">
        <v>5190313</v>
      </c>
      <c r="M804" s="22">
        <v>45526</v>
      </c>
      <c r="N804" s="8" t="s">
        <v>190</v>
      </c>
      <c r="O804" s="8" t="s">
        <v>333</v>
      </c>
      <c r="P804" s="7">
        <v>4800</v>
      </c>
      <c r="Q804" s="7">
        <v>1615784.22</v>
      </c>
      <c r="R804" s="7">
        <v>87089400</v>
      </c>
      <c r="S804" s="7">
        <v>15</v>
      </c>
      <c r="T804" s="7" t="s">
        <v>401</v>
      </c>
      <c r="U804" s="7" t="s">
        <v>178</v>
      </c>
      <c r="V804" s="6">
        <f t="shared" si="149"/>
        <v>242367.63299999997</v>
      </c>
      <c r="W804" s="6">
        <f t="shared" si="150"/>
        <v>24236.763299999999</v>
      </c>
      <c r="X804" s="6">
        <f t="shared" si="151"/>
        <v>266604.39629999996</v>
      </c>
      <c r="Y804" s="6">
        <f t="shared" si="152"/>
        <v>55.542582562499994</v>
      </c>
      <c r="Z804" s="6">
        <f t="shared" si="153"/>
        <v>336.6217125</v>
      </c>
      <c r="AA804" s="9">
        <f t="shared" si="154"/>
        <v>4800</v>
      </c>
      <c r="AB804" s="10">
        <v>4800</v>
      </c>
      <c r="AC804" s="11">
        <f t="shared" si="155"/>
        <v>266604.39629999996</v>
      </c>
      <c r="AD804" s="12">
        <v>4800</v>
      </c>
      <c r="AE804" s="13">
        <f t="shared" si="147"/>
        <v>0</v>
      </c>
    </row>
    <row r="805" spans="1:31">
      <c r="A805" s="6">
        <v>29</v>
      </c>
      <c r="B805" s="6">
        <v>4</v>
      </c>
      <c r="C805" s="6" t="str">
        <f t="shared" si="148"/>
        <v>655818900BACTUATOR VIBRATION MOTOR ASSY WITH BRACKET BC3 CU5190313455264800</v>
      </c>
      <c r="D805" s="6" t="s">
        <v>400</v>
      </c>
      <c r="E805" s="6" t="s">
        <v>156</v>
      </c>
      <c r="F805" s="6"/>
      <c r="G805" s="7" t="s">
        <v>133</v>
      </c>
      <c r="H805" s="7"/>
      <c r="I805" s="7"/>
      <c r="J805" s="7"/>
      <c r="K805" s="7"/>
      <c r="L805" s="7">
        <v>5190313</v>
      </c>
      <c r="M805" s="22">
        <v>45526</v>
      </c>
      <c r="N805" s="8" t="s">
        <v>190</v>
      </c>
      <c r="O805" s="8" t="s">
        <v>333</v>
      </c>
      <c r="P805" s="7">
        <v>4800</v>
      </c>
      <c r="Q805" s="7">
        <v>1615784.22</v>
      </c>
      <c r="R805" s="7">
        <v>87089400</v>
      </c>
      <c r="S805" s="7">
        <v>15</v>
      </c>
      <c r="T805" s="7" t="s">
        <v>401</v>
      </c>
      <c r="U805" s="7" t="s">
        <v>178</v>
      </c>
      <c r="V805" s="6">
        <f t="shared" si="149"/>
        <v>242367.63299999997</v>
      </c>
      <c r="W805" s="6">
        <f t="shared" si="150"/>
        <v>24236.763299999999</v>
      </c>
      <c r="X805" s="6">
        <f t="shared" si="151"/>
        <v>266604.39629999996</v>
      </c>
      <c r="Y805" s="6">
        <f t="shared" si="152"/>
        <v>55.542582562499994</v>
      </c>
      <c r="Z805" s="6">
        <f t="shared" si="153"/>
        <v>336.6217125</v>
      </c>
      <c r="AA805" s="9">
        <f t="shared" si="154"/>
        <v>4800</v>
      </c>
      <c r="AB805" s="10">
        <v>2400</v>
      </c>
      <c r="AC805" s="11">
        <f t="shared" si="155"/>
        <v>133302.19814999998</v>
      </c>
      <c r="AD805" s="12">
        <v>4800</v>
      </c>
      <c r="AE805" s="13">
        <f t="shared" si="147"/>
        <v>0</v>
      </c>
    </row>
    <row r="806" spans="1:31" ht="30">
      <c r="A806" s="6">
        <v>29</v>
      </c>
      <c r="B806" s="6">
        <v>5</v>
      </c>
      <c r="C806" s="6" t="str">
        <f t="shared" si="148"/>
        <v>655931500AARMATURE, MONOBLOCK ASW4, HYUNDAI BC3-CUV5539408455461134</v>
      </c>
      <c r="D806" s="6" t="s">
        <v>400</v>
      </c>
      <c r="E806" s="6" t="s">
        <v>157</v>
      </c>
      <c r="F806" s="6"/>
      <c r="G806" s="7" t="s">
        <v>134</v>
      </c>
      <c r="H806" s="7"/>
      <c r="I806" s="7"/>
      <c r="J806" s="7"/>
      <c r="K806" s="7"/>
      <c r="L806" s="7">
        <v>5539408</v>
      </c>
      <c r="M806" s="22">
        <v>45546</v>
      </c>
      <c r="N806" s="8" t="s">
        <v>185</v>
      </c>
      <c r="O806" s="8" t="s">
        <v>332</v>
      </c>
      <c r="P806" s="7">
        <v>1134</v>
      </c>
      <c r="Q806" s="7">
        <v>476654.91</v>
      </c>
      <c r="R806" s="7">
        <v>87089400</v>
      </c>
      <c r="S806" s="7">
        <v>15</v>
      </c>
      <c r="T806" s="7" t="s">
        <v>194</v>
      </c>
      <c r="U806" s="7" t="s">
        <v>178</v>
      </c>
      <c r="V806" s="6">
        <f t="shared" si="149"/>
        <v>71498.236499999999</v>
      </c>
      <c r="W806" s="6">
        <f t="shared" si="150"/>
        <v>7149.8236500000003</v>
      </c>
      <c r="X806" s="6">
        <f t="shared" si="151"/>
        <v>78648.060150000005</v>
      </c>
      <c r="Y806" s="6">
        <f t="shared" si="152"/>
        <v>69.354550396825402</v>
      </c>
      <c r="Z806" s="6">
        <f t="shared" si="153"/>
        <v>420.33060846560846</v>
      </c>
      <c r="AA806" s="9">
        <f t="shared" si="154"/>
        <v>1134</v>
      </c>
      <c r="AB806" s="10">
        <v>1134</v>
      </c>
      <c r="AC806" s="11">
        <f t="shared" si="155"/>
        <v>78648.060150000005</v>
      </c>
      <c r="AD806" s="12">
        <f t="shared" ref="AD806:AD869" si="157">SUMIF($C$2:$C$2284,C806,$AB$2:$AB$2284)</f>
        <v>1134</v>
      </c>
      <c r="AE806" s="13">
        <f t="shared" si="147"/>
        <v>0</v>
      </c>
    </row>
    <row r="807" spans="1:31" ht="30">
      <c r="A807" s="6">
        <v>29</v>
      </c>
      <c r="B807" s="6">
        <v>6</v>
      </c>
      <c r="C807" s="6" t="str">
        <f t="shared" si="148"/>
        <v>655931500AARMATURE, MONOBLOCK ASW4, HYUNDAI BC3-CUV6438973455963240</v>
      </c>
      <c r="D807" s="6" t="s">
        <v>400</v>
      </c>
      <c r="E807" s="6" t="s">
        <v>157</v>
      </c>
      <c r="F807" s="6"/>
      <c r="G807" s="7" t="s">
        <v>134</v>
      </c>
      <c r="H807" s="7"/>
      <c r="I807" s="7"/>
      <c r="J807" s="7"/>
      <c r="K807" s="7"/>
      <c r="L807" s="7">
        <v>6438973</v>
      </c>
      <c r="M807" s="22">
        <v>45596</v>
      </c>
      <c r="N807" s="8" t="s">
        <v>185</v>
      </c>
      <c r="O807" s="8" t="s">
        <v>332</v>
      </c>
      <c r="P807" s="7">
        <v>3240</v>
      </c>
      <c r="Q807" s="7">
        <v>1336740.6399999999</v>
      </c>
      <c r="R807" s="7">
        <v>87089400</v>
      </c>
      <c r="S807" s="7">
        <v>15</v>
      </c>
      <c r="T807" s="7" t="s">
        <v>194</v>
      </c>
      <c r="U807" s="7" t="s">
        <v>178</v>
      </c>
      <c r="V807" s="6">
        <f t="shared" si="149"/>
        <v>200511.09599999999</v>
      </c>
      <c r="W807" s="6">
        <f t="shared" si="150"/>
        <v>20051.1096</v>
      </c>
      <c r="X807" s="6">
        <f t="shared" si="151"/>
        <v>220562.20559999999</v>
      </c>
      <c r="Y807" s="6">
        <f t="shared" si="152"/>
        <v>68.07475481481481</v>
      </c>
      <c r="Z807" s="6">
        <f t="shared" si="153"/>
        <v>412.57427160493825</v>
      </c>
      <c r="AA807" s="9">
        <f t="shared" si="154"/>
        <v>3240</v>
      </c>
      <c r="AB807" s="10">
        <v>2826</v>
      </c>
      <c r="AC807" s="11">
        <f t="shared" si="155"/>
        <v>192379.25710666666</v>
      </c>
      <c r="AD807" s="12">
        <f t="shared" si="157"/>
        <v>2826</v>
      </c>
      <c r="AE807" s="13">
        <f t="shared" si="147"/>
        <v>414</v>
      </c>
    </row>
    <row r="808" spans="1:31">
      <c r="A808" s="6">
        <v>29</v>
      </c>
      <c r="B808" s="6">
        <v>7</v>
      </c>
      <c r="C808" s="6" t="str">
        <f t="shared" si="148"/>
        <v>651015300BELEMENT, HEATER, HYBRID 9270926452761120</v>
      </c>
      <c r="D808" s="6" t="s">
        <v>400</v>
      </c>
      <c r="E808" s="6" t="s">
        <v>155</v>
      </c>
      <c r="F808" s="6"/>
      <c r="G808" s="7" t="s">
        <v>137</v>
      </c>
      <c r="H808" s="7"/>
      <c r="I808" s="7"/>
      <c r="J808" s="7"/>
      <c r="K808" s="7"/>
      <c r="L808" s="7">
        <v>9270926</v>
      </c>
      <c r="M808" s="22">
        <v>45276</v>
      </c>
      <c r="N808" s="8" t="s">
        <v>180</v>
      </c>
      <c r="O808" s="8" t="s">
        <v>332</v>
      </c>
      <c r="P808" s="7">
        <v>1120</v>
      </c>
      <c r="Q808" s="7">
        <v>705729.91</v>
      </c>
      <c r="R808" s="7">
        <v>87089900</v>
      </c>
      <c r="S808" s="7">
        <v>15</v>
      </c>
      <c r="T808" s="7" t="s">
        <v>276</v>
      </c>
      <c r="U808" s="7" t="s">
        <v>178</v>
      </c>
      <c r="V808" s="6">
        <f t="shared" si="149"/>
        <v>105859.4865</v>
      </c>
      <c r="W808" s="6">
        <f t="shared" si="150"/>
        <v>10585.94865</v>
      </c>
      <c r="X808" s="6">
        <f t="shared" si="151"/>
        <v>116445.43515</v>
      </c>
      <c r="Y808" s="6">
        <f t="shared" si="152"/>
        <v>103.96913852678571</v>
      </c>
      <c r="Z808" s="6">
        <f t="shared" si="153"/>
        <v>630.11599107142865</v>
      </c>
      <c r="AA808" s="9">
        <f t="shared" si="154"/>
        <v>1120</v>
      </c>
      <c r="AB808" s="10">
        <v>1120</v>
      </c>
      <c r="AC808" s="11">
        <f t="shared" si="155"/>
        <v>116445.43515</v>
      </c>
      <c r="AD808" s="12">
        <f t="shared" si="157"/>
        <v>1120</v>
      </c>
      <c r="AE808" s="13">
        <f t="shared" si="147"/>
        <v>0</v>
      </c>
    </row>
    <row r="809" spans="1:31">
      <c r="A809" s="6">
        <v>29</v>
      </c>
      <c r="B809" s="6">
        <v>8</v>
      </c>
      <c r="C809" s="6" t="str">
        <f t="shared" si="148"/>
        <v>651015300BELEMENT, HEATER, HYBRID 9382951452832240</v>
      </c>
      <c r="D809" s="6" t="s">
        <v>400</v>
      </c>
      <c r="E809" s="6" t="s">
        <v>155</v>
      </c>
      <c r="F809" s="6"/>
      <c r="G809" s="7" t="s">
        <v>137</v>
      </c>
      <c r="H809" s="7"/>
      <c r="I809" s="7"/>
      <c r="J809" s="7"/>
      <c r="K809" s="7"/>
      <c r="L809" s="7">
        <v>9382951</v>
      </c>
      <c r="M809" s="22">
        <v>45283</v>
      </c>
      <c r="N809" s="8" t="s">
        <v>180</v>
      </c>
      <c r="O809" s="8" t="s">
        <v>332</v>
      </c>
      <c r="P809" s="7">
        <v>2240</v>
      </c>
      <c r="Q809" s="7">
        <v>1394575.96</v>
      </c>
      <c r="R809" s="7">
        <v>87089900</v>
      </c>
      <c r="S809" s="7">
        <v>15</v>
      </c>
      <c r="T809" s="7" t="s">
        <v>276</v>
      </c>
      <c r="U809" s="7" t="s">
        <v>178</v>
      </c>
      <c r="V809" s="6">
        <f t="shared" si="149"/>
        <v>209186.394</v>
      </c>
      <c r="W809" s="6">
        <f t="shared" si="150"/>
        <v>20918.6394</v>
      </c>
      <c r="X809" s="6">
        <f t="shared" si="151"/>
        <v>230105.03340000001</v>
      </c>
      <c r="Y809" s="6">
        <f t="shared" si="152"/>
        <v>102.72546133928572</v>
      </c>
      <c r="Z809" s="6">
        <f t="shared" si="153"/>
        <v>622.57855357142853</v>
      </c>
      <c r="AA809" s="9">
        <f t="shared" si="154"/>
        <v>2240</v>
      </c>
      <c r="AB809" s="10">
        <v>1512</v>
      </c>
      <c r="AC809" s="11">
        <f t="shared" si="155"/>
        <v>155320.89754500001</v>
      </c>
      <c r="AD809" s="12">
        <f t="shared" si="157"/>
        <v>1512</v>
      </c>
      <c r="AE809" s="13">
        <f t="shared" si="147"/>
        <v>728</v>
      </c>
    </row>
    <row r="810" spans="1:31">
      <c r="A810" s="6">
        <v>29</v>
      </c>
      <c r="B810" s="6">
        <v>9</v>
      </c>
      <c r="C810" s="6" t="str">
        <f t="shared" si="148"/>
        <v>634240200AHORN CONTACT, CU 681124845118600000</v>
      </c>
      <c r="D810" s="6" t="s">
        <v>400</v>
      </c>
      <c r="E810" s="6" t="s">
        <v>160</v>
      </c>
      <c r="F810" s="6"/>
      <c r="G810" s="7" t="s">
        <v>138</v>
      </c>
      <c r="H810" s="7"/>
      <c r="I810" s="7"/>
      <c r="J810" s="7"/>
      <c r="K810" s="7"/>
      <c r="L810" s="7">
        <v>6811248</v>
      </c>
      <c r="M810" s="22">
        <v>45118</v>
      </c>
      <c r="N810" s="8" t="s">
        <v>189</v>
      </c>
      <c r="O810" s="8" t="s">
        <v>332</v>
      </c>
      <c r="P810" s="7">
        <v>600000</v>
      </c>
      <c r="Q810" s="7">
        <v>627311.64</v>
      </c>
      <c r="R810" s="7">
        <v>87089900</v>
      </c>
      <c r="S810" s="7">
        <v>15</v>
      </c>
      <c r="T810" s="7" t="s">
        <v>258</v>
      </c>
      <c r="U810" s="7" t="s">
        <v>178</v>
      </c>
      <c r="V810" s="6">
        <f t="shared" si="149"/>
        <v>94096.745999999999</v>
      </c>
      <c r="W810" s="6">
        <f t="shared" si="150"/>
        <v>9409.6746000000003</v>
      </c>
      <c r="X810" s="6">
        <f t="shared" si="151"/>
        <v>103506.4206</v>
      </c>
      <c r="Y810" s="6">
        <f t="shared" si="152"/>
        <v>0.17251070099999999</v>
      </c>
      <c r="Z810" s="6">
        <f t="shared" si="153"/>
        <v>1.0455194000000001</v>
      </c>
      <c r="AA810" s="9">
        <f t="shared" si="154"/>
        <v>600000</v>
      </c>
      <c r="AB810" s="10">
        <v>28800</v>
      </c>
      <c r="AC810" s="11">
        <f t="shared" si="155"/>
        <v>4968.3081887999997</v>
      </c>
      <c r="AD810" s="12">
        <f t="shared" si="157"/>
        <v>577364</v>
      </c>
      <c r="AE810" s="13">
        <f t="shared" si="147"/>
        <v>22636</v>
      </c>
    </row>
    <row r="811" spans="1:31">
      <c r="A811" s="6">
        <v>29</v>
      </c>
      <c r="B811" s="6">
        <v>10</v>
      </c>
      <c r="C811" s="6" t="str">
        <f t="shared" si="148"/>
        <v>630580800ALABEL, RAW MATERIAL, BLA K12 TPC BUCKLE5160585449362400000</v>
      </c>
      <c r="D811" s="6" t="s">
        <v>400</v>
      </c>
      <c r="E811" s="6" t="s">
        <v>71</v>
      </c>
      <c r="F811" s="6"/>
      <c r="G811" s="7" t="s">
        <v>31</v>
      </c>
      <c r="H811" s="7"/>
      <c r="I811" s="7"/>
      <c r="J811" s="7"/>
      <c r="K811" s="7"/>
      <c r="L811" s="7">
        <v>5160585</v>
      </c>
      <c r="M811" s="22">
        <v>44936</v>
      </c>
      <c r="N811" s="8" t="s">
        <v>196</v>
      </c>
      <c r="O811" s="8" t="s">
        <v>333</v>
      </c>
      <c r="P811" s="7">
        <v>2400000</v>
      </c>
      <c r="Q811" s="7">
        <v>86522.34</v>
      </c>
      <c r="R811" s="7">
        <v>87082900</v>
      </c>
      <c r="S811" s="7">
        <v>15</v>
      </c>
      <c r="T811" s="7" t="s">
        <v>265</v>
      </c>
      <c r="U811" s="7" t="s">
        <v>178</v>
      </c>
      <c r="V811" s="6">
        <f t="shared" si="149"/>
        <v>12978.350999999999</v>
      </c>
      <c r="W811" s="6">
        <f t="shared" si="150"/>
        <v>1297.8351</v>
      </c>
      <c r="X811" s="6">
        <f t="shared" si="151"/>
        <v>14276.186099999999</v>
      </c>
      <c r="Y811" s="6">
        <f t="shared" si="152"/>
        <v>5.9484108749999999E-3</v>
      </c>
      <c r="Z811" s="6">
        <f t="shared" si="153"/>
        <v>3.6050974999999999E-2</v>
      </c>
      <c r="AA811" s="9">
        <f t="shared" si="154"/>
        <v>2400000</v>
      </c>
      <c r="AB811" s="10">
        <v>7200</v>
      </c>
      <c r="AC811" s="11">
        <f t="shared" si="155"/>
        <v>42.828558299999997</v>
      </c>
      <c r="AD811" s="12">
        <f t="shared" si="157"/>
        <v>548546</v>
      </c>
      <c r="AE811" s="13">
        <f t="shared" si="147"/>
        <v>1851454</v>
      </c>
    </row>
    <row r="812" spans="1:31">
      <c r="A812" s="6">
        <v>29</v>
      </c>
      <c r="B812" s="6">
        <v>11</v>
      </c>
      <c r="C812" s="6" t="str">
        <f t="shared" si="148"/>
        <v>652466500ALEATHER, HIDE TOP GRAIN, OBSIDIAN BLACK, NNB, BLA932905344741536.45</v>
      </c>
      <c r="D812" s="6" t="s">
        <v>400</v>
      </c>
      <c r="E812" s="6" t="s">
        <v>163</v>
      </c>
      <c r="F812" s="6"/>
      <c r="G812" s="7" t="s">
        <v>141</v>
      </c>
      <c r="H812" s="7"/>
      <c r="I812" s="7"/>
      <c r="J812" s="7"/>
      <c r="K812" s="7"/>
      <c r="L812" s="7">
        <v>9329053</v>
      </c>
      <c r="M812" s="22">
        <v>44741</v>
      </c>
      <c r="N812" s="8" t="s">
        <v>283</v>
      </c>
      <c r="O812" s="8" t="s">
        <v>383</v>
      </c>
      <c r="P812" s="7">
        <v>536.45000000000005</v>
      </c>
      <c r="Q812" s="7">
        <v>1344210.36</v>
      </c>
      <c r="R812" s="7">
        <v>41071200</v>
      </c>
      <c r="S812" s="7">
        <v>10</v>
      </c>
      <c r="T812" s="7" t="s">
        <v>261</v>
      </c>
      <c r="U812" s="7" t="s">
        <v>178</v>
      </c>
      <c r="V812" s="6">
        <f t="shared" si="149"/>
        <v>134421.03600000002</v>
      </c>
      <c r="W812" s="6">
        <f t="shared" si="150"/>
        <v>13442.103600000002</v>
      </c>
      <c r="X812" s="6">
        <f t="shared" si="151"/>
        <v>147863.13960000002</v>
      </c>
      <c r="Y812" s="6">
        <f t="shared" si="152"/>
        <v>275.63265840246066</v>
      </c>
      <c r="Z812" s="6">
        <f t="shared" si="153"/>
        <v>2505.7514400223695</v>
      </c>
      <c r="AA812" s="9">
        <f t="shared" si="154"/>
        <v>536.45000000000005</v>
      </c>
      <c r="AB812" s="10">
        <v>536.45000000000005</v>
      </c>
      <c r="AC812" s="11">
        <f t="shared" si="155"/>
        <v>147863.13960000002</v>
      </c>
      <c r="AD812" s="12">
        <f t="shared" si="157"/>
        <v>536.45000000000005</v>
      </c>
      <c r="AE812" s="13">
        <f t="shared" si="147"/>
        <v>0</v>
      </c>
    </row>
    <row r="813" spans="1:31">
      <c r="A813" s="6">
        <v>29</v>
      </c>
      <c r="B813" s="6">
        <v>12</v>
      </c>
      <c r="C813" s="6" t="str">
        <f t="shared" si="148"/>
        <v>652466500ALEATHER, HIDE TOP GRAIN, OBSIDIAN BLACK, NNB, BLA977890145313471.93</v>
      </c>
      <c r="D813" s="6" t="s">
        <v>400</v>
      </c>
      <c r="E813" s="6" t="s">
        <v>163</v>
      </c>
      <c r="F813" s="6"/>
      <c r="G813" s="7" t="s">
        <v>141</v>
      </c>
      <c r="H813" s="7"/>
      <c r="I813" s="7"/>
      <c r="J813" s="7"/>
      <c r="K813" s="7"/>
      <c r="L813" s="7">
        <v>9778901</v>
      </c>
      <c r="M813" s="22">
        <v>45313</v>
      </c>
      <c r="N813" s="8" t="s">
        <v>180</v>
      </c>
      <c r="O813" s="8" t="s">
        <v>383</v>
      </c>
      <c r="P813" s="7">
        <v>471.93</v>
      </c>
      <c r="Q813" s="7">
        <v>1138860.27</v>
      </c>
      <c r="R813" s="7">
        <v>41071200</v>
      </c>
      <c r="S813" s="7">
        <v>0</v>
      </c>
      <c r="T813" s="7" t="s">
        <v>279</v>
      </c>
      <c r="U813" s="7" t="s">
        <v>178</v>
      </c>
      <c r="V813" s="6">
        <f t="shared" si="149"/>
        <v>0</v>
      </c>
      <c r="W813" s="6">
        <f t="shared" si="150"/>
        <v>0</v>
      </c>
      <c r="X813" s="6">
        <f t="shared" si="151"/>
        <v>0</v>
      </c>
      <c r="Y813" s="6">
        <f t="shared" si="152"/>
        <v>0</v>
      </c>
      <c r="Z813" s="6">
        <f t="shared" si="153"/>
        <v>2413.1974445362662</v>
      </c>
      <c r="AA813" s="9">
        <f t="shared" si="154"/>
        <v>471.93</v>
      </c>
      <c r="AB813" s="10">
        <v>471.93</v>
      </c>
      <c r="AC813" s="11">
        <f t="shared" si="155"/>
        <v>0</v>
      </c>
      <c r="AD813" s="12">
        <f t="shared" si="157"/>
        <v>471.93</v>
      </c>
      <c r="AE813" s="13">
        <f t="shared" si="147"/>
        <v>0</v>
      </c>
    </row>
    <row r="814" spans="1:31">
      <c r="A814" s="6">
        <v>29</v>
      </c>
      <c r="B814" s="6">
        <v>13</v>
      </c>
      <c r="C814" s="6" t="str">
        <f t="shared" si="148"/>
        <v>652466500ALEATHER, HIDE TOP GRAIN, OBSIDIAN BLACK, NNB, BLA9686956453071029.2</v>
      </c>
      <c r="D814" s="6" t="s">
        <v>400</v>
      </c>
      <c r="E814" s="6" t="s">
        <v>163</v>
      </c>
      <c r="F814" s="6"/>
      <c r="G814" s="7" t="s">
        <v>141</v>
      </c>
      <c r="H814" s="7"/>
      <c r="I814" s="7"/>
      <c r="J814" s="7"/>
      <c r="K814" s="7"/>
      <c r="L814" s="7">
        <v>9686956</v>
      </c>
      <c r="M814" s="22">
        <v>45307</v>
      </c>
      <c r="N814" s="8" t="s">
        <v>180</v>
      </c>
      <c r="O814" s="8" t="s">
        <v>383</v>
      </c>
      <c r="P814" s="7">
        <v>1029.2</v>
      </c>
      <c r="Q814" s="7">
        <v>2483074.13</v>
      </c>
      <c r="R814" s="7">
        <v>41071200</v>
      </c>
      <c r="S814" s="7">
        <v>0</v>
      </c>
      <c r="T814" s="7" t="s">
        <v>195</v>
      </c>
      <c r="U814" s="7" t="s">
        <v>178</v>
      </c>
      <c r="V814" s="6">
        <f t="shared" si="149"/>
        <v>0</v>
      </c>
      <c r="W814" s="6">
        <f t="shared" si="150"/>
        <v>0</v>
      </c>
      <c r="X814" s="6">
        <f t="shared" si="151"/>
        <v>0</v>
      </c>
      <c r="Y814" s="6">
        <f t="shared" si="152"/>
        <v>0</v>
      </c>
      <c r="Z814" s="6">
        <f t="shared" si="153"/>
        <v>2412.6254663816553</v>
      </c>
      <c r="AA814" s="9">
        <f t="shared" si="154"/>
        <v>1029.2</v>
      </c>
      <c r="AB814" s="10">
        <v>527.39</v>
      </c>
      <c r="AC814" s="11">
        <f t="shared" si="155"/>
        <v>0</v>
      </c>
      <c r="AD814" s="12">
        <f t="shared" si="157"/>
        <v>845.39</v>
      </c>
      <c r="AE814" s="13">
        <f t="shared" si="147"/>
        <v>183.81000000000006</v>
      </c>
    </row>
    <row r="815" spans="1:31">
      <c r="A815" s="6">
        <v>29</v>
      </c>
      <c r="B815" s="6">
        <v>14</v>
      </c>
      <c r="C815" s="6" t="str">
        <f t="shared" si="148"/>
        <v>644345600ASCREW, SELF-TAPPING, PLA PLASTIC, 3.0, CROSS77231114517630000</v>
      </c>
      <c r="D815" s="6" t="s">
        <v>400</v>
      </c>
      <c r="E815" s="6" t="s">
        <v>166</v>
      </c>
      <c r="F815" s="6"/>
      <c r="G815" s="7" t="s">
        <v>144</v>
      </c>
      <c r="H815" s="7"/>
      <c r="I815" s="7"/>
      <c r="J815" s="7"/>
      <c r="K815" s="7"/>
      <c r="L815" s="7">
        <v>7723111</v>
      </c>
      <c r="M815" s="22">
        <v>45176</v>
      </c>
      <c r="N815" s="8" t="s">
        <v>190</v>
      </c>
      <c r="O815" s="8" t="s">
        <v>333</v>
      </c>
      <c r="P815" s="7">
        <v>30000</v>
      </c>
      <c r="Q815" s="7">
        <v>22881.61</v>
      </c>
      <c r="R815" s="7">
        <v>87089500</v>
      </c>
      <c r="S815" s="7">
        <v>15</v>
      </c>
      <c r="T815" s="7" t="s">
        <v>191</v>
      </c>
      <c r="U815" s="7" t="s">
        <v>178</v>
      </c>
      <c r="V815" s="6">
        <f t="shared" si="149"/>
        <v>3432.2415000000001</v>
      </c>
      <c r="W815" s="6">
        <f t="shared" si="150"/>
        <v>343.22415000000001</v>
      </c>
      <c r="X815" s="6">
        <f t="shared" si="151"/>
        <v>3775.4656500000001</v>
      </c>
      <c r="Y815" s="6">
        <f t="shared" si="152"/>
        <v>0.12584885500000001</v>
      </c>
      <c r="Z815" s="6">
        <f t="shared" si="153"/>
        <v>0.76272033333333333</v>
      </c>
      <c r="AA815" s="9">
        <f t="shared" si="154"/>
        <v>30000</v>
      </c>
      <c r="AB815" s="10">
        <v>14400</v>
      </c>
      <c r="AC815" s="11">
        <f t="shared" si="155"/>
        <v>1812.223512</v>
      </c>
      <c r="AD815" s="12">
        <f t="shared" si="157"/>
        <v>26352</v>
      </c>
      <c r="AE815" s="13">
        <f t="shared" si="147"/>
        <v>3648</v>
      </c>
    </row>
    <row r="816" spans="1:31">
      <c r="A816" s="6">
        <v>29</v>
      </c>
      <c r="B816" s="6">
        <v>15</v>
      </c>
      <c r="C816" s="6" t="str">
        <f t="shared" si="148"/>
        <v>628408700ASCREW, STANDARD, METRIC, M5, HEXALOBULAR INTERNAL23178254534925000</v>
      </c>
      <c r="D816" s="6" t="s">
        <v>400</v>
      </c>
      <c r="E816" s="6" t="s">
        <v>167</v>
      </c>
      <c r="F816" s="6"/>
      <c r="G816" s="7" t="s">
        <v>145</v>
      </c>
      <c r="H816" s="7"/>
      <c r="I816" s="7"/>
      <c r="J816" s="7"/>
      <c r="K816" s="7"/>
      <c r="L816" s="7">
        <v>2317825</v>
      </c>
      <c r="M816" s="22">
        <v>45349</v>
      </c>
      <c r="N816" s="8" t="s">
        <v>180</v>
      </c>
      <c r="O816" s="8" t="s">
        <v>333</v>
      </c>
      <c r="P816" s="7">
        <v>25000</v>
      </c>
      <c r="Q816" s="7">
        <v>130897.09</v>
      </c>
      <c r="R816" s="7">
        <v>87089400</v>
      </c>
      <c r="S816" s="7">
        <v>15</v>
      </c>
      <c r="T816" s="7" t="s">
        <v>387</v>
      </c>
      <c r="U816" s="7" t="s">
        <v>178</v>
      </c>
      <c r="V816" s="6">
        <f t="shared" si="149"/>
        <v>19634.5635</v>
      </c>
      <c r="W816" s="6">
        <f t="shared" si="150"/>
        <v>1963.4563500000002</v>
      </c>
      <c r="X816" s="6">
        <f t="shared" si="151"/>
        <v>21598.019850000001</v>
      </c>
      <c r="Y816" s="6">
        <f t="shared" si="152"/>
        <v>0.86392079399999999</v>
      </c>
      <c r="Z816" s="6">
        <f t="shared" si="153"/>
        <v>5.2358836000000002</v>
      </c>
      <c r="AA816" s="9">
        <f t="shared" si="154"/>
        <v>25000</v>
      </c>
      <c r="AB816" s="10">
        <v>21600</v>
      </c>
      <c r="AC816" s="11">
        <f t="shared" si="155"/>
        <v>18660.689150400001</v>
      </c>
      <c r="AD816" s="12">
        <f t="shared" si="157"/>
        <v>25000</v>
      </c>
      <c r="AE816" s="13">
        <f t="shared" si="147"/>
        <v>0</v>
      </c>
    </row>
    <row r="817" spans="1:31">
      <c r="A817" s="6">
        <v>29</v>
      </c>
      <c r="B817" s="6">
        <v>16</v>
      </c>
      <c r="C817" s="6" t="str">
        <f t="shared" si="148"/>
        <v>651409900ASCREW, STD METRIC M6 HEXALOBULAR INTERNAL, T461946484558330000</v>
      </c>
      <c r="D817" s="6" t="s">
        <v>400</v>
      </c>
      <c r="E817" s="6" t="s">
        <v>168</v>
      </c>
      <c r="F817" s="6"/>
      <c r="G817" s="7" t="s">
        <v>146</v>
      </c>
      <c r="H817" s="7"/>
      <c r="I817" s="7"/>
      <c r="J817" s="7"/>
      <c r="K817" s="7"/>
      <c r="L817" s="7">
        <v>6194648</v>
      </c>
      <c r="M817" s="22">
        <v>45583</v>
      </c>
      <c r="N817" s="8" t="s">
        <v>182</v>
      </c>
      <c r="O817" s="8" t="s">
        <v>332</v>
      </c>
      <c r="P817" s="7">
        <v>30000</v>
      </c>
      <c r="Q817" s="7">
        <v>100812.59</v>
      </c>
      <c r="R817" s="7">
        <v>87089500</v>
      </c>
      <c r="S817" s="7">
        <v>15</v>
      </c>
      <c r="T817" s="7" t="s">
        <v>402</v>
      </c>
      <c r="U817" s="7" t="s">
        <v>178</v>
      </c>
      <c r="V817" s="6">
        <f t="shared" si="149"/>
        <v>15121.888499999999</v>
      </c>
      <c r="W817" s="6">
        <f t="shared" si="150"/>
        <v>1512.18885</v>
      </c>
      <c r="X817" s="6">
        <f t="shared" si="151"/>
        <v>16634.07735</v>
      </c>
      <c r="Y817" s="6">
        <f t="shared" si="152"/>
        <v>0.55446924499999994</v>
      </c>
      <c r="Z817" s="6">
        <f t="shared" si="153"/>
        <v>3.3604196666666666</v>
      </c>
      <c r="AA817" s="9">
        <f t="shared" si="154"/>
        <v>30000</v>
      </c>
      <c r="AB817" s="10">
        <v>14400</v>
      </c>
      <c r="AC817" s="11">
        <f t="shared" si="155"/>
        <v>7984.3571279999996</v>
      </c>
      <c r="AD817" s="12">
        <f t="shared" si="157"/>
        <v>26352</v>
      </c>
      <c r="AE817" s="13">
        <f t="shared" si="147"/>
        <v>3648</v>
      </c>
    </row>
    <row r="818" spans="1:31">
      <c r="A818" s="6">
        <v>29</v>
      </c>
      <c r="B818" s="6">
        <v>17</v>
      </c>
      <c r="C818" s="6" t="str">
        <f t="shared" si="148"/>
        <v>651166400CSPRING, COIL, UPPER 91092994472645000</v>
      </c>
      <c r="D818" s="6" t="s">
        <v>400</v>
      </c>
      <c r="E818" s="6" t="s">
        <v>170</v>
      </c>
      <c r="F818" s="6"/>
      <c r="G818" s="7" t="s">
        <v>148</v>
      </c>
      <c r="H818" s="7"/>
      <c r="I818" s="7"/>
      <c r="J818" s="7"/>
      <c r="K818" s="7"/>
      <c r="L818" s="7">
        <v>9109299</v>
      </c>
      <c r="M818" s="22">
        <v>44726</v>
      </c>
      <c r="N818" s="8" t="s">
        <v>180</v>
      </c>
      <c r="O818" s="8" t="s">
        <v>332</v>
      </c>
      <c r="P818" s="7">
        <v>45000</v>
      </c>
      <c r="Q818" s="7">
        <v>85637.79</v>
      </c>
      <c r="R818" s="7">
        <v>87089500</v>
      </c>
      <c r="S818" s="7">
        <v>15</v>
      </c>
      <c r="T818" s="7" t="s">
        <v>297</v>
      </c>
      <c r="U818" s="7" t="s">
        <v>178</v>
      </c>
      <c r="V818" s="6">
        <f t="shared" si="149"/>
        <v>12845.668499999998</v>
      </c>
      <c r="W818" s="6">
        <f t="shared" si="150"/>
        <v>1284.5668499999999</v>
      </c>
      <c r="X818" s="6">
        <f t="shared" si="151"/>
        <v>14130.235349999997</v>
      </c>
      <c r="Y818" s="6">
        <f t="shared" si="152"/>
        <v>0.31400522999999991</v>
      </c>
      <c r="Z818" s="6">
        <f t="shared" si="153"/>
        <v>1.9030619999999998</v>
      </c>
      <c r="AA818" s="9">
        <f t="shared" si="154"/>
        <v>45000</v>
      </c>
      <c r="AB818" s="10">
        <v>12600</v>
      </c>
      <c r="AC818" s="11">
        <f t="shared" si="155"/>
        <v>3956.465897999999</v>
      </c>
      <c r="AD818" s="12">
        <f t="shared" si="157"/>
        <v>45000</v>
      </c>
      <c r="AE818" s="13">
        <f t="shared" si="147"/>
        <v>0</v>
      </c>
    </row>
    <row r="819" spans="1:31">
      <c r="A819" s="6">
        <v>29</v>
      </c>
      <c r="B819" s="6">
        <v>18</v>
      </c>
      <c r="C819" s="6" t="str">
        <f t="shared" si="148"/>
        <v>651166400CSPRING, COIL, UPPER 60650984557650000</v>
      </c>
      <c r="D819" s="6" t="s">
        <v>400</v>
      </c>
      <c r="E819" s="6" t="s">
        <v>170</v>
      </c>
      <c r="F819" s="6"/>
      <c r="G819" s="7" t="s">
        <v>148</v>
      </c>
      <c r="H819" s="7"/>
      <c r="I819" s="7"/>
      <c r="J819" s="7"/>
      <c r="K819" s="7"/>
      <c r="L819" s="7">
        <v>6065098</v>
      </c>
      <c r="M819" s="22">
        <v>45576</v>
      </c>
      <c r="N819" s="8" t="s">
        <v>189</v>
      </c>
      <c r="O819" s="8" t="s">
        <v>333</v>
      </c>
      <c r="P819" s="7">
        <v>50000</v>
      </c>
      <c r="Q819" s="7">
        <v>94566.97</v>
      </c>
      <c r="R819" s="7">
        <v>87089500</v>
      </c>
      <c r="S819" s="7">
        <v>15</v>
      </c>
      <c r="T819" s="7" t="s">
        <v>386</v>
      </c>
      <c r="U819" s="7" t="s">
        <v>178</v>
      </c>
      <c r="V819" s="6">
        <f t="shared" si="149"/>
        <v>14185.0455</v>
      </c>
      <c r="W819" s="6">
        <f t="shared" si="150"/>
        <v>1418.5045500000001</v>
      </c>
      <c r="X819" s="6">
        <f t="shared" si="151"/>
        <v>15603.55005</v>
      </c>
      <c r="Y819" s="6">
        <f t="shared" si="152"/>
        <v>0.31207100100000001</v>
      </c>
      <c r="Z819" s="6">
        <f t="shared" si="153"/>
        <v>1.8913394000000001</v>
      </c>
      <c r="AA819" s="9">
        <f t="shared" si="154"/>
        <v>50000</v>
      </c>
      <c r="AB819" s="10">
        <v>9000</v>
      </c>
      <c r="AC819" s="11">
        <f t="shared" si="155"/>
        <v>2808.639009</v>
      </c>
      <c r="AD819" s="12">
        <f t="shared" si="157"/>
        <v>50000</v>
      </c>
      <c r="AE819" s="13">
        <f t="shared" si="147"/>
        <v>0</v>
      </c>
    </row>
    <row r="820" spans="1:31">
      <c r="A820" s="6">
        <v>30</v>
      </c>
      <c r="B820" s="6">
        <v>1</v>
      </c>
      <c r="C820" s="6" t="str">
        <f t="shared" si="148"/>
        <v>655931500AARMATURE, MONOBLOCK ASW4, HYUNDAI BC3-CUV7032936456303078</v>
      </c>
      <c r="D820" s="6" t="s">
        <v>405</v>
      </c>
      <c r="E820" s="6" t="s">
        <v>157</v>
      </c>
      <c r="F820" s="6"/>
      <c r="G820" s="7" t="s">
        <v>134</v>
      </c>
      <c r="H820" s="7"/>
      <c r="I820" s="7"/>
      <c r="J820" s="7"/>
      <c r="K820" s="7"/>
      <c r="L820" s="7">
        <v>7032936</v>
      </c>
      <c r="M820" s="22">
        <v>45630</v>
      </c>
      <c r="N820" s="8" t="s">
        <v>184</v>
      </c>
      <c r="O820" s="8" t="s">
        <v>332</v>
      </c>
      <c r="P820" s="7">
        <v>3078</v>
      </c>
      <c r="Q820" s="7">
        <v>1208331.48</v>
      </c>
      <c r="R820" s="7">
        <v>87089400</v>
      </c>
      <c r="S820" s="7">
        <v>15</v>
      </c>
      <c r="T820" s="7" t="s">
        <v>406</v>
      </c>
      <c r="U820" s="7" t="s">
        <v>178</v>
      </c>
      <c r="V820" s="6">
        <f t="shared" si="149"/>
        <v>181249.72199999998</v>
      </c>
      <c r="W820" s="6">
        <f t="shared" si="150"/>
        <v>18124.9722</v>
      </c>
      <c r="X820" s="6">
        <f t="shared" si="151"/>
        <v>199374.69419999997</v>
      </c>
      <c r="Y820" s="6">
        <f t="shared" si="152"/>
        <v>64.774104678362562</v>
      </c>
      <c r="Z820" s="6">
        <f t="shared" si="153"/>
        <v>392.57033138401556</v>
      </c>
      <c r="AA820" s="9">
        <f t="shared" si="154"/>
        <v>3078</v>
      </c>
      <c r="AB820" s="10">
        <v>3078</v>
      </c>
      <c r="AC820" s="11">
        <f t="shared" si="155"/>
        <v>199374.69419999997</v>
      </c>
      <c r="AD820" s="12">
        <f t="shared" si="157"/>
        <v>3078</v>
      </c>
      <c r="AE820" s="13">
        <f t="shared" si="147"/>
        <v>0</v>
      </c>
    </row>
    <row r="821" spans="1:31">
      <c r="A821" s="6">
        <v>30</v>
      </c>
      <c r="B821" s="6">
        <v>2</v>
      </c>
      <c r="C821" s="6" t="str">
        <f t="shared" si="148"/>
        <v>655931500AARMATURE, MONOBLOCK ASW4, HYUNDAI BC3-CUV7032800456303078</v>
      </c>
      <c r="D821" s="6" t="s">
        <v>405</v>
      </c>
      <c r="E821" s="6" t="s">
        <v>157</v>
      </c>
      <c r="F821" s="6"/>
      <c r="G821" s="7" t="s">
        <v>134</v>
      </c>
      <c r="H821" s="7"/>
      <c r="I821" s="7"/>
      <c r="J821" s="7"/>
      <c r="K821" s="7"/>
      <c r="L821" s="7">
        <v>7032800</v>
      </c>
      <c r="M821" s="22">
        <v>45630</v>
      </c>
      <c r="N821" s="8" t="s">
        <v>184</v>
      </c>
      <c r="O821" s="8" t="s">
        <v>332</v>
      </c>
      <c r="P821" s="7">
        <v>3078</v>
      </c>
      <c r="Q821" s="7">
        <v>1208212.21</v>
      </c>
      <c r="R821" s="7">
        <v>87089400</v>
      </c>
      <c r="S821" s="7">
        <v>15</v>
      </c>
      <c r="T821" s="7" t="s">
        <v>408</v>
      </c>
      <c r="U821" s="7" t="s">
        <v>178</v>
      </c>
      <c r="V821" s="6">
        <f t="shared" si="149"/>
        <v>181231.8315</v>
      </c>
      <c r="W821" s="6">
        <f t="shared" si="150"/>
        <v>18123.183150000001</v>
      </c>
      <c r="X821" s="6">
        <f t="shared" si="151"/>
        <v>199355.01465</v>
      </c>
      <c r="Y821" s="6">
        <f t="shared" si="152"/>
        <v>64.767711062378169</v>
      </c>
      <c r="Z821" s="6">
        <f t="shared" si="153"/>
        <v>392.53158219623128</v>
      </c>
      <c r="AA821" s="9">
        <f t="shared" si="154"/>
        <v>3078</v>
      </c>
      <c r="AB821" s="10">
        <v>2887</v>
      </c>
      <c r="AC821" s="11">
        <f t="shared" si="155"/>
        <v>186984.38183708576</v>
      </c>
      <c r="AD821" s="12">
        <f t="shared" si="157"/>
        <v>2887</v>
      </c>
      <c r="AE821" s="13">
        <f t="shared" si="147"/>
        <v>191</v>
      </c>
    </row>
    <row r="822" spans="1:31">
      <c r="A822" s="6">
        <v>30</v>
      </c>
      <c r="B822" s="6">
        <v>3</v>
      </c>
      <c r="C822" s="6" t="str">
        <f t="shared" si="148"/>
        <v>651015300BELEMENT, HEATER, HYBRID 7130461456353080</v>
      </c>
      <c r="D822" s="6" t="s">
        <v>405</v>
      </c>
      <c r="E822" s="6" t="s">
        <v>155</v>
      </c>
      <c r="F822" s="6"/>
      <c r="G822" s="7" t="s">
        <v>137</v>
      </c>
      <c r="H822" s="7"/>
      <c r="I822" s="7"/>
      <c r="J822" s="7"/>
      <c r="K822" s="7"/>
      <c r="L822" s="7">
        <v>7130461</v>
      </c>
      <c r="M822" s="22">
        <v>45635</v>
      </c>
      <c r="N822" s="8" t="s">
        <v>189</v>
      </c>
      <c r="O822" s="8" t="s">
        <v>333</v>
      </c>
      <c r="P822" s="7">
        <v>3080</v>
      </c>
      <c r="Q822" s="7">
        <v>1684637.94</v>
      </c>
      <c r="R822" s="7">
        <v>87089400</v>
      </c>
      <c r="S822" s="7">
        <v>15</v>
      </c>
      <c r="T822" s="7" t="s">
        <v>407</v>
      </c>
      <c r="U822" s="7" t="s">
        <v>178</v>
      </c>
      <c r="V822" s="6">
        <f t="shared" si="149"/>
        <v>252695.69099999999</v>
      </c>
      <c r="W822" s="6">
        <f t="shared" si="150"/>
        <v>25269.569100000001</v>
      </c>
      <c r="X822" s="6">
        <f t="shared" si="151"/>
        <v>277965.26010000001</v>
      </c>
      <c r="Y822" s="6">
        <f t="shared" si="152"/>
        <v>90.248461071428579</v>
      </c>
      <c r="Z822" s="6">
        <f t="shared" si="153"/>
        <v>546.96037012987006</v>
      </c>
      <c r="AA822" s="9">
        <f t="shared" si="154"/>
        <v>3080</v>
      </c>
      <c r="AB822" s="10">
        <v>1489</v>
      </c>
      <c r="AC822" s="11">
        <f t="shared" si="155"/>
        <v>134379.95853535715</v>
      </c>
      <c r="AD822" s="12">
        <f t="shared" si="157"/>
        <v>3080</v>
      </c>
      <c r="AE822" s="13">
        <f t="shared" si="147"/>
        <v>0</v>
      </c>
    </row>
    <row r="823" spans="1:31">
      <c r="A823" s="6">
        <v>30</v>
      </c>
      <c r="B823" s="6">
        <v>4</v>
      </c>
      <c r="C823" s="6" t="str">
        <f t="shared" si="148"/>
        <v>655818900BACTUATOR VIBRATION MOTOR ASSY WITH BRACKET BC3 CU4975640455134800</v>
      </c>
      <c r="D823" s="6" t="s">
        <v>405</v>
      </c>
      <c r="E823" s="6" t="s">
        <v>156</v>
      </c>
      <c r="F823" s="6"/>
      <c r="G823" s="7" t="s">
        <v>133</v>
      </c>
      <c r="H823" s="7"/>
      <c r="I823" s="7"/>
      <c r="J823" s="7"/>
      <c r="K823" s="7"/>
      <c r="L823" s="7">
        <v>4975640</v>
      </c>
      <c r="M823" s="22">
        <v>45513</v>
      </c>
      <c r="N823" s="8" t="s">
        <v>180</v>
      </c>
      <c r="O823" s="8" t="s">
        <v>332</v>
      </c>
      <c r="P823" s="7">
        <v>4800</v>
      </c>
      <c r="Q823" s="7">
        <v>1713272.32</v>
      </c>
      <c r="R823" s="7">
        <v>85013119</v>
      </c>
      <c r="S823" s="7">
        <v>15</v>
      </c>
      <c r="T823" s="7" t="s">
        <v>292</v>
      </c>
      <c r="U823" s="7" t="s">
        <v>178</v>
      </c>
      <c r="V823" s="6">
        <f t="shared" si="149"/>
        <v>256990.848</v>
      </c>
      <c r="W823" s="6">
        <f t="shared" si="150"/>
        <v>25699.084800000001</v>
      </c>
      <c r="X823" s="6">
        <f t="shared" si="151"/>
        <v>282689.93280000001</v>
      </c>
      <c r="Y823" s="6">
        <f t="shared" si="152"/>
        <v>58.893736000000004</v>
      </c>
      <c r="Z823" s="6">
        <f t="shared" si="153"/>
        <v>356.93173333333334</v>
      </c>
      <c r="AA823" s="9">
        <f t="shared" si="154"/>
        <v>4800</v>
      </c>
      <c r="AB823" s="10">
        <v>3146</v>
      </c>
      <c r="AC823" s="11">
        <f t="shared" si="155"/>
        <v>185279.69345600001</v>
      </c>
      <c r="AD823" s="12">
        <f t="shared" si="157"/>
        <v>4800</v>
      </c>
      <c r="AE823" s="13">
        <f t="shared" si="147"/>
        <v>0</v>
      </c>
    </row>
    <row r="824" spans="1:31">
      <c r="A824" s="6">
        <v>30</v>
      </c>
      <c r="B824" s="6">
        <v>5</v>
      </c>
      <c r="C824" s="6" t="str">
        <f t="shared" si="148"/>
        <v>655818900BACTUATOR VIBRATION MOTOR ASSY WITH BRACKET BC3 CU60277404557414400</v>
      </c>
      <c r="D824" s="6" t="s">
        <v>405</v>
      </c>
      <c r="E824" s="6" t="s">
        <v>156</v>
      </c>
      <c r="F824" s="6"/>
      <c r="G824" s="7" t="s">
        <v>133</v>
      </c>
      <c r="H824" s="7"/>
      <c r="I824" s="7"/>
      <c r="J824" s="7"/>
      <c r="K824" s="7"/>
      <c r="L824" s="7">
        <v>6027740</v>
      </c>
      <c r="M824" s="22">
        <v>45574</v>
      </c>
      <c r="N824" s="8" t="s">
        <v>189</v>
      </c>
      <c r="O824" s="8" t="s">
        <v>333</v>
      </c>
      <c r="P824" s="7">
        <v>14400</v>
      </c>
      <c r="Q824" s="7">
        <v>4860545.5199999996</v>
      </c>
      <c r="R824" s="7">
        <v>87089400</v>
      </c>
      <c r="S824" s="7">
        <v>15</v>
      </c>
      <c r="T824" s="7" t="s">
        <v>376</v>
      </c>
      <c r="U824" s="7" t="s">
        <v>178</v>
      </c>
      <c r="V824" s="6">
        <f t="shared" si="149"/>
        <v>729081.82799999986</v>
      </c>
      <c r="W824" s="6">
        <f t="shared" si="150"/>
        <v>72908.182799999995</v>
      </c>
      <c r="X824" s="6">
        <f t="shared" si="151"/>
        <v>801990.01079999981</v>
      </c>
      <c r="Y824" s="6">
        <f t="shared" si="152"/>
        <v>55.693750749999985</v>
      </c>
      <c r="Z824" s="6">
        <f t="shared" si="153"/>
        <v>337.5378833333333</v>
      </c>
      <c r="AA824" s="9">
        <f t="shared" si="154"/>
        <v>14400</v>
      </c>
      <c r="AB824" s="10">
        <v>2819</v>
      </c>
      <c r="AC824" s="11">
        <f t="shared" si="155"/>
        <v>157000.68336424997</v>
      </c>
      <c r="AD824" s="12">
        <f t="shared" si="157"/>
        <v>13348</v>
      </c>
      <c r="AE824" s="13">
        <f t="shared" ref="AE824:AE835" si="158">AA824-AD824</f>
        <v>1052</v>
      </c>
    </row>
    <row r="825" spans="1:31">
      <c r="A825" s="6">
        <v>30</v>
      </c>
      <c r="B825" s="6">
        <v>6</v>
      </c>
      <c r="C825" s="6" t="str">
        <f t="shared" si="148"/>
        <v>634240200AHORN CONTACT, CU 681124845118600000</v>
      </c>
      <c r="D825" s="6" t="s">
        <v>405</v>
      </c>
      <c r="E825" s="6" t="s">
        <v>160</v>
      </c>
      <c r="F825" s="6"/>
      <c r="G825" s="7" t="s">
        <v>138</v>
      </c>
      <c r="H825" s="7"/>
      <c r="I825" s="7"/>
      <c r="J825" s="7"/>
      <c r="K825" s="7"/>
      <c r="L825" s="7">
        <v>6811248</v>
      </c>
      <c r="M825" s="22">
        <v>45118</v>
      </c>
      <c r="N825" s="8" t="s">
        <v>189</v>
      </c>
      <c r="O825" s="8" t="s">
        <v>332</v>
      </c>
      <c r="P825" s="7">
        <v>600000</v>
      </c>
      <c r="Q825" s="7">
        <v>627311.64</v>
      </c>
      <c r="R825" s="7">
        <v>87089900</v>
      </c>
      <c r="S825" s="7">
        <v>15</v>
      </c>
      <c r="T825" s="7" t="s">
        <v>258</v>
      </c>
      <c r="U825" s="7" t="s">
        <v>178</v>
      </c>
      <c r="V825" s="6">
        <f t="shared" si="149"/>
        <v>94096.745999999999</v>
      </c>
      <c r="W825" s="6">
        <f t="shared" si="150"/>
        <v>9409.6746000000003</v>
      </c>
      <c r="X825" s="6">
        <f t="shared" si="151"/>
        <v>103506.4206</v>
      </c>
      <c r="Y825" s="6">
        <f t="shared" si="152"/>
        <v>0.17251070099999999</v>
      </c>
      <c r="Z825" s="6">
        <f t="shared" si="153"/>
        <v>1.0455194000000001</v>
      </c>
      <c r="AA825" s="9">
        <f t="shared" si="154"/>
        <v>600000</v>
      </c>
      <c r="AB825" s="10">
        <v>23904</v>
      </c>
      <c r="AC825" s="11">
        <f t="shared" si="155"/>
        <v>4123.6957967039998</v>
      </c>
      <c r="AD825" s="12">
        <f t="shared" si="157"/>
        <v>577364</v>
      </c>
      <c r="AE825" s="13">
        <f t="shared" si="158"/>
        <v>22636</v>
      </c>
    </row>
    <row r="826" spans="1:31">
      <c r="A826" s="6">
        <v>30</v>
      </c>
      <c r="B826" s="6">
        <v>7</v>
      </c>
      <c r="C826" s="6" t="str">
        <f t="shared" si="148"/>
        <v>630580800ALABEL, RAW MATERIAL, BLA K12 TPC BUCKLE5160585449362400000</v>
      </c>
      <c r="D826" s="6" t="s">
        <v>405</v>
      </c>
      <c r="E826" s="6" t="s">
        <v>71</v>
      </c>
      <c r="F826" s="6"/>
      <c r="G826" s="7" t="s">
        <v>31</v>
      </c>
      <c r="H826" s="7"/>
      <c r="I826" s="7"/>
      <c r="J826" s="7"/>
      <c r="K826" s="7"/>
      <c r="L826" s="7">
        <v>5160585</v>
      </c>
      <c r="M826" s="22">
        <v>44936</v>
      </c>
      <c r="N826" s="8" t="s">
        <v>196</v>
      </c>
      <c r="O826" s="8" t="s">
        <v>333</v>
      </c>
      <c r="P826" s="7">
        <v>2400000</v>
      </c>
      <c r="Q826" s="7">
        <v>86522.34</v>
      </c>
      <c r="R826" s="7">
        <v>87082900</v>
      </c>
      <c r="S826" s="7">
        <v>15</v>
      </c>
      <c r="T826" s="7" t="s">
        <v>265</v>
      </c>
      <c r="U826" s="7" t="s">
        <v>178</v>
      </c>
      <c r="V826" s="6">
        <f t="shared" si="149"/>
        <v>12978.350999999999</v>
      </c>
      <c r="W826" s="6">
        <f t="shared" si="150"/>
        <v>1297.8351</v>
      </c>
      <c r="X826" s="6">
        <f t="shared" si="151"/>
        <v>14276.186099999999</v>
      </c>
      <c r="Y826" s="6">
        <f t="shared" si="152"/>
        <v>5.9484108749999999E-3</v>
      </c>
      <c r="Z826" s="6">
        <f t="shared" si="153"/>
        <v>3.6050974999999999E-2</v>
      </c>
      <c r="AA826" s="9">
        <f t="shared" si="154"/>
        <v>2400000</v>
      </c>
      <c r="AB826" s="10">
        <v>5976</v>
      </c>
      <c r="AC826" s="11">
        <f t="shared" si="155"/>
        <v>35.547703388999999</v>
      </c>
      <c r="AD826" s="12">
        <f t="shared" si="157"/>
        <v>548546</v>
      </c>
      <c r="AE826" s="13">
        <f t="shared" si="158"/>
        <v>1851454</v>
      </c>
    </row>
    <row r="827" spans="1:31">
      <c r="A827" s="6">
        <v>30</v>
      </c>
      <c r="B827" s="6">
        <v>8</v>
      </c>
      <c r="C827" s="6" t="str">
        <f t="shared" si="148"/>
        <v>639590100BSCREW SELF TAPPING INTERNAL T15, 15.01055145483120000</v>
      </c>
      <c r="D827" s="6" t="s">
        <v>405</v>
      </c>
      <c r="E827" s="6" t="s">
        <v>165</v>
      </c>
      <c r="F827" s="6"/>
      <c r="G827" s="7" t="s">
        <v>143</v>
      </c>
      <c r="H827" s="7"/>
      <c r="I827" s="7"/>
      <c r="J827" s="7"/>
      <c r="K827" s="7"/>
      <c r="L827" s="7">
        <v>10551</v>
      </c>
      <c r="M827" s="22">
        <v>45483</v>
      </c>
      <c r="N827" s="8" t="s">
        <v>180</v>
      </c>
      <c r="O827" s="8" t="s">
        <v>333</v>
      </c>
      <c r="P827" s="7">
        <v>120000</v>
      </c>
      <c r="Q827" s="7">
        <v>157828.15</v>
      </c>
      <c r="R827" s="7">
        <v>87089400</v>
      </c>
      <c r="S827" s="7">
        <v>15</v>
      </c>
      <c r="T827" s="7" t="s">
        <v>378</v>
      </c>
      <c r="U827" s="7" t="s">
        <v>178</v>
      </c>
      <c r="V827" s="6">
        <f t="shared" si="149"/>
        <v>23674.2225</v>
      </c>
      <c r="W827" s="6">
        <f t="shared" si="150"/>
        <v>2367.4222500000001</v>
      </c>
      <c r="X827" s="6">
        <f t="shared" si="151"/>
        <v>26041.644749999999</v>
      </c>
      <c r="Y827" s="6">
        <f t="shared" si="152"/>
        <v>0.21701370624999999</v>
      </c>
      <c r="Z827" s="6">
        <f t="shared" si="153"/>
        <v>1.3152345833333332</v>
      </c>
      <c r="AA827" s="9">
        <f t="shared" si="154"/>
        <v>120000</v>
      </c>
      <c r="AB827" s="10">
        <v>218</v>
      </c>
      <c r="AC827" s="11">
        <f t="shared" si="155"/>
        <v>47.308987962499998</v>
      </c>
      <c r="AD827" s="12">
        <f t="shared" si="157"/>
        <v>119470</v>
      </c>
      <c r="AE827" s="13">
        <f t="shared" si="158"/>
        <v>530</v>
      </c>
    </row>
    <row r="828" spans="1:31">
      <c r="A828" s="6">
        <v>30</v>
      </c>
      <c r="B828" s="6">
        <v>9</v>
      </c>
      <c r="C828" s="6" t="str">
        <f t="shared" si="148"/>
        <v>644345600ASCREW, SELF-TAPPING, PLA PLASTIC, 3.0, CROSS77231114517630000</v>
      </c>
      <c r="D828" s="6" t="s">
        <v>405</v>
      </c>
      <c r="E828" s="6" t="s">
        <v>166</v>
      </c>
      <c r="F828" s="6"/>
      <c r="G828" s="7" t="s">
        <v>144</v>
      </c>
      <c r="H828" s="7"/>
      <c r="I828" s="7"/>
      <c r="J828" s="7"/>
      <c r="K828" s="7"/>
      <c r="L828" s="7">
        <v>7723111</v>
      </c>
      <c r="M828" s="22">
        <v>45176</v>
      </c>
      <c r="N828" s="8" t="s">
        <v>190</v>
      </c>
      <c r="O828" s="8" t="s">
        <v>333</v>
      </c>
      <c r="P828" s="7">
        <v>30000</v>
      </c>
      <c r="Q828" s="7">
        <v>22881.61</v>
      </c>
      <c r="R828" s="7">
        <v>87089500</v>
      </c>
      <c r="S828" s="7">
        <v>15</v>
      </c>
      <c r="T828" s="7" t="s">
        <v>191</v>
      </c>
      <c r="U828" s="7" t="s">
        <v>178</v>
      </c>
      <c r="V828" s="6">
        <f t="shared" si="149"/>
        <v>3432.2415000000001</v>
      </c>
      <c r="W828" s="6">
        <f t="shared" si="150"/>
        <v>343.22415000000001</v>
      </c>
      <c r="X828" s="6">
        <f t="shared" si="151"/>
        <v>3775.4656500000001</v>
      </c>
      <c r="Y828" s="6">
        <f t="shared" si="152"/>
        <v>0.12584885500000001</v>
      </c>
      <c r="Z828" s="6">
        <f t="shared" si="153"/>
        <v>0.76272033333333333</v>
      </c>
      <c r="AA828" s="9">
        <f t="shared" si="154"/>
        <v>30000</v>
      </c>
      <c r="AB828" s="10">
        <v>11952</v>
      </c>
      <c r="AC828" s="11">
        <f t="shared" si="155"/>
        <v>1504.1455149600001</v>
      </c>
      <c r="AD828" s="12">
        <f t="shared" si="157"/>
        <v>26352</v>
      </c>
      <c r="AE828" s="13">
        <f t="shared" si="158"/>
        <v>3648</v>
      </c>
    </row>
    <row r="829" spans="1:31">
      <c r="A829" s="6">
        <v>30</v>
      </c>
      <c r="B829" s="6">
        <v>10</v>
      </c>
      <c r="C829" s="6" t="str">
        <f t="shared" si="148"/>
        <v>628408700ASCREW, STANDARD, METRIC, M5, HEXALOBULAR INTERNAL95252474529545000</v>
      </c>
      <c r="D829" s="6" t="s">
        <v>405</v>
      </c>
      <c r="E829" s="6" t="s">
        <v>167</v>
      </c>
      <c r="F829" s="6"/>
      <c r="G829" s="7" t="s">
        <v>145</v>
      </c>
      <c r="H829" s="7"/>
      <c r="I829" s="7"/>
      <c r="J829" s="7"/>
      <c r="K829" s="7"/>
      <c r="L829" s="7">
        <v>9525247</v>
      </c>
      <c r="M829" s="22">
        <v>45295</v>
      </c>
      <c r="N829" s="8" t="s">
        <v>190</v>
      </c>
      <c r="O829" s="8" t="s">
        <v>333</v>
      </c>
      <c r="P829" s="7">
        <v>45000</v>
      </c>
      <c r="Q829" s="7">
        <v>229052.28</v>
      </c>
      <c r="R829" s="7">
        <v>87089400</v>
      </c>
      <c r="S829" s="7">
        <v>15</v>
      </c>
      <c r="T829" s="7" t="s">
        <v>367</v>
      </c>
      <c r="U829" s="7" t="s">
        <v>178</v>
      </c>
      <c r="V829" s="6">
        <f t="shared" si="149"/>
        <v>34357.841999999997</v>
      </c>
      <c r="W829" s="6">
        <f t="shared" si="150"/>
        <v>3435.7842000000001</v>
      </c>
      <c r="X829" s="6">
        <f t="shared" si="151"/>
        <v>37793.626199999999</v>
      </c>
      <c r="Y829" s="6">
        <f t="shared" si="152"/>
        <v>0.83985836000000003</v>
      </c>
      <c r="Z829" s="6">
        <f t="shared" si="153"/>
        <v>5.0900506666666665</v>
      </c>
      <c r="AA829" s="9">
        <f t="shared" si="154"/>
        <v>45000</v>
      </c>
      <c r="AB829" s="10">
        <v>7175</v>
      </c>
      <c r="AC829" s="11">
        <f t="shared" si="155"/>
        <v>6025.983733</v>
      </c>
      <c r="AD829" s="12">
        <f t="shared" si="157"/>
        <v>45000</v>
      </c>
      <c r="AE829" s="13">
        <f t="shared" si="158"/>
        <v>0</v>
      </c>
    </row>
    <row r="830" spans="1:31">
      <c r="A830" s="6">
        <v>30</v>
      </c>
      <c r="B830" s="6">
        <v>11</v>
      </c>
      <c r="C830" s="6" t="str">
        <f t="shared" si="148"/>
        <v>628408700ASCREW, STANDARD, METRIC, M5, HEXALOBULAR INTERNAL87160874524025000</v>
      </c>
      <c r="D830" s="6" t="s">
        <v>405</v>
      </c>
      <c r="E830" s="6" t="s">
        <v>167</v>
      </c>
      <c r="F830" s="6"/>
      <c r="G830" s="7" t="s">
        <v>145</v>
      </c>
      <c r="H830" s="7"/>
      <c r="I830" s="7"/>
      <c r="J830" s="7"/>
      <c r="K830" s="7"/>
      <c r="L830" s="7">
        <v>8716087</v>
      </c>
      <c r="M830" s="22">
        <v>45240</v>
      </c>
      <c r="N830" s="8" t="s">
        <v>180</v>
      </c>
      <c r="O830" s="8" t="s">
        <v>333</v>
      </c>
      <c r="P830" s="7">
        <v>25000</v>
      </c>
      <c r="Q830" s="7">
        <v>131287.13</v>
      </c>
      <c r="R830" s="7">
        <v>87089900</v>
      </c>
      <c r="S830" s="7">
        <v>15</v>
      </c>
      <c r="T830" s="7" t="s">
        <v>391</v>
      </c>
      <c r="U830" s="7" t="s">
        <v>178</v>
      </c>
      <c r="V830" s="6">
        <f t="shared" si="149"/>
        <v>19693.069500000001</v>
      </c>
      <c r="W830" s="6">
        <f t="shared" si="150"/>
        <v>1969.3069500000001</v>
      </c>
      <c r="X830" s="6">
        <f t="shared" si="151"/>
        <v>21662.376450000003</v>
      </c>
      <c r="Y830" s="6">
        <f t="shared" si="152"/>
        <v>0.86649505800000015</v>
      </c>
      <c r="Z830" s="6">
        <f t="shared" si="153"/>
        <v>5.2514852000000003</v>
      </c>
      <c r="AA830" s="9">
        <f t="shared" si="154"/>
        <v>25000</v>
      </c>
      <c r="AB830" s="10">
        <v>10753</v>
      </c>
      <c r="AC830" s="11">
        <f t="shared" si="155"/>
        <v>9317.4213586740025</v>
      </c>
      <c r="AD830" s="12">
        <f t="shared" si="157"/>
        <v>23153</v>
      </c>
      <c r="AE830" s="13">
        <f t="shared" si="158"/>
        <v>1847</v>
      </c>
    </row>
    <row r="831" spans="1:31">
      <c r="A831" s="6">
        <v>30</v>
      </c>
      <c r="B831" s="6">
        <v>12</v>
      </c>
      <c r="C831" s="6" t="str">
        <f t="shared" si="148"/>
        <v>651409900ASCREW, STD METRIC M6 HEXALOBULAR INTERNAL, T461946484558330000</v>
      </c>
      <c r="D831" s="6" t="s">
        <v>405</v>
      </c>
      <c r="E831" s="6" t="s">
        <v>168</v>
      </c>
      <c r="F831" s="6"/>
      <c r="G831" s="7" t="s">
        <v>146</v>
      </c>
      <c r="H831" s="7"/>
      <c r="I831" s="7"/>
      <c r="J831" s="7"/>
      <c r="K831" s="7"/>
      <c r="L831" s="7">
        <v>6194648</v>
      </c>
      <c r="M831" s="22">
        <v>45583</v>
      </c>
      <c r="N831" s="8" t="s">
        <v>182</v>
      </c>
      <c r="O831" s="8" t="s">
        <v>332</v>
      </c>
      <c r="P831" s="7">
        <v>30000</v>
      </c>
      <c r="Q831" s="7">
        <v>100812.59</v>
      </c>
      <c r="R831" s="7">
        <v>87089500</v>
      </c>
      <c r="S831" s="7">
        <v>15</v>
      </c>
      <c r="T831" s="7" t="s">
        <v>402</v>
      </c>
      <c r="U831" s="7" t="s">
        <v>178</v>
      </c>
      <c r="V831" s="6">
        <f t="shared" si="149"/>
        <v>15121.888499999999</v>
      </c>
      <c r="W831" s="6">
        <f t="shared" si="150"/>
        <v>1512.18885</v>
      </c>
      <c r="X831" s="6">
        <f t="shared" si="151"/>
        <v>16634.07735</v>
      </c>
      <c r="Y831" s="6">
        <f t="shared" si="152"/>
        <v>0.55446924499999994</v>
      </c>
      <c r="Z831" s="6">
        <f t="shared" si="153"/>
        <v>3.3604196666666666</v>
      </c>
      <c r="AA831" s="9">
        <f t="shared" si="154"/>
        <v>30000</v>
      </c>
      <c r="AB831" s="10">
        <v>11952</v>
      </c>
      <c r="AC831" s="11">
        <f t="shared" si="155"/>
        <v>6627.0164162399997</v>
      </c>
      <c r="AD831" s="12">
        <f t="shared" si="157"/>
        <v>26352</v>
      </c>
      <c r="AE831" s="13">
        <f t="shared" si="158"/>
        <v>3648</v>
      </c>
    </row>
    <row r="832" spans="1:31">
      <c r="A832" s="6">
        <v>30</v>
      </c>
      <c r="B832" s="6">
        <v>13</v>
      </c>
      <c r="C832" s="6" t="str">
        <f t="shared" si="148"/>
        <v>608225700ASCREW,STD METRIIC HEXALOBULAR  M5 T25 12MM66767534561055000</v>
      </c>
      <c r="D832" s="6" t="s">
        <v>405</v>
      </c>
      <c r="E832" s="6" t="s">
        <v>169</v>
      </c>
      <c r="F832" s="6"/>
      <c r="G832" s="7" t="s">
        <v>147</v>
      </c>
      <c r="H832" s="7"/>
      <c r="I832" s="7"/>
      <c r="J832" s="7"/>
      <c r="K832" s="7"/>
      <c r="L832" s="7">
        <v>6676753</v>
      </c>
      <c r="M832" s="22">
        <v>45610</v>
      </c>
      <c r="N832" s="8" t="s">
        <v>189</v>
      </c>
      <c r="O832" s="8" t="s">
        <v>333</v>
      </c>
      <c r="P832" s="7">
        <v>55000</v>
      </c>
      <c r="Q832" s="7">
        <v>182574.3</v>
      </c>
      <c r="R832" s="7">
        <v>87089400</v>
      </c>
      <c r="S832" s="7">
        <v>15</v>
      </c>
      <c r="T832" s="7" t="s">
        <v>393</v>
      </c>
      <c r="U832" s="7" t="s">
        <v>178</v>
      </c>
      <c r="V832" s="6">
        <f t="shared" si="149"/>
        <v>27386.144999999997</v>
      </c>
      <c r="W832" s="6">
        <f t="shared" si="150"/>
        <v>2738.6144999999997</v>
      </c>
      <c r="X832" s="6">
        <f t="shared" si="151"/>
        <v>30124.759499999996</v>
      </c>
      <c r="Y832" s="6">
        <f t="shared" si="152"/>
        <v>0.5477228999999999</v>
      </c>
      <c r="Z832" s="6">
        <f t="shared" si="153"/>
        <v>3.3195327272727271</v>
      </c>
      <c r="AA832" s="9">
        <f t="shared" si="154"/>
        <v>55000</v>
      </c>
      <c r="AB832" s="10">
        <v>11978</v>
      </c>
      <c r="AC832" s="11">
        <f t="shared" si="155"/>
        <v>6560.6248961999991</v>
      </c>
      <c r="AD832" s="12">
        <f t="shared" si="157"/>
        <v>54960</v>
      </c>
      <c r="AE832" s="13">
        <f t="shared" si="158"/>
        <v>40</v>
      </c>
    </row>
    <row r="833" spans="1:31">
      <c r="A833" s="6">
        <v>30</v>
      </c>
      <c r="B833" s="6">
        <v>14</v>
      </c>
      <c r="C833" s="6" t="str">
        <f t="shared" si="148"/>
        <v>651166400CSPRING, COIL, UPPER 67696774561645000</v>
      </c>
      <c r="D833" s="6" t="s">
        <v>405</v>
      </c>
      <c r="E833" s="6" t="s">
        <v>170</v>
      </c>
      <c r="F833" s="6"/>
      <c r="G833" s="7" t="s">
        <v>148</v>
      </c>
      <c r="H833" s="7"/>
      <c r="I833" s="7"/>
      <c r="J833" s="7"/>
      <c r="K833" s="7"/>
      <c r="L833" s="7">
        <v>6769677</v>
      </c>
      <c r="M833" s="22">
        <v>45616</v>
      </c>
      <c r="N833" s="8" t="s">
        <v>189</v>
      </c>
      <c r="O833" s="8" t="s">
        <v>333</v>
      </c>
      <c r="P833" s="7">
        <v>45000</v>
      </c>
      <c r="Q833" s="7">
        <v>85565.71</v>
      </c>
      <c r="R833" s="7">
        <v>87089500</v>
      </c>
      <c r="S833" s="7">
        <v>15</v>
      </c>
      <c r="T833" s="7" t="s">
        <v>386</v>
      </c>
      <c r="U833" s="7" t="s">
        <v>178</v>
      </c>
      <c r="V833" s="6">
        <f t="shared" si="149"/>
        <v>12834.8565</v>
      </c>
      <c r="W833" s="6">
        <f t="shared" si="150"/>
        <v>1283.4856500000001</v>
      </c>
      <c r="X833" s="6">
        <f t="shared" si="151"/>
        <v>14118.34215</v>
      </c>
      <c r="Y833" s="6">
        <f t="shared" si="152"/>
        <v>0.31374093666666669</v>
      </c>
      <c r="Z833" s="6">
        <f t="shared" si="153"/>
        <v>1.9014602222222223</v>
      </c>
      <c r="AA833" s="9">
        <f t="shared" si="154"/>
        <v>45000</v>
      </c>
      <c r="AB833" s="10">
        <v>17928</v>
      </c>
      <c r="AC833" s="11">
        <f t="shared" si="155"/>
        <v>5624.7475125600004</v>
      </c>
      <c r="AD833" s="12">
        <f t="shared" si="157"/>
        <v>38068</v>
      </c>
      <c r="AE833" s="13">
        <f t="shared" si="158"/>
        <v>6932</v>
      </c>
    </row>
    <row r="834" spans="1:31">
      <c r="A834" s="6">
        <v>30</v>
      </c>
      <c r="B834" s="6">
        <v>15</v>
      </c>
      <c r="C834" s="6" t="str">
        <f t="shared" ref="C834:C897" si="159">E834&amp;G834&amp;L834&amp;M834&amp;P834</f>
        <v>651015100AARMATURE, MONOBLOCK, ASW4, HYUNDAI BC34646728449721782</v>
      </c>
      <c r="D834" s="6" t="s">
        <v>405</v>
      </c>
      <c r="E834" s="6" t="s">
        <v>158</v>
      </c>
      <c r="F834" s="6"/>
      <c r="G834" s="7" t="s">
        <v>135</v>
      </c>
      <c r="H834" s="7"/>
      <c r="I834" s="7"/>
      <c r="J834" s="7"/>
      <c r="K834" s="7"/>
      <c r="L834" s="7">
        <v>4646728</v>
      </c>
      <c r="M834" s="22">
        <v>44972</v>
      </c>
      <c r="N834" s="8" t="s">
        <v>184</v>
      </c>
      <c r="O834" s="8" t="s">
        <v>332</v>
      </c>
      <c r="P834" s="7">
        <v>1782</v>
      </c>
      <c r="Q834" s="7">
        <v>905743.22</v>
      </c>
      <c r="R834" s="7">
        <v>87089400</v>
      </c>
      <c r="S834" s="7">
        <v>15</v>
      </c>
      <c r="T834" s="7" t="s">
        <v>186</v>
      </c>
      <c r="U834" s="7" t="s">
        <v>178</v>
      </c>
      <c r="V834" s="6">
        <f t="shared" ref="V834" si="160">Q834*S834%</f>
        <v>135861.48299999998</v>
      </c>
      <c r="W834" s="6">
        <f t="shared" ref="W834" si="161">V834*0.1</f>
        <v>13586.148299999999</v>
      </c>
      <c r="X834" s="6">
        <f t="shared" ref="X834" si="162">V834+W834</f>
        <v>149447.63129999998</v>
      </c>
      <c r="Y834" s="6">
        <f t="shared" ref="Y834" si="163">X834/P834</f>
        <v>83.865112962962954</v>
      </c>
      <c r="Z834" s="6">
        <f t="shared" ref="Z834" si="164">Q834/P834</f>
        <v>508.27341189674519</v>
      </c>
      <c r="AA834" s="9">
        <f t="shared" ref="AA834" si="165">P834</f>
        <v>1782</v>
      </c>
      <c r="AB834" s="10">
        <v>11</v>
      </c>
      <c r="AC834" s="11">
        <f t="shared" si="155"/>
        <v>922.51624259259245</v>
      </c>
      <c r="AD834" s="12">
        <f t="shared" si="157"/>
        <v>1632</v>
      </c>
      <c r="AE834" s="13">
        <f t="shared" si="158"/>
        <v>150</v>
      </c>
    </row>
    <row r="835" spans="1:31">
      <c r="A835" s="6">
        <v>1</v>
      </c>
      <c r="B835" s="6">
        <v>1</v>
      </c>
      <c r="C835" s="6" t="str">
        <f t="shared" si="159"/>
        <v>621343500CNUT, ISO, M5, NYLON INSE NYLON INSERT417070644928390000</v>
      </c>
      <c r="D835" s="7" t="s">
        <v>229</v>
      </c>
      <c r="E835" s="6" t="s">
        <v>45</v>
      </c>
      <c r="F835" s="6"/>
      <c r="G835" s="7" t="s">
        <v>7</v>
      </c>
      <c r="H835" s="19"/>
      <c r="I835" s="19"/>
      <c r="J835" s="19"/>
      <c r="K835" s="19"/>
      <c r="L835" s="14">
        <v>4170706</v>
      </c>
      <c r="M835" s="22">
        <v>44928</v>
      </c>
      <c r="N835" s="19" t="s">
        <v>196</v>
      </c>
      <c r="O835" s="19" t="s">
        <v>332</v>
      </c>
      <c r="P835" s="15">
        <v>390000</v>
      </c>
      <c r="Q835" s="15">
        <v>806536.88</v>
      </c>
      <c r="R835" s="15">
        <v>87089500</v>
      </c>
      <c r="S835" s="15">
        <v>15</v>
      </c>
      <c r="T835" s="19" t="s">
        <v>301</v>
      </c>
      <c r="U835" s="19" t="s">
        <v>178</v>
      </c>
      <c r="V835" s="16">
        <f>Q835*S835%</f>
        <v>120980.53199999999</v>
      </c>
      <c r="W835" s="16">
        <f>V835*0.1</f>
        <v>12098.0532</v>
      </c>
      <c r="X835" s="16">
        <f>V835+W835</f>
        <v>133078.5852</v>
      </c>
      <c r="Y835" s="16">
        <f>X835/P835</f>
        <v>0.34122714153846156</v>
      </c>
      <c r="Z835" s="16">
        <f>Q835/P835</f>
        <v>2.0680432820512822</v>
      </c>
      <c r="AA835" s="17">
        <f>P835</f>
        <v>390000</v>
      </c>
      <c r="AB835" s="10">
        <v>25152</v>
      </c>
      <c r="AC835" s="18">
        <f>AB835*Y835</f>
        <v>8582.5450639753853</v>
      </c>
      <c r="AD835" s="12">
        <f t="shared" si="157"/>
        <v>385128</v>
      </c>
      <c r="AE835" s="13">
        <f t="shared" si="158"/>
        <v>4872</v>
      </c>
    </row>
    <row r="836" spans="1:31">
      <c r="A836" s="6">
        <v>1</v>
      </c>
      <c r="B836" s="6">
        <f>B835+1</f>
        <v>2</v>
      </c>
      <c r="C836" s="6" t="str">
        <f t="shared" si="159"/>
        <v>643302000AINFLATOR, ADP-1.3B, MP, MIB, SQUARE, NO STUD40951444492815552</v>
      </c>
      <c r="D836" s="7" t="s">
        <v>229</v>
      </c>
      <c r="E836" s="6" t="s">
        <v>46</v>
      </c>
      <c r="F836" s="6"/>
      <c r="G836" s="7" t="s">
        <v>8</v>
      </c>
      <c r="H836" s="19"/>
      <c r="I836" s="19"/>
      <c r="J836" s="19"/>
      <c r="K836" s="19"/>
      <c r="L836" s="14">
        <v>4095144</v>
      </c>
      <c r="M836" s="22">
        <v>44928</v>
      </c>
      <c r="N836" s="19" t="s">
        <v>199</v>
      </c>
      <c r="O836" s="19" t="s">
        <v>333</v>
      </c>
      <c r="P836" s="15">
        <v>15552</v>
      </c>
      <c r="Q836" s="15">
        <v>5103595.95</v>
      </c>
      <c r="R836" s="15">
        <v>87089500</v>
      </c>
      <c r="S836" s="15">
        <v>15</v>
      </c>
      <c r="T836" s="19" t="s">
        <v>202</v>
      </c>
      <c r="U836" s="19" t="s">
        <v>200</v>
      </c>
      <c r="V836" s="16">
        <f t="shared" ref="V836:V899" si="166">Q836*S836%</f>
        <v>765539.39249999996</v>
      </c>
      <c r="W836" s="16">
        <f t="shared" ref="W836:W899" si="167">V836*0.1</f>
        <v>76553.939249999996</v>
      </c>
      <c r="X836" s="16">
        <f t="shared" ref="X836:X899" si="168">V836+W836</f>
        <v>842093.3317499999</v>
      </c>
      <c r="Y836" s="16">
        <f t="shared" ref="Y836:Y899" si="169">X836/P836</f>
        <v>54.146947771990732</v>
      </c>
      <c r="Z836" s="16">
        <f t="shared" ref="Z836:Z899" si="170">Q836/P836</f>
        <v>328.16331983024691</v>
      </c>
      <c r="AA836" s="17">
        <f t="shared" ref="AA836:AA899" si="171">P836</f>
        <v>15552</v>
      </c>
      <c r="AB836" s="10">
        <v>6288</v>
      </c>
      <c r="AC836" s="18">
        <f t="shared" ref="AC836:AC899" si="172">AB836*Y836</f>
        <v>340476.0075902777</v>
      </c>
      <c r="AD836" s="12">
        <f t="shared" si="157"/>
        <v>15552</v>
      </c>
      <c r="AE836" s="13">
        <f t="shared" ref="AE836:AE899" si="173">AA836-AD836</f>
        <v>0</v>
      </c>
    </row>
    <row r="837" spans="1:31">
      <c r="A837" s="6">
        <v>1</v>
      </c>
      <c r="B837" s="6">
        <f t="shared" ref="B837:B900" si="174">B836+1</f>
        <v>3</v>
      </c>
      <c r="C837" s="6" t="str">
        <f t="shared" si="159"/>
        <v>570028800FNUT, ISO, M5, LOCK, THRE LOCK, THREE SIDED TAMPER393103644928624000</v>
      </c>
      <c r="D837" s="7" t="s">
        <v>229</v>
      </c>
      <c r="E837" s="6" t="s">
        <v>47</v>
      </c>
      <c r="F837" s="6"/>
      <c r="G837" s="7" t="s">
        <v>9</v>
      </c>
      <c r="H837" s="19"/>
      <c r="I837" s="19"/>
      <c r="J837" s="19"/>
      <c r="K837" s="19"/>
      <c r="L837" s="14">
        <v>3931036</v>
      </c>
      <c r="M837" s="22">
        <v>44928</v>
      </c>
      <c r="N837" s="19" t="s">
        <v>185</v>
      </c>
      <c r="O837" s="19" t="s">
        <v>332</v>
      </c>
      <c r="P837" s="15">
        <v>624000</v>
      </c>
      <c r="Q837" s="15">
        <v>1155867.1000000001</v>
      </c>
      <c r="R837" s="15">
        <v>87089500</v>
      </c>
      <c r="S837" s="15">
        <v>15</v>
      </c>
      <c r="T837" s="19" t="s">
        <v>302</v>
      </c>
      <c r="U837" s="19" t="s">
        <v>178</v>
      </c>
      <c r="V837" s="16">
        <f t="shared" si="166"/>
        <v>173380.065</v>
      </c>
      <c r="W837" s="16">
        <f t="shared" si="167"/>
        <v>17338.0065</v>
      </c>
      <c r="X837" s="16">
        <f t="shared" si="168"/>
        <v>190718.07149999999</v>
      </c>
      <c r="Y837" s="16">
        <f t="shared" si="169"/>
        <v>0.30563793509615383</v>
      </c>
      <c r="Z837" s="16">
        <f t="shared" si="170"/>
        <v>1.852351121794872</v>
      </c>
      <c r="AA837" s="17">
        <f t="shared" si="171"/>
        <v>624000</v>
      </c>
      <c r="AB837" s="10">
        <v>21408</v>
      </c>
      <c r="AC837" s="18">
        <f t="shared" si="172"/>
        <v>6543.0969145384615</v>
      </c>
      <c r="AD837" s="12">
        <f t="shared" si="157"/>
        <v>227952</v>
      </c>
      <c r="AE837" s="13">
        <f t="shared" si="173"/>
        <v>396048</v>
      </c>
    </row>
    <row r="838" spans="1:31">
      <c r="A838" s="6">
        <v>1</v>
      </c>
      <c r="B838" s="6">
        <f t="shared" si="174"/>
        <v>4</v>
      </c>
      <c r="C838" s="6" t="str">
        <f t="shared" si="159"/>
        <v>632955901AINFLATORS, APP-4.6 38556944491719008</v>
      </c>
      <c r="D838" s="7" t="s">
        <v>229</v>
      </c>
      <c r="E838" s="6" t="s">
        <v>48</v>
      </c>
      <c r="F838" s="6"/>
      <c r="G838" s="7" t="s">
        <v>10</v>
      </c>
      <c r="H838" s="19"/>
      <c r="I838" s="19"/>
      <c r="J838" s="19"/>
      <c r="K838" s="19"/>
      <c r="L838" s="14">
        <v>3855694</v>
      </c>
      <c r="M838" s="22">
        <v>44917</v>
      </c>
      <c r="N838" s="19" t="s">
        <v>185</v>
      </c>
      <c r="O838" s="19" t="s">
        <v>332</v>
      </c>
      <c r="P838" s="15">
        <v>19008</v>
      </c>
      <c r="Q838" s="15">
        <v>7453543.8499999996</v>
      </c>
      <c r="R838" s="15">
        <v>87089500</v>
      </c>
      <c r="S838" s="15">
        <v>15</v>
      </c>
      <c r="T838" s="19" t="s">
        <v>203</v>
      </c>
      <c r="U838" s="19" t="s">
        <v>200</v>
      </c>
      <c r="V838" s="16">
        <f t="shared" si="166"/>
        <v>1118031.5774999999</v>
      </c>
      <c r="W838" s="16">
        <f t="shared" si="167"/>
        <v>111803.15775</v>
      </c>
      <c r="X838" s="16">
        <f t="shared" si="168"/>
        <v>1229834.7352499999</v>
      </c>
      <c r="Y838" s="16">
        <f t="shared" si="169"/>
        <v>64.700901475694437</v>
      </c>
      <c r="Z838" s="16">
        <f t="shared" si="170"/>
        <v>392.12667561026933</v>
      </c>
      <c r="AA838" s="17">
        <f t="shared" si="171"/>
        <v>19008</v>
      </c>
      <c r="AB838" s="10">
        <v>5352</v>
      </c>
      <c r="AC838" s="18">
        <f t="shared" si="172"/>
        <v>346279.22469791665</v>
      </c>
      <c r="AD838" s="12">
        <f t="shared" si="157"/>
        <v>19008</v>
      </c>
      <c r="AE838" s="13">
        <f t="shared" si="173"/>
        <v>0</v>
      </c>
    </row>
    <row r="839" spans="1:31">
      <c r="A839" s="6">
        <v>1</v>
      </c>
      <c r="B839" s="6">
        <f t="shared" si="174"/>
        <v>5</v>
      </c>
      <c r="C839" s="6" t="str">
        <f t="shared" si="159"/>
        <v>655116100ALABEL, BLANK, 50.0, 25.0  LABEL, BLANK, 2PCS, 50X42294544483145000</v>
      </c>
      <c r="D839" s="7" t="s">
        <v>229</v>
      </c>
      <c r="E839" s="6" t="s">
        <v>49</v>
      </c>
      <c r="F839" s="6"/>
      <c r="G839" s="7" t="s">
        <v>11</v>
      </c>
      <c r="H839" s="19"/>
      <c r="I839" s="19"/>
      <c r="J839" s="19"/>
      <c r="K839" s="19"/>
      <c r="L839" s="14">
        <v>4229454</v>
      </c>
      <c r="M839" s="22">
        <v>44831</v>
      </c>
      <c r="N839" s="19" t="s">
        <v>196</v>
      </c>
      <c r="O839" s="19" t="s">
        <v>333</v>
      </c>
      <c r="P839" s="15">
        <v>45000</v>
      </c>
      <c r="Q839" s="15">
        <v>127149.27</v>
      </c>
      <c r="R839" s="15">
        <v>87089500</v>
      </c>
      <c r="S839" s="15">
        <v>15</v>
      </c>
      <c r="T839" s="19" t="s">
        <v>303</v>
      </c>
      <c r="U839" s="19" t="s">
        <v>178</v>
      </c>
      <c r="V839" s="16">
        <f t="shared" si="166"/>
        <v>19072.390500000001</v>
      </c>
      <c r="W839" s="16">
        <f t="shared" si="167"/>
        <v>1907.2390500000001</v>
      </c>
      <c r="X839" s="16">
        <f t="shared" si="168"/>
        <v>20979.629550000001</v>
      </c>
      <c r="Y839" s="16">
        <f t="shared" si="169"/>
        <v>0.46621399000000002</v>
      </c>
      <c r="Z839" s="16">
        <f t="shared" si="170"/>
        <v>2.8255393333333334</v>
      </c>
      <c r="AA839" s="17">
        <f t="shared" si="171"/>
        <v>45000</v>
      </c>
      <c r="AB839" s="10">
        <v>5352</v>
      </c>
      <c r="AC839" s="18">
        <f t="shared" si="172"/>
        <v>2495.1772744800001</v>
      </c>
      <c r="AD839" s="12">
        <f t="shared" si="157"/>
        <v>45000</v>
      </c>
      <c r="AE839" s="13">
        <f t="shared" si="173"/>
        <v>0</v>
      </c>
    </row>
    <row r="840" spans="1:31">
      <c r="A840" s="6">
        <v>1</v>
      </c>
      <c r="B840" s="6">
        <f t="shared" si="174"/>
        <v>6</v>
      </c>
      <c r="C840" s="6" t="str">
        <f t="shared" si="159"/>
        <v>603171100BTAPE, ADHESIVE, TERAOKA TERAOKA NO.560S 226314894484950000</v>
      </c>
      <c r="D840" s="7" t="s">
        <v>229</v>
      </c>
      <c r="E840" s="6" t="s">
        <v>50</v>
      </c>
      <c r="F840" s="6"/>
      <c r="G840" s="7" t="s">
        <v>12</v>
      </c>
      <c r="H840" s="19"/>
      <c r="I840" s="19"/>
      <c r="J840" s="19"/>
      <c r="K840" s="19"/>
      <c r="L840" s="14">
        <v>2631489</v>
      </c>
      <c r="M840" s="22">
        <v>44849</v>
      </c>
      <c r="N840" s="19" t="s">
        <v>196</v>
      </c>
      <c r="O840" s="19" t="s">
        <v>333</v>
      </c>
      <c r="P840" s="15">
        <v>50000</v>
      </c>
      <c r="Q840" s="15">
        <v>298875.90000000002</v>
      </c>
      <c r="R840" s="15">
        <v>87082900</v>
      </c>
      <c r="S840" s="15">
        <v>15</v>
      </c>
      <c r="T840" s="19" t="s">
        <v>334</v>
      </c>
      <c r="U840" s="19" t="s">
        <v>178</v>
      </c>
      <c r="V840" s="16">
        <f t="shared" si="166"/>
        <v>44831.385000000002</v>
      </c>
      <c r="W840" s="16">
        <f t="shared" si="167"/>
        <v>4483.1385</v>
      </c>
      <c r="X840" s="16">
        <f t="shared" si="168"/>
        <v>49314.523500000003</v>
      </c>
      <c r="Y840" s="16">
        <f t="shared" si="169"/>
        <v>0.98629047000000003</v>
      </c>
      <c r="Z840" s="16">
        <f t="shared" si="170"/>
        <v>5.9775180000000008</v>
      </c>
      <c r="AA840" s="17">
        <f t="shared" si="171"/>
        <v>50000</v>
      </c>
      <c r="AB840" s="10">
        <v>1000</v>
      </c>
      <c r="AC840" s="18">
        <f t="shared" si="172"/>
        <v>986.29047000000003</v>
      </c>
      <c r="AD840" s="12">
        <f t="shared" si="157"/>
        <v>3937.6</v>
      </c>
      <c r="AE840" s="13">
        <f t="shared" si="173"/>
        <v>46062.400000000001</v>
      </c>
    </row>
    <row r="841" spans="1:31">
      <c r="A841" s="6">
        <v>1</v>
      </c>
      <c r="B841" s="6">
        <f t="shared" si="174"/>
        <v>7</v>
      </c>
      <c r="C841" s="6" t="str">
        <f t="shared" si="159"/>
        <v>603171100BTAPE, ADHESIVE, TERAOKA TERAOKA NO.560S 228985964482360000</v>
      </c>
      <c r="D841" s="7" t="s">
        <v>229</v>
      </c>
      <c r="E841" s="6" t="s">
        <v>50</v>
      </c>
      <c r="F841" s="6"/>
      <c r="G841" s="7" t="s">
        <v>12</v>
      </c>
      <c r="H841" s="19"/>
      <c r="I841" s="19"/>
      <c r="J841" s="19"/>
      <c r="K841" s="19"/>
      <c r="L841" s="14">
        <v>2898596</v>
      </c>
      <c r="M841" s="22">
        <v>44823</v>
      </c>
      <c r="N841" s="19" t="s">
        <v>180</v>
      </c>
      <c r="O841" s="19" t="s">
        <v>333</v>
      </c>
      <c r="P841" s="15">
        <v>60000</v>
      </c>
      <c r="Q841" s="15">
        <v>334824.25</v>
      </c>
      <c r="R841" s="15">
        <v>87089400</v>
      </c>
      <c r="S841" s="15">
        <v>15</v>
      </c>
      <c r="T841" s="19" t="s">
        <v>335</v>
      </c>
      <c r="U841" s="19" t="s">
        <v>178</v>
      </c>
      <c r="V841" s="16">
        <f t="shared" si="166"/>
        <v>50223.637499999997</v>
      </c>
      <c r="W841" s="16">
        <f t="shared" si="167"/>
        <v>5022.3637500000004</v>
      </c>
      <c r="X841" s="16">
        <f t="shared" si="168"/>
        <v>55246.001250000001</v>
      </c>
      <c r="Y841" s="16">
        <f t="shared" si="169"/>
        <v>0.92076668750000001</v>
      </c>
      <c r="Z841" s="16">
        <f t="shared" si="170"/>
        <v>5.5804041666666668</v>
      </c>
      <c r="AA841" s="17">
        <f t="shared" si="171"/>
        <v>60000</v>
      </c>
      <c r="AB841" s="10">
        <v>296</v>
      </c>
      <c r="AC841" s="18">
        <f t="shared" si="172"/>
        <v>272.54693950000001</v>
      </c>
      <c r="AD841" s="12">
        <f t="shared" si="157"/>
        <v>1200</v>
      </c>
      <c r="AE841" s="13">
        <f t="shared" si="173"/>
        <v>58800</v>
      </c>
    </row>
    <row r="842" spans="1:31">
      <c r="A842" s="6">
        <v>1</v>
      </c>
      <c r="B842" s="6">
        <f t="shared" si="174"/>
        <v>8</v>
      </c>
      <c r="C842" s="6" t="str">
        <f t="shared" si="159"/>
        <v>609183701ASTUD, M6 X 1.0, 16.0561310344974140000</v>
      </c>
      <c r="D842" s="7" t="s">
        <v>229</v>
      </c>
      <c r="E842" s="6" t="s">
        <v>51</v>
      </c>
      <c r="F842" s="6"/>
      <c r="G842" s="7" t="s">
        <v>411</v>
      </c>
      <c r="H842" s="19"/>
      <c r="I842" s="19"/>
      <c r="J842" s="19"/>
      <c r="K842" s="19"/>
      <c r="L842" s="14">
        <v>5613103</v>
      </c>
      <c r="M842" s="22">
        <v>44974</v>
      </c>
      <c r="N842" s="19" t="s">
        <v>185</v>
      </c>
      <c r="O842" s="19" t="s">
        <v>332</v>
      </c>
      <c r="P842" s="15">
        <v>140000</v>
      </c>
      <c r="Q842" s="15">
        <v>402663.89</v>
      </c>
      <c r="R842" s="15">
        <v>87082900</v>
      </c>
      <c r="S842" s="15">
        <v>15</v>
      </c>
      <c r="T842" s="19" t="s">
        <v>304</v>
      </c>
      <c r="U842" s="19" t="s">
        <v>178</v>
      </c>
      <c r="V842" s="16">
        <f t="shared" si="166"/>
        <v>60399.583500000001</v>
      </c>
      <c r="W842" s="16">
        <f t="shared" si="167"/>
        <v>6039.9583500000008</v>
      </c>
      <c r="X842" s="16">
        <f t="shared" si="168"/>
        <v>66439.541850000009</v>
      </c>
      <c r="Y842" s="16">
        <f t="shared" si="169"/>
        <v>0.47456815607142866</v>
      </c>
      <c r="Z842" s="16">
        <f t="shared" si="170"/>
        <v>2.8761706428571427</v>
      </c>
      <c r="AA842" s="17">
        <f t="shared" si="171"/>
        <v>140000</v>
      </c>
      <c r="AB842" s="10">
        <v>8640</v>
      </c>
      <c r="AC842" s="18">
        <f t="shared" si="172"/>
        <v>4100.268868457144</v>
      </c>
      <c r="AD842" s="12">
        <f t="shared" si="157"/>
        <v>140000</v>
      </c>
      <c r="AE842" s="13">
        <f t="shared" si="173"/>
        <v>0</v>
      </c>
    </row>
    <row r="843" spans="1:31">
      <c r="A843" s="6">
        <v>1</v>
      </c>
      <c r="B843" s="6">
        <f t="shared" si="174"/>
        <v>9</v>
      </c>
      <c r="C843" s="6" t="str">
        <f t="shared" si="159"/>
        <v>616531900ARING, CRIMP, CLAMP, BAND466647844973100000</v>
      </c>
      <c r="D843" s="7" t="s">
        <v>229</v>
      </c>
      <c r="E843" s="6" t="s">
        <v>52</v>
      </c>
      <c r="F843" s="6"/>
      <c r="G843" s="7" t="s">
        <v>410</v>
      </c>
      <c r="H843" s="19"/>
      <c r="I843" s="19"/>
      <c r="J843" s="19"/>
      <c r="K843" s="19"/>
      <c r="L843" s="14">
        <v>4666478</v>
      </c>
      <c r="M843" s="22">
        <v>44973</v>
      </c>
      <c r="N843" s="19" t="s">
        <v>199</v>
      </c>
      <c r="O843" s="19" t="s">
        <v>333</v>
      </c>
      <c r="P843" s="15">
        <v>100000</v>
      </c>
      <c r="Q843" s="15">
        <v>1733493.63</v>
      </c>
      <c r="R843" s="15">
        <v>87089500</v>
      </c>
      <c r="S843" s="15">
        <v>15</v>
      </c>
      <c r="T843" s="19" t="s">
        <v>305</v>
      </c>
      <c r="U843" s="19" t="s">
        <v>178</v>
      </c>
      <c r="V843" s="16">
        <f t="shared" si="166"/>
        <v>260024.04449999996</v>
      </c>
      <c r="W843" s="16">
        <f t="shared" si="167"/>
        <v>26002.404449999998</v>
      </c>
      <c r="X843" s="16">
        <f t="shared" si="168"/>
        <v>286026.44894999993</v>
      </c>
      <c r="Y843" s="16">
        <f t="shared" si="169"/>
        <v>2.8602644894999991</v>
      </c>
      <c r="Z843" s="16">
        <f t="shared" si="170"/>
        <v>17.334936299999999</v>
      </c>
      <c r="AA843" s="17">
        <f t="shared" si="171"/>
        <v>100000</v>
      </c>
      <c r="AB843" s="10">
        <v>8640</v>
      </c>
      <c r="AC843" s="18">
        <f t="shared" si="172"/>
        <v>24712.685189279993</v>
      </c>
      <c r="AD843" s="12">
        <f t="shared" si="157"/>
        <v>100000</v>
      </c>
      <c r="AE843" s="13">
        <f t="shared" si="173"/>
        <v>0</v>
      </c>
    </row>
    <row r="844" spans="1:31">
      <c r="A844" s="6">
        <v>1</v>
      </c>
      <c r="B844" s="6">
        <f t="shared" si="174"/>
        <v>10</v>
      </c>
      <c r="C844" s="6" t="str">
        <f t="shared" si="159"/>
        <v>653328100ACUSHION, C AND S, SIDE, LH, BUTTON HOLE STYLE, S4291231449477040</v>
      </c>
      <c r="D844" s="7" t="s">
        <v>229</v>
      </c>
      <c r="E844" s="6" t="s">
        <v>53</v>
      </c>
      <c r="F844" s="6"/>
      <c r="G844" s="19" t="s">
        <v>13</v>
      </c>
      <c r="H844" s="19"/>
      <c r="I844" s="19"/>
      <c r="J844" s="19"/>
      <c r="K844" s="19"/>
      <c r="L844" s="14">
        <v>4291231</v>
      </c>
      <c r="M844" s="22">
        <v>44947</v>
      </c>
      <c r="N844" s="19" t="s">
        <v>197</v>
      </c>
      <c r="O844" s="19" t="s">
        <v>333</v>
      </c>
      <c r="P844" s="15">
        <v>7040</v>
      </c>
      <c r="Q844" s="15">
        <v>6001485.5700000003</v>
      </c>
      <c r="R844" s="15">
        <v>87089500</v>
      </c>
      <c r="S844" s="15">
        <v>5</v>
      </c>
      <c r="T844" s="19" t="s">
        <v>204</v>
      </c>
      <c r="U844" s="19" t="s">
        <v>178</v>
      </c>
      <c r="V844" s="16">
        <f t="shared" si="166"/>
        <v>300074.27850000001</v>
      </c>
      <c r="W844" s="16">
        <f t="shared" si="167"/>
        <v>30007.427850000004</v>
      </c>
      <c r="X844" s="16">
        <f t="shared" si="168"/>
        <v>330081.70634999999</v>
      </c>
      <c r="Y844" s="16">
        <f t="shared" si="169"/>
        <v>46.886606015624999</v>
      </c>
      <c r="Z844" s="16">
        <f t="shared" si="170"/>
        <v>852.48374573863646</v>
      </c>
      <c r="AA844" s="17">
        <f t="shared" si="171"/>
        <v>7040</v>
      </c>
      <c r="AB844" s="10">
        <v>4320</v>
      </c>
      <c r="AC844" s="18">
        <f t="shared" si="172"/>
        <v>202550.1379875</v>
      </c>
      <c r="AD844" s="12">
        <f t="shared" si="157"/>
        <v>7040</v>
      </c>
      <c r="AE844" s="13">
        <f t="shared" si="173"/>
        <v>0</v>
      </c>
    </row>
    <row r="845" spans="1:31">
      <c r="A845" s="6">
        <v>1</v>
      </c>
      <c r="B845" s="6">
        <f t="shared" si="174"/>
        <v>11</v>
      </c>
      <c r="C845" s="6" t="str">
        <f t="shared" si="159"/>
        <v>PC47516-3810SNAP-IN-FASTENER, PUSH P PUSH PIN, BLACK43773094523742000</v>
      </c>
      <c r="D845" s="7" t="s">
        <v>229</v>
      </c>
      <c r="E845" s="6" t="s">
        <v>54</v>
      </c>
      <c r="F845" s="6"/>
      <c r="G845" s="7" t="s">
        <v>14</v>
      </c>
      <c r="H845" s="19"/>
      <c r="I845" s="19"/>
      <c r="J845" s="19"/>
      <c r="K845" s="19"/>
      <c r="L845" s="14">
        <v>4377309</v>
      </c>
      <c r="M845" s="22">
        <v>45237</v>
      </c>
      <c r="N845" s="19" t="s">
        <v>196</v>
      </c>
      <c r="O845" s="19" t="s">
        <v>333</v>
      </c>
      <c r="P845" s="15">
        <v>42000</v>
      </c>
      <c r="Q845" s="15">
        <v>48121.48</v>
      </c>
      <c r="R845" s="15">
        <v>87089500</v>
      </c>
      <c r="S845" s="15">
        <v>15</v>
      </c>
      <c r="T845" s="19" t="s">
        <v>306</v>
      </c>
      <c r="U845" s="19" t="s">
        <v>178</v>
      </c>
      <c r="V845" s="16">
        <f t="shared" si="166"/>
        <v>7218.2220000000007</v>
      </c>
      <c r="W845" s="16">
        <f t="shared" si="167"/>
        <v>721.82220000000007</v>
      </c>
      <c r="X845" s="16">
        <f t="shared" si="168"/>
        <v>7940.0442000000003</v>
      </c>
      <c r="Y845" s="16">
        <f t="shared" si="169"/>
        <v>0.18904867142857143</v>
      </c>
      <c r="Z845" s="16">
        <f t="shared" si="170"/>
        <v>1.1457495238095239</v>
      </c>
      <c r="AA845" s="17">
        <f t="shared" si="171"/>
        <v>42000</v>
      </c>
      <c r="AB845" s="10">
        <v>4320</v>
      </c>
      <c r="AC845" s="18">
        <f t="shared" si="172"/>
        <v>816.69026057142855</v>
      </c>
      <c r="AD845" s="12">
        <f t="shared" si="157"/>
        <v>41976</v>
      </c>
      <c r="AE845" s="13">
        <f t="shared" si="173"/>
        <v>24</v>
      </c>
    </row>
    <row r="846" spans="1:31">
      <c r="A846" s="6">
        <v>1</v>
      </c>
      <c r="B846" s="6">
        <f t="shared" si="174"/>
        <v>12</v>
      </c>
      <c r="C846" s="6" t="str">
        <f t="shared" si="159"/>
        <v>619591801AINFLATOR, ASP-2, GEN15, MRR, STD COOL, UC, W STU4830495449853456</v>
      </c>
      <c r="D846" s="7" t="s">
        <v>229</v>
      </c>
      <c r="E846" s="6" t="s">
        <v>55</v>
      </c>
      <c r="F846" s="6"/>
      <c r="G846" s="19" t="s">
        <v>15</v>
      </c>
      <c r="H846" s="19"/>
      <c r="I846" s="19"/>
      <c r="J846" s="19"/>
      <c r="K846" s="19"/>
      <c r="L846" s="14">
        <v>4830495</v>
      </c>
      <c r="M846" s="22">
        <v>44985</v>
      </c>
      <c r="N846" s="19" t="s">
        <v>336</v>
      </c>
      <c r="O846" s="19" t="s">
        <v>332</v>
      </c>
      <c r="P846" s="15">
        <v>3456</v>
      </c>
      <c r="Q846" s="15">
        <v>940901.12</v>
      </c>
      <c r="R846" s="15">
        <v>87089500</v>
      </c>
      <c r="S846" s="15">
        <v>15</v>
      </c>
      <c r="T846" s="19" t="s">
        <v>203</v>
      </c>
      <c r="U846" s="19" t="s">
        <v>200</v>
      </c>
      <c r="V846" s="16">
        <f t="shared" si="166"/>
        <v>141135.16800000001</v>
      </c>
      <c r="W846" s="16">
        <f t="shared" si="167"/>
        <v>14113.516800000001</v>
      </c>
      <c r="X846" s="16">
        <f t="shared" si="168"/>
        <v>155248.68480000002</v>
      </c>
      <c r="Y846" s="16">
        <f t="shared" si="169"/>
        <v>44.921494444444448</v>
      </c>
      <c r="Z846" s="16">
        <f t="shared" si="170"/>
        <v>272.25148148148151</v>
      </c>
      <c r="AA846" s="17">
        <f t="shared" si="171"/>
        <v>3456</v>
      </c>
      <c r="AB846" s="10">
        <v>3456</v>
      </c>
      <c r="AC846" s="18">
        <f t="shared" si="172"/>
        <v>155248.68480000002</v>
      </c>
      <c r="AD846" s="12">
        <f t="shared" si="157"/>
        <v>3456</v>
      </c>
      <c r="AE846" s="13">
        <f t="shared" si="173"/>
        <v>0</v>
      </c>
    </row>
    <row r="847" spans="1:31">
      <c r="A847" s="6">
        <v>1</v>
      </c>
      <c r="B847" s="6">
        <f t="shared" si="174"/>
        <v>13</v>
      </c>
      <c r="C847" s="6" t="str">
        <f t="shared" si="159"/>
        <v>649421100AINFLATOR, ASP-5.1, P20, SRR, IMI, SERV, NO STUDS47575054497912096</v>
      </c>
      <c r="D847" s="7" t="s">
        <v>229</v>
      </c>
      <c r="E847" s="6" t="s">
        <v>469</v>
      </c>
      <c r="F847" s="6"/>
      <c r="G847" s="7" t="s">
        <v>16</v>
      </c>
      <c r="H847" s="19"/>
      <c r="I847" s="19"/>
      <c r="J847" s="19"/>
      <c r="K847" s="19"/>
      <c r="L847" s="14">
        <v>4757505</v>
      </c>
      <c r="M847" s="22">
        <v>44979</v>
      </c>
      <c r="N847" s="19" t="s">
        <v>185</v>
      </c>
      <c r="O847" s="19" t="s">
        <v>332</v>
      </c>
      <c r="P847" s="15">
        <v>12096</v>
      </c>
      <c r="Q847" s="15">
        <v>2418095.83</v>
      </c>
      <c r="R847" s="15">
        <v>87089500</v>
      </c>
      <c r="S847" s="15">
        <v>15</v>
      </c>
      <c r="T847" s="19" t="s">
        <v>203</v>
      </c>
      <c r="U847" s="19" t="s">
        <v>200</v>
      </c>
      <c r="V847" s="16">
        <f t="shared" si="166"/>
        <v>362714.37449999998</v>
      </c>
      <c r="W847" s="16">
        <f t="shared" si="167"/>
        <v>36271.437449999998</v>
      </c>
      <c r="X847" s="16">
        <f t="shared" si="168"/>
        <v>398985.81195</v>
      </c>
      <c r="Y847" s="16">
        <f t="shared" si="169"/>
        <v>32.984938157242063</v>
      </c>
      <c r="Z847" s="16">
        <f t="shared" si="170"/>
        <v>199.90871610449736</v>
      </c>
      <c r="AA847" s="17">
        <f t="shared" si="171"/>
        <v>12096</v>
      </c>
      <c r="AB847" s="10">
        <v>4320</v>
      </c>
      <c r="AC847" s="18">
        <f t="shared" si="172"/>
        <v>142494.9328392857</v>
      </c>
      <c r="AD847" s="12">
        <f t="shared" si="157"/>
        <v>11952</v>
      </c>
      <c r="AE847" s="13">
        <f>AA847-AD847</f>
        <v>144</v>
      </c>
    </row>
    <row r="848" spans="1:31">
      <c r="A848" s="6">
        <v>1</v>
      </c>
      <c r="B848" s="6">
        <f t="shared" si="174"/>
        <v>14</v>
      </c>
      <c r="C848" s="6" t="str">
        <f t="shared" si="159"/>
        <v>566098600CWEBBING PIN, RETRACTOR, AGB, AGB-95POM FARBE:SCH432749644950120000</v>
      </c>
      <c r="D848" s="7" t="s">
        <v>229</v>
      </c>
      <c r="E848" s="6" t="s">
        <v>57</v>
      </c>
      <c r="F848" s="6"/>
      <c r="G848" s="7" t="s">
        <v>17</v>
      </c>
      <c r="H848" s="19"/>
      <c r="I848" s="19"/>
      <c r="J848" s="19"/>
      <c r="K848" s="19"/>
      <c r="L848" s="14">
        <v>4327496</v>
      </c>
      <c r="M848" s="22">
        <v>44950</v>
      </c>
      <c r="N848" s="19" t="s">
        <v>199</v>
      </c>
      <c r="O848" s="19" t="s">
        <v>332</v>
      </c>
      <c r="P848" s="15">
        <v>120000</v>
      </c>
      <c r="Q848" s="15">
        <v>117311.7</v>
      </c>
      <c r="R848" s="15">
        <v>87082900</v>
      </c>
      <c r="S848" s="15">
        <v>15</v>
      </c>
      <c r="T848" s="19" t="s">
        <v>307</v>
      </c>
      <c r="U848" s="19" t="s">
        <v>178</v>
      </c>
      <c r="V848" s="16">
        <f t="shared" si="166"/>
        <v>17596.754999999997</v>
      </c>
      <c r="W848" s="16">
        <f t="shared" si="167"/>
        <v>1759.6754999999998</v>
      </c>
      <c r="X848" s="16">
        <f t="shared" si="168"/>
        <v>19356.430499999999</v>
      </c>
      <c r="Y848" s="16">
        <f t="shared" si="169"/>
        <v>0.16130358749999998</v>
      </c>
      <c r="Z848" s="16">
        <f t="shared" si="170"/>
        <v>0.97759750000000001</v>
      </c>
      <c r="AA848" s="17">
        <f t="shared" si="171"/>
        <v>120000</v>
      </c>
      <c r="AB848" s="10">
        <v>1572</v>
      </c>
      <c r="AC848" s="18">
        <f t="shared" si="172"/>
        <v>253.56923954999996</v>
      </c>
      <c r="AD848" s="12">
        <f t="shared" si="157"/>
        <v>86652</v>
      </c>
      <c r="AE848" s="13">
        <f t="shared" si="173"/>
        <v>33348</v>
      </c>
    </row>
    <row r="849" spans="1:31">
      <c r="A849" s="6">
        <v>1</v>
      </c>
      <c r="B849" s="6">
        <f t="shared" si="174"/>
        <v>15</v>
      </c>
      <c r="C849" s="6" t="str">
        <f t="shared" si="159"/>
        <v>566253211EADAPTER, CAR SENS, RETRA ALL VERSIONS390969644984216000</v>
      </c>
      <c r="D849" s="7" t="s">
        <v>229</v>
      </c>
      <c r="E849" s="6" t="s">
        <v>58</v>
      </c>
      <c r="F849" s="6"/>
      <c r="G849" s="7" t="s">
        <v>18</v>
      </c>
      <c r="H849" s="19"/>
      <c r="I849" s="19"/>
      <c r="J849" s="19"/>
      <c r="K849" s="19"/>
      <c r="L849" s="14">
        <v>3909696</v>
      </c>
      <c r="M849" s="22">
        <v>44984</v>
      </c>
      <c r="N849" s="19" t="s">
        <v>199</v>
      </c>
      <c r="O849" s="19" t="s">
        <v>332</v>
      </c>
      <c r="P849" s="15">
        <v>216000</v>
      </c>
      <c r="Q849" s="15">
        <v>549354.86</v>
      </c>
      <c r="R849" s="15">
        <v>87082900</v>
      </c>
      <c r="S849" s="15">
        <v>15</v>
      </c>
      <c r="T849" s="19" t="s">
        <v>308</v>
      </c>
      <c r="U849" s="19" t="s">
        <v>178</v>
      </c>
      <c r="V849" s="16">
        <f t="shared" si="166"/>
        <v>82403.228999999992</v>
      </c>
      <c r="W849" s="16">
        <f t="shared" si="167"/>
        <v>8240.3228999999992</v>
      </c>
      <c r="X849" s="16">
        <f t="shared" si="168"/>
        <v>90643.551899999991</v>
      </c>
      <c r="Y849" s="16">
        <f t="shared" si="169"/>
        <v>0.41964607361111106</v>
      </c>
      <c r="Z849" s="16">
        <f t="shared" si="170"/>
        <v>2.5433095370370369</v>
      </c>
      <c r="AA849" s="17">
        <f t="shared" si="171"/>
        <v>216000</v>
      </c>
      <c r="AB849" s="10">
        <v>1572</v>
      </c>
      <c r="AC849" s="18">
        <f t="shared" si="172"/>
        <v>659.68362771666659</v>
      </c>
      <c r="AD849" s="12">
        <f t="shared" si="157"/>
        <v>86652</v>
      </c>
      <c r="AE849" s="13">
        <f t="shared" si="173"/>
        <v>129348</v>
      </c>
    </row>
    <row r="850" spans="1:31">
      <c r="A850" s="6">
        <v>1</v>
      </c>
      <c r="B850" s="6">
        <f t="shared" si="174"/>
        <v>16</v>
      </c>
      <c r="C850" s="6" t="str">
        <f t="shared" si="159"/>
        <v>566305721BSPRING, SHEET, LEAF, RET ALL VERSIONS, WS ECE4742807449445000</v>
      </c>
      <c r="D850" s="7" t="s">
        <v>229</v>
      </c>
      <c r="E850" s="6" t="s">
        <v>59</v>
      </c>
      <c r="F850" s="6"/>
      <c r="G850" s="7" t="s">
        <v>19</v>
      </c>
      <c r="H850" s="19"/>
      <c r="I850" s="19"/>
      <c r="J850" s="19"/>
      <c r="K850" s="19"/>
      <c r="L850" s="14">
        <v>4742807</v>
      </c>
      <c r="M850" s="22">
        <v>44944</v>
      </c>
      <c r="N850" s="19" t="s">
        <v>196</v>
      </c>
      <c r="O850" s="19" t="s">
        <v>337</v>
      </c>
      <c r="P850" s="15">
        <v>5000</v>
      </c>
      <c r="Q850" s="15">
        <v>143362.42000000001</v>
      </c>
      <c r="R850" s="15">
        <v>87082900</v>
      </c>
      <c r="S850" s="15">
        <v>15</v>
      </c>
      <c r="T850" s="19" t="s">
        <v>309</v>
      </c>
      <c r="U850" s="19" t="s">
        <v>178</v>
      </c>
      <c r="V850" s="16">
        <f t="shared" si="166"/>
        <v>21504.363000000001</v>
      </c>
      <c r="W850" s="16">
        <f t="shared" si="167"/>
        <v>2150.4363000000003</v>
      </c>
      <c r="X850" s="16">
        <f t="shared" si="168"/>
        <v>23654.799300000002</v>
      </c>
      <c r="Y850" s="16">
        <f t="shared" si="169"/>
        <v>4.7309598600000005</v>
      </c>
      <c r="Z850" s="16">
        <f t="shared" si="170"/>
        <v>28.672484000000004</v>
      </c>
      <c r="AA850" s="17">
        <f t="shared" si="171"/>
        <v>5000</v>
      </c>
      <c r="AB850" s="10">
        <v>26.724</v>
      </c>
      <c r="AC850" s="18">
        <f t="shared" si="172"/>
        <v>126.43017129864002</v>
      </c>
      <c r="AD850" s="12">
        <f t="shared" si="157"/>
        <v>1540.98</v>
      </c>
      <c r="AE850" s="13">
        <v>0</v>
      </c>
    </row>
    <row r="851" spans="1:31">
      <c r="A851" s="6">
        <v>1</v>
      </c>
      <c r="B851" s="6">
        <f t="shared" si="174"/>
        <v>17</v>
      </c>
      <c r="C851" s="6" t="str">
        <f t="shared" si="159"/>
        <v>600188700BLEVER, WEB SENS, RETRACT ALL VERSIONS421599144956270000</v>
      </c>
      <c r="D851" s="7" t="s">
        <v>229</v>
      </c>
      <c r="E851" s="6" t="s">
        <v>60</v>
      </c>
      <c r="F851" s="6"/>
      <c r="G851" s="7" t="s">
        <v>20</v>
      </c>
      <c r="H851" s="19"/>
      <c r="I851" s="19"/>
      <c r="J851" s="19"/>
      <c r="K851" s="19"/>
      <c r="L851" s="14">
        <v>4215991</v>
      </c>
      <c r="M851" s="22">
        <v>44956</v>
      </c>
      <c r="N851" s="19" t="s">
        <v>199</v>
      </c>
      <c r="O851" s="19" t="s">
        <v>332</v>
      </c>
      <c r="P851" s="15">
        <v>270000</v>
      </c>
      <c r="Q851" s="15">
        <v>1513733.76</v>
      </c>
      <c r="R851" s="15">
        <v>87082900</v>
      </c>
      <c r="S851" s="15">
        <v>15</v>
      </c>
      <c r="T851" s="19" t="s">
        <v>310</v>
      </c>
      <c r="U851" s="19" t="s">
        <v>178</v>
      </c>
      <c r="V851" s="16">
        <f t="shared" si="166"/>
        <v>227060.06399999998</v>
      </c>
      <c r="W851" s="16">
        <f t="shared" si="167"/>
        <v>22706.006399999998</v>
      </c>
      <c r="X851" s="16">
        <f t="shared" si="168"/>
        <v>249766.07039999997</v>
      </c>
      <c r="Y851" s="16">
        <f t="shared" si="169"/>
        <v>0.92505951999999991</v>
      </c>
      <c r="Z851" s="16">
        <f t="shared" si="170"/>
        <v>5.6064213333333335</v>
      </c>
      <c r="AA851" s="17">
        <f t="shared" si="171"/>
        <v>270000</v>
      </c>
      <c r="AB851" s="10">
        <v>1572</v>
      </c>
      <c r="AC851" s="18">
        <f t="shared" si="172"/>
        <v>1454.1935654399999</v>
      </c>
      <c r="AD851" s="12">
        <f t="shared" si="157"/>
        <v>86652</v>
      </c>
      <c r="AE851" s="13">
        <f t="shared" si="173"/>
        <v>183348</v>
      </c>
    </row>
    <row r="852" spans="1:31">
      <c r="A852" s="6">
        <v>1</v>
      </c>
      <c r="B852" s="6">
        <f t="shared" si="174"/>
        <v>18</v>
      </c>
      <c r="C852" s="6" t="str">
        <f t="shared" si="159"/>
        <v>601182600ASPINDLE, RETRACTOR, R27, STD43790984493343008</v>
      </c>
      <c r="D852" s="7" t="s">
        <v>229</v>
      </c>
      <c r="E852" s="6" t="s">
        <v>61</v>
      </c>
      <c r="F852" s="6"/>
      <c r="G852" s="7" t="s">
        <v>21</v>
      </c>
      <c r="H852" s="19"/>
      <c r="I852" s="19"/>
      <c r="J852" s="19"/>
      <c r="K852" s="19"/>
      <c r="L852" s="14">
        <v>4379098</v>
      </c>
      <c r="M852" s="22">
        <v>44933</v>
      </c>
      <c r="N852" s="19" t="s">
        <v>185</v>
      </c>
      <c r="O852" s="19" t="s">
        <v>332</v>
      </c>
      <c r="P852" s="15">
        <v>43008</v>
      </c>
      <c r="Q852" s="15">
        <v>1835488.61</v>
      </c>
      <c r="R852" s="15">
        <v>87082900</v>
      </c>
      <c r="S852" s="15">
        <v>15</v>
      </c>
      <c r="T852" s="19" t="s">
        <v>311</v>
      </c>
      <c r="U852" s="19" t="s">
        <v>178</v>
      </c>
      <c r="V852" s="16">
        <f t="shared" si="166"/>
        <v>275323.29149999999</v>
      </c>
      <c r="W852" s="16">
        <f t="shared" si="167"/>
        <v>27532.329150000001</v>
      </c>
      <c r="X852" s="16">
        <f t="shared" si="168"/>
        <v>302855.62065</v>
      </c>
      <c r="Y852" s="16">
        <f t="shared" si="169"/>
        <v>7.0418438581194192</v>
      </c>
      <c r="Z852" s="16">
        <f t="shared" si="170"/>
        <v>42.677841564360122</v>
      </c>
      <c r="AA852" s="17">
        <f t="shared" si="171"/>
        <v>43008</v>
      </c>
      <c r="AB852" s="10">
        <v>1572</v>
      </c>
      <c r="AC852" s="18">
        <f t="shared" si="172"/>
        <v>11069.778544963727</v>
      </c>
      <c r="AD852" s="12">
        <f t="shared" si="157"/>
        <v>43008</v>
      </c>
      <c r="AE852" s="13">
        <f t="shared" si="173"/>
        <v>0</v>
      </c>
    </row>
    <row r="853" spans="1:31">
      <c r="A853" s="6">
        <v>1</v>
      </c>
      <c r="B853" s="6">
        <f t="shared" si="174"/>
        <v>19</v>
      </c>
      <c r="C853" s="6" t="str">
        <f t="shared" si="159"/>
        <v>601256700GBUSH, RETRACTOR, R27, AL ALL VERSIONS405080544944160000</v>
      </c>
      <c r="D853" s="7" t="s">
        <v>229</v>
      </c>
      <c r="E853" s="6" t="s">
        <v>62</v>
      </c>
      <c r="F853" s="6"/>
      <c r="G853" s="7" t="s">
        <v>22</v>
      </c>
      <c r="H853" s="19"/>
      <c r="I853" s="19"/>
      <c r="J853" s="19"/>
      <c r="K853" s="19"/>
      <c r="L853" s="14">
        <v>4050805</v>
      </c>
      <c r="M853" s="22">
        <v>44944</v>
      </c>
      <c r="N853" s="19" t="s">
        <v>196</v>
      </c>
      <c r="O853" s="19" t="s">
        <v>333</v>
      </c>
      <c r="P853" s="15">
        <v>160000</v>
      </c>
      <c r="Q853" s="15">
        <v>278597.26</v>
      </c>
      <c r="R853" s="15">
        <v>87082900</v>
      </c>
      <c r="S853" s="15">
        <v>15</v>
      </c>
      <c r="T853" s="19" t="s">
        <v>312</v>
      </c>
      <c r="U853" s="19" t="s">
        <v>178</v>
      </c>
      <c r="V853" s="16">
        <f t="shared" si="166"/>
        <v>41789.589</v>
      </c>
      <c r="W853" s="16">
        <f t="shared" si="167"/>
        <v>4178.9589000000005</v>
      </c>
      <c r="X853" s="16">
        <f t="shared" si="168"/>
        <v>45968.547899999998</v>
      </c>
      <c r="Y853" s="16">
        <f t="shared" si="169"/>
        <v>0.287303424375</v>
      </c>
      <c r="Z853" s="16">
        <f t="shared" si="170"/>
        <v>1.7412328750000001</v>
      </c>
      <c r="AA853" s="17">
        <f t="shared" si="171"/>
        <v>160000</v>
      </c>
      <c r="AB853" s="10">
        <v>1572</v>
      </c>
      <c r="AC853" s="18">
        <f t="shared" si="172"/>
        <v>451.64098311750001</v>
      </c>
      <c r="AD853" s="12">
        <f t="shared" si="157"/>
        <v>86652</v>
      </c>
      <c r="AE853" s="13">
        <f t="shared" si="173"/>
        <v>73348</v>
      </c>
    </row>
    <row r="854" spans="1:31">
      <c r="A854" s="6">
        <v>1</v>
      </c>
      <c r="B854" s="6">
        <f t="shared" si="174"/>
        <v>20</v>
      </c>
      <c r="C854" s="6" t="str">
        <f t="shared" si="159"/>
        <v>601472600ALATCH, RETRACTOR, R27, A ALL VERSIONS421598844951162000</v>
      </c>
      <c r="D854" s="7" t="s">
        <v>229</v>
      </c>
      <c r="E854" s="6" t="s">
        <v>63</v>
      </c>
      <c r="F854" s="6"/>
      <c r="G854" s="7" t="s">
        <v>23</v>
      </c>
      <c r="H854" s="19"/>
      <c r="I854" s="19"/>
      <c r="J854" s="19"/>
      <c r="K854" s="19"/>
      <c r="L854" s="14">
        <v>4215988</v>
      </c>
      <c r="M854" s="22">
        <v>44951</v>
      </c>
      <c r="N854" s="19" t="s">
        <v>199</v>
      </c>
      <c r="O854" s="19" t="s">
        <v>332</v>
      </c>
      <c r="P854" s="15">
        <v>162000</v>
      </c>
      <c r="Q854" s="15">
        <v>1167023.94</v>
      </c>
      <c r="R854" s="15">
        <v>87082900</v>
      </c>
      <c r="S854" s="15">
        <v>15</v>
      </c>
      <c r="T854" s="19" t="s">
        <v>313</v>
      </c>
      <c r="U854" s="19" t="s">
        <v>178</v>
      </c>
      <c r="V854" s="16">
        <f t="shared" si="166"/>
        <v>175053.59099999999</v>
      </c>
      <c r="W854" s="16">
        <f t="shared" si="167"/>
        <v>17505.359099999998</v>
      </c>
      <c r="X854" s="16">
        <f t="shared" si="168"/>
        <v>192558.95009999999</v>
      </c>
      <c r="Y854" s="16">
        <f t="shared" si="169"/>
        <v>1.1886354944444444</v>
      </c>
      <c r="Z854" s="16">
        <f t="shared" si="170"/>
        <v>7.2038514814814816</v>
      </c>
      <c r="AA854" s="17">
        <f t="shared" si="171"/>
        <v>162000</v>
      </c>
      <c r="AB854" s="10">
        <v>1572</v>
      </c>
      <c r="AC854" s="18">
        <f t="shared" si="172"/>
        <v>1868.5349972666666</v>
      </c>
      <c r="AD854" s="12">
        <f t="shared" si="157"/>
        <v>86652</v>
      </c>
      <c r="AE854" s="13">
        <f t="shared" si="173"/>
        <v>75348</v>
      </c>
    </row>
    <row r="855" spans="1:31">
      <c r="A855" s="6">
        <v>1</v>
      </c>
      <c r="B855" s="6">
        <f t="shared" si="174"/>
        <v>21</v>
      </c>
      <c r="C855" s="6" t="str">
        <f t="shared" si="159"/>
        <v>601487200CCOVER, RETRACTOR, R27, S SYSTEMKAPPE DELRIN 100T43274964495048000</v>
      </c>
      <c r="D855" s="7" t="s">
        <v>229</v>
      </c>
      <c r="E855" s="6" t="s">
        <v>64</v>
      </c>
      <c r="F855" s="6"/>
      <c r="G855" s="7" t="s">
        <v>24</v>
      </c>
      <c r="H855" s="19"/>
      <c r="I855" s="19"/>
      <c r="J855" s="19"/>
      <c r="K855" s="19"/>
      <c r="L855" s="14">
        <v>4327496</v>
      </c>
      <c r="M855" s="22">
        <v>44950</v>
      </c>
      <c r="N855" s="19" t="s">
        <v>199</v>
      </c>
      <c r="O855" s="19" t="s">
        <v>332</v>
      </c>
      <c r="P855" s="15">
        <v>48000</v>
      </c>
      <c r="Q855" s="15">
        <v>514349.16</v>
      </c>
      <c r="R855" s="15">
        <v>87082900</v>
      </c>
      <c r="S855" s="15">
        <v>15</v>
      </c>
      <c r="T855" s="19" t="s">
        <v>307</v>
      </c>
      <c r="U855" s="19" t="s">
        <v>178</v>
      </c>
      <c r="V855" s="16">
        <f t="shared" si="166"/>
        <v>77152.373999999996</v>
      </c>
      <c r="W855" s="16">
        <f t="shared" si="167"/>
        <v>7715.2374</v>
      </c>
      <c r="X855" s="16">
        <f t="shared" si="168"/>
        <v>84867.611399999994</v>
      </c>
      <c r="Y855" s="16">
        <f t="shared" si="169"/>
        <v>1.7680752375</v>
      </c>
      <c r="Z855" s="16">
        <f t="shared" si="170"/>
        <v>10.715607499999999</v>
      </c>
      <c r="AA855" s="17">
        <f t="shared" si="171"/>
        <v>48000</v>
      </c>
      <c r="AB855" s="10">
        <v>1572</v>
      </c>
      <c r="AC855" s="18">
        <f t="shared" si="172"/>
        <v>2779.4142733499998</v>
      </c>
      <c r="AD855" s="12">
        <f t="shared" si="157"/>
        <v>47964</v>
      </c>
      <c r="AE855" s="13">
        <f t="shared" si="173"/>
        <v>36</v>
      </c>
    </row>
    <row r="856" spans="1:31">
      <c r="A856" s="6">
        <v>1</v>
      </c>
      <c r="B856" s="6">
        <f t="shared" si="174"/>
        <v>22</v>
      </c>
      <c r="C856" s="6" t="str">
        <f t="shared" si="159"/>
        <v>605151600ASPRING, SHEET, LEAF, RET ALL VERSIONS, WS US407852744933100000</v>
      </c>
      <c r="D856" s="7" t="s">
        <v>229</v>
      </c>
      <c r="E856" s="6" t="s">
        <v>65</v>
      </c>
      <c r="F856" s="6"/>
      <c r="G856" s="7" t="s">
        <v>25</v>
      </c>
      <c r="H856" s="19"/>
      <c r="I856" s="19"/>
      <c r="J856" s="19"/>
      <c r="K856" s="19"/>
      <c r="L856" s="14">
        <v>4078527</v>
      </c>
      <c r="M856" s="22">
        <v>44933</v>
      </c>
      <c r="N856" s="19" t="s">
        <v>196</v>
      </c>
      <c r="O856" s="19" t="s">
        <v>333</v>
      </c>
      <c r="P856" s="15">
        <v>100000</v>
      </c>
      <c r="Q856" s="15">
        <v>147318.03</v>
      </c>
      <c r="R856" s="15">
        <v>87082900</v>
      </c>
      <c r="S856" s="15">
        <v>15</v>
      </c>
      <c r="T856" s="19" t="s">
        <v>314</v>
      </c>
      <c r="U856" s="19" t="s">
        <v>178</v>
      </c>
      <c r="V856" s="16">
        <f t="shared" si="166"/>
        <v>22097.7045</v>
      </c>
      <c r="W856" s="16">
        <f t="shared" si="167"/>
        <v>2209.77045</v>
      </c>
      <c r="X856" s="16">
        <f t="shared" si="168"/>
        <v>24307.47495</v>
      </c>
      <c r="Y856" s="16">
        <f t="shared" si="169"/>
        <v>0.24307474949999999</v>
      </c>
      <c r="Z856" s="16">
        <f t="shared" si="170"/>
        <v>1.4731802999999999</v>
      </c>
      <c r="AA856" s="17">
        <f t="shared" si="171"/>
        <v>100000</v>
      </c>
      <c r="AB856" s="10">
        <v>1572</v>
      </c>
      <c r="AC856" s="18">
        <f t="shared" si="172"/>
        <v>382.11350621399998</v>
      </c>
      <c r="AD856" s="12">
        <f t="shared" si="157"/>
        <v>86652</v>
      </c>
      <c r="AE856" s="13">
        <f t="shared" si="173"/>
        <v>13348</v>
      </c>
    </row>
    <row r="857" spans="1:31">
      <c r="A857" s="6">
        <v>1</v>
      </c>
      <c r="B857" s="6">
        <f t="shared" si="174"/>
        <v>23</v>
      </c>
      <c r="C857" s="6" t="str">
        <f t="shared" si="159"/>
        <v>605555507ESTEERING DISC NATURE WHITE717838944902100800</v>
      </c>
      <c r="D857" s="7" t="s">
        <v>229</v>
      </c>
      <c r="E857" s="6" t="s">
        <v>66</v>
      </c>
      <c r="F857" s="6"/>
      <c r="G857" s="7" t="s">
        <v>26</v>
      </c>
      <c r="H857" s="19"/>
      <c r="I857" s="19"/>
      <c r="J857" s="19"/>
      <c r="K857" s="19"/>
      <c r="L857" s="14">
        <v>7178389</v>
      </c>
      <c r="M857" s="22">
        <v>44902</v>
      </c>
      <c r="N857" s="19" t="s">
        <v>185</v>
      </c>
      <c r="O857" s="19" t="s">
        <v>332</v>
      </c>
      <c r="P857" s="15">
        <v>100800</v>
      </c>
      <c r="Q857" s="15">
        <v>397158.13</v>
      </c>
      <c r="R857" s="15">
        <v>87082900</v>
      </c>
      <c r="S857" s="15">
        <v>15</v>
      </c>
      <c r="T857" s="19" t="s">
        <v>315</v>
      </c>
      <c r="U857" s="19" t="s">
        <v>178</v>
      </c>
      <c r="V857" s="16">
        <f t="shared" si="166"/>
        <v>59573.719499999999</v>
      </c>
      <c r="W857" s="16">
        <f t="shared" si="167"/>
        <v>5957.3719500000007</v>
      </c>
      <c r="X857" s="16">
        <f t="shared" si="168"/>
        <v>65531.09145</v>
      </c>
      <c r="Y857" s="16">
        <f t="shared" si="169"/>
        <v>0.65011003422619051</v>
      </c>
      <c r="Z857" s="16">
        <f t="shared" si="170"/>
        <v>3.9400608134920634</v>
      </c>
      <c r="AA857" s="17">
        <f t="shared" si="171"/>
        <v>100800</v>
      </c>
      <c r="AB857" s="10">
        <v>1572</v>
      </c>
      <c r="AC857" s="18">
        <f t="shared" si="172"/>
        <v>1021.9729738035714</v>
      </c>
      <c r="AD857" s="12">
        <f t="shared" si="157"/>
        <v>80292</v>
      </c>
      <c r="AE857" s="13">
        <f t="shared" si="173"/>
        <v>20508</v>
      </c>
    </row>
    <row r="858" spans="1:31">
      <c r="A858" s="6">
        <v>1</v>
      </c>
      <c r="B858" s="6">
        <f t="shared" si="174"/>
        <v>24</v>
      </c>
      <c r="C858" s="6" t="str">
        <f t="shared" si="159"/>
        <v>615795701BPILLAR LOOP, OVERMOULDED LIGHT GRAY, STD, WITH CA3627668449364000</v>
      </c>
      <c r="D858" s="7" t="s">
        <v>229</v>
      </c>
      <c r="E858" s="6" t="s">
        <v>67</v>
      </c>
      <c r="F858" s="6"/>
      <c r="G858" s="7" t="s">
        <v>27</v>
      </c>
      <c r="H858" s="19"/>
      <c r="I858" s="19"/>
      <c r="J858" s="19"/>
      <c r="K858" s="19"/>
      <c r="L858" s="14">
        <v>3627668</v>
      </c>
      <c r="M858" s="22">
        <v>44936</v>
      </c>
      <c r="N858" s="19" t="s">
        <v>185</v>
      </c>
      <c r="O858" s="19" t="s">
        <v>332</v>
      </c>
      <c r="P858" s="15">
        <v>4000</v>
      </c>
      <c r="Q858" s="15">
        <v>237993.39</v>
      </c>
      <c r="R858" s="15">
        <v>87082900</v>
      </c>
      <c r="S858" s="15">
        <v>15</v>
      </c>
      <c r="T858" s="19" t="s">
        <v>198</v>
      </c>
      <c r="U858" s="19" t="s">
        <v>178</v>
      </c>
      <c r="V858" s="16">
        <f t="shared" si="166"/>
        <v>35699.008500000004</v>
      </c>
      <c r="W858" s="16">
        <f t="shared" si="167"/>
        <v>3569.9008500000004</v>
      </c>
      <c r="X858" s="16">
        <f t="shared" si="168"/>
        <v>39268.909350000002</v>
      </c>
      <c r="Y858" s="16">
        <f t="shared" si="169"/>
        <v>9.8172273375000003</v>
      </c>
      <c r="Z858" s="16">
        <f t="shared" si="170"/>
        <v>59.498347500000001</v>
      </c>
      <c r="AA858" s="17">
        <f t="shared" si="171"/>
        <v>4000</v>
      </c>
      <c r="AB858" s="10">
        <v>1572</v>
      </c>
      <c r="AC858" s="18">
        <f t="shared" si="172"/>
        <v>15432.68137455</v>
      </c>
      <c r="AD858" s="12">
        <f t="shared" si="157"/>
        <v>4000</v>
      </c>
      <c r="AE858" s="13">
        <f t="shared" si="173"/>
        <v>0</v>
      </c>
    </row>
    <row r="859" spans="1:31">
      <c r="A859" s="6">
        <v>1</v>
      </c>
      <c r="B859" s="6">
        <f t="shared" si="174"/>
        <v>25</v>
      </c>
      <c r="C859" s="6" t="str">
        <f t="shared" si="159"/>
        <v>618470500EBEARING, CAR SENS, RETRA All Versions, Noise redu408531144933170000</v>
      </c>
      <c r="D859" s="7" t="s">
        <v>229</v>
      </c>
      <c r="E859" s="6" t="s">
        <v>68</v>
      </c>
      <c r="F859" s="6"/>
      <c r="G859" s="7" t="s">
        <v>28</v>
      </c>
      <c r="H859" s="19"/>
      <c r="I859" s="19"/>
      <c r="J859" s="19"/>
      <c r="K859" s="19"/>
      <c r="L859" s="14">
        <v>4085311</v>
      </c>
      <c r="M859" s="22">
        <v>44933</v>
      </c>
      <c r="N859" s="19" t="s">
        <v>196</v>
      </c>
      <c r="O859" s="19" t="s">
        <v>333</v>
      </c>
      <c r="P859" s="15">
        <v>170000</v>
      </c>
      <c r="Q859" s="15">
        <v>305828.40000000002</v>
      </c>
      <c r="R859" s="15">
        <v>87082900</v>
      </c>
      <c r="S859" s="15">
        <v>15</v>
      </c>
      <c r="T859" s="19" t="s">
        <v>316</v>
      </c>
      <c r="U859" s="19" t="s">
        <v>178</v>
      </c>
      <c r="V859" s="16">
        <f t="shared" si="166"/>
        <v>45874.26</v>
      </c>
      <c r="W859" s="16">
        <f t="shared" si="167"/>
        <v>4587.4260000000004</v>
      </c>
      <c r="X859" s="16">
        <f t="shared" si="168"/>
        <v>50461.686000000002</v>
      </c>
      <c r="Y859" s="16">
        <f t="shared" si="169"/>
        <v>0.29683344705882353</v>
      </c>
      <c r="Z859" s="16">
        <f t="shared" si="170"/>
        <v>1.7989905882352943</v>
      </c>
      <c r="AA859" s="17">
        <f t="shared" si="171"/>
        <v>170000</v>
      </c>
      <c r="AB859" s="10">
        <v>1572</v>
      </c>
      <c r="AC859" s="18">
        <f t="shared" si="172"/>
        <v>466.62217877647061</v>
      </c>
      <c r="AD859" s="12">
        <f t="shared" si="157"/>
        <v>61944</v>
      </c>
      <c r="AE859" s="13">
        <f t="shared" si="173"/>
        <v>108056</v>
      </c>
    </row>
    <row r="860" spans="1:31">
      <c r="A860" s="6">
        <v>1</v>
      </c>
      <c r="B860" s="6">
        <f t="shared" si="174"/>
        <v>26</v>
      </c>
      <c r="C860" s="6" t="str">
        <f t="shared" si="159"/>
        <v>618472000BLEVER, CAR SENS, RETRACT ALL VERSIONS, NOISE REDU408531144933170000</v>
      </c>
      <c r="D860" s="7" t="s">
        <v>229</v>
      </c>
      <c r="E860" s="6" t="s">
        <v>69</v>
      </c>
      <c r="F860" s="6"/>
      <c r="G860" s="7" t="s">
        <v>29</v>
      </c>
      <c r="H860" s="19"/>
      <c r="I860" s="19"/>
      <c r="J860" s="19"/>
      <c r="K860" s="19"/>
      <c r="L860" s="14">
        <v>4085311</v>
      </c>
      <c r="M860" s="22">
        <v>44933</v>
      </c>
      <c r="N860" s="19" t="s">
        <v>196</v>
      </c>
      <c r="O860" s="19" t="s">
        <v>333</v>
      </c>
      <c r="P860" s="15">
        <v>170000</v>
      </c>
      <c r="Q860" s="15">
        <v>247799.42</v>
      </c>
      <c r="R860" s="15">
        <v>87082900</v>
      </c>
      <c r="S860" s="15">
        <v>15</v>
      </c>
      <c r="T860" s="19" t="s">
        <v>316</v>
      </c>
      <c r="U860" s="19" t="s">
        <v>178</v>
      </c>
      <c r="V860" s="16">
        <f t="shared" si="166"/>
        <v>37169.913</v>
      </c>
      <c r="W860" s="16">
        <f t="shared" si="167"/>
        <v>3716.9913000000001</v>
      </c>
      <c r="X860" s="16">
        <f t="shared" si="168"/>
        <v>40886.904300000002</v>
      </c>
      <c r="Y860" s="16">
        <f t="shared" si="169"/>
        <v>0.24051120176470589</v>
      </c>
      <c r="Z860" s="16">
        <f t="shared" si="170"/>
        <v>1.4576436470588237</v>
      </c>
      <c r="AA860" s="17">
        <f t="shared" si="171"/>
        <v>170000</v>
      </c>
      <c r="AB860" s="10">
        <v>1572</v>
      </c>
      <c r="AC860" s="18">
        <f t="shared" si="172"/>
        <v>378.08360917411767</v>
      </c>
      <c r="AD860" s="12">
        <f t="shared" si="157"/>
        <v>86652</v>
      </c>
      <c r="AE860" s="13">
        <f t="shared" si="173"/>
        <v>83348</v>
      </c>
    </row>
    <row r="861" spans="1:31">
      <c r="A861" s="6">
        <v>1</v>
      </c>
      <c r="B861" s="6">
        <f t="shared" si="174"/>
        <v>27</v>
      </c>
      <c r="C861" s="6" t="str">
        <f t="shared" si="159"/>
        <v>618472300CMASS, CAR SENS, RETRACTO ALL VERSIONS, CAR 2-PIN406183045012209560</v>
      </c>
      <c r="D861" s="7" t="s">
        <v>229</v>
      </c>
      <c r="E861" s="6" t="s">
        <v>70</v>
      </c>
      <c r="F861" s="6"/>
      <c r="G861" s="7" t="s">
        <v>30</v>
      </c>
      <c r="H861" s="19"/>
      <c r="I861" s="19"/>
      <c r="J861" s="19"/>
      <c r="K861" s="19"/>
      <c r="L861" s="14">
        <v>4061830</v>
      </c>
      <c r="M861" s="22">
        <v>45012</v>
      </c>
      <c r="N861" s="19" t="s">
        <v>196</v>
      </c>
      <c r="O861" s="19" t="s">
        <v>333</v>
      </c>
      <c r="P861" s="15">
        <v>209560</v>
      </c>
      <c r="Q861" s="15">
        <v>786307.66</v>
      </c>
      <c r="R861" s="15">
        <v>87082900</v>
      </c>
      <c r="S861" s="15">
        <v>15</v>
      </c>
      <c r="T861" s="19" t="s">
        <v>317</v>
      </c>
      <c r="U861" s="19" t="s">
        <v>178</v>
      </c>
      <c r="V861" s="16">
        <f t="shared" si="166"/>
        <v>117946.149</v>
      </c>
      <c r="W861" s="16">
        <f t="shared" si="167"/>
        <v>11794.6149</v>
      </c>
      <c r="X861" s="16">
        <f t="shared" si="168"/>
        <v>129740.76390000001</v>
      </c>
      <c r="Y861" s="16">
        <f t="shared" si="169"/>
        <v>0.61911034500858941</v>
      </c>
      <c r="Z861" s="16">
        <f t="shared" si="170"/>
        <v>3.7521839091429663</v>
      </c>
      <c r="AA861" s="17">
        <f t="shared" si="171"/>
        <v>209560</v>
      </c>
      <c r="AB861" s="10">
        <v>1572</v>
      </c>
      <c r="AC861" s="18">
        <f t="shared" si="172"/>
        <v>973.24146235350258</v>
      </c>
      <c r="AD861" s="12">
        <f t="shared" si="157"/>
        <v>86652</v>
      </c>
      <c r="AE861" s="13">
        <f t="shared" si="173"/>
        <v>122908</v>
      </c>
    </row>
    <row r="862" spans="1:31">
      <c r="A862" s="6">
        <v>1</v>
      </c>
      <c r="B862" s="6">
        <f t="shared" si="174"/>
        <v>28</v>
      </c>
      <c r="C862" s="6" t="str">
        <f t="shared" si="159"/>
        <v>630580800ALABEL, RAW MATERIAL, BLA K12 TPC BUCKLE5160585449362400000</v>
      </c>
      <c r="D862" s="7" t="s">
        <v>229</v>
      </c>
      <c r="E862" s="6" t="s">
        <v>71</v>
      </c>
      <c r="F862" s="6"/>
      <c r="G862" s="7" t="s">
        <v>31</v>
      </c>
      <c r="H862" s="19"/>
      <c r="I862" s="19"/>
      <c r="J862" s="19"/>
      <c r="K862" s="19"/>
      <c r="L862" s="14">
        <v>5160585</v>
      </c>
      <c r="M862" s="22">
        <v>44936</v>
      </c>
      <c r="N862" s="19" t="s">
        <v>196</v>
      </c>
      <c r="O862" s="19" t="s">
        <v>333</v>
      </c>
      <c r="P862" s="15">
        <v>2400000</v>
      </c>
      <c r="Q862" s="15">
        <v>86522.34</v>
      </c>
      <c r="R862" s="15">
        <v>87082900</v>
      </c>
      <c r="S862" s="15">
        <v>15</v>
      </c>
      <c r="T862" s="19" t="s">
        <v>265</v>
      </c>
      <c r="U862" s="19" t="s">
        <v>178</v>
      </c>
      <c r="V862" s="16">
        <f t="shared" si="166"/>
        <v>12978.350999999999</v>
      </c>
      <c r="W862" s="16">
        <f t="shared" si="167"/>
        <v>1297.8351</v>
      </c>
      <c r="X862" s="16">
        <f t="shared" si="168"/>
        <v>14276.186099999999</v>
      </c>
      <c r="Y862" s="16">
        <f t="shared" si="169"/>
        <v>5.9484108749999999E-3</v>
      </c>
      <c r="Z862" s="16">
        <f t="shared" si="170"/>
        <v>3.6050974999999999E-2</v>
      </c>
      <c r="AA862" s="17">
        <f t="shared" si="171"/>
        <v>2400000</v>
      </c>
      <c r="AB862" s="10">
        <v>7380</v>
      </c>
      <c r="AC862" s="18">
        <f t="shared" si="172"/>
        <v>43.899272257500002</v>
      </c>
      <c r="AD862" s="12">
        <f t="shared" si="157"/>
        <v>548546</v>
      </c>
      <c r="AE862" s="13">
        <f t="shared" si="173"/>
        <v>1851454</v>
      </c>
    </row>
    <row r="863" spans="1:31">
      <c r="A863" s="6">
        <v>1</v>
      </c>
      <c r="B863" s="6">
        <f t="shared" si="174"/>
        <v>29</v>
      </c>
      <c r="C863" s="6" t="str">
        <f t="shared" si="159"/>
        <v>560050622CCHANNEL, BUCKLE, K12 ROA K12A/AT, RIVET BUCKLE, S505596944994224000</v>
      </c>
      <c r="D863" s="7" t="s">
        <v>229</v>
      </c>
      <c r="E863" s="6" t="s">
        <v>72</v>
      </c>
      <c r="F863" s="6"/>
      <c r="G863" s="7" t="s">
        <v>32</v>
      </c>
      <c r="H863" s="19"/>
      <c r="I863" s="19"/>
      <c r="J863" s="19"/>
      <c r="K863" s="19"/>
      <c r="L863" s="14">
        <v>5055969</v>
      </c>
      <c r="M863" s="22">
        <v>44994</v>
      </c>
      <c r="N863" s="19" t="s">
        <v>197</v>
      </c>
      <c r="O863" s="19" t="s">
        <v>333</v>
      </c>
      <c r="P863" s="15">
        <v>224000</v>
      </c>
      <c r="Q863" s="15">
        <v>3980591.44</v>
      </c>
      <c r="R863" s="15">
        <v>87082900</v>
      </c>
      <c r="S863" s="15">
        <v>15</v>
      </c>
      <c r="T863" s="19" t="s">
        <v>318</v>
      </c>
      <c r="U863" s="19" t="s">
        <v>178</v>
      </c>
      <c r="V863" s="16">
        <f t="shared" si="166"/>
        <v>597088.71600000001</v>
      </c>
      <c r="W863" s="16">
        <f t="shared" si="167"/>
        <v>59708.871600000006</v>
      </c>
      <c r="X863" s="16">
        <f t="shared" si="168"/>
        <v>656797.58759999997</v>
      </c>
      <c r="Y863" s="16">
        <f t="shared" si="169"/>
        <v>2.9321320874999999</v>
      </c>
      <c r="Z863" s="16">
        <f t="shared" si="170"/>
        <v>17.770497500000001</v>
      </c>
      <c r="AA863" s="17">
        <f t="shared" si="171"/>
        <v>224000</v>
      </c>
      <c r="AB863" s="10">
        <v>3872</v>
      </c>
      <c r="AC863" s="18">
        <f t="shared" si="172"/>
        <v>11353.215442799999</v>
      </c>
      <c r="AD863" s="12">
        <f t="shared" si="157"/>
        <v>67232</v>
      </c>
      <c r="AE863" s="13">
        <f t="shared" si="173"/>
        <v>156768</v>
      </c>
    </row>
    <row r="864" spans="1:31">
      <c r="A864" s="6">
        <v>1</v>
      </c>
      <c r="B864" s="6">
        <f t="shared" si="174"/>
        <v>30</v>
      </c>
      <c r="C864" s="6" t="str">
        <f t="shared" si="159"/>
        <v>560130122ASPRING, WIRE, COMPRESSIO K12A/AT495151045028300000</v>
      </c>
      <c r="D864" s="7" t="s">
        <v>229</v>
      </c>
      <c r="E864" s="6" t="s">
        <v>73</v>
      </c>
      <c r="F864" s="6"/>
      <c r="G864" s="7" t="s">
        <v>33</v>
      </c>
      <c r="H864" s="19"/>
      <c r="I864" s="19"/>
      <c r="J864" s="19"/>
      <c r="K864" s="19"/>
      <c r="L864" s="14">
        <v>4951510</v>
      </c>
      <c r="M864" s="22">
        <v>45028</v>
      </c>
      <c r="N864" s="19" t="s">
        <v>199</v>
      </c>
      <c r="O864" s="19" t="s">
        <v>332</v>
      </c>
      <c r="P864" s="15">
        <v>300000</v>
      </c>
      <c r="Q864" s="15">
        <v>285155.93</v>
      </c>
      <c r="R864" s="15">
        <v>87082900</v>
      </c>
      <c r="S864" s="15">
        <v>15</v>
      </c>
      <c r="T864" s="19" t="s">
        <v>319</v>
      </c>
      <c r="U864" s="19" t="s">
        <v>178</v>
      </c>
      <c r="V864" s="16">
        <f t="shared" si="166"/>
        <v>42773.389499999997</v>
      </c>
      <c r="W864" s="16">
        <f t="shared" si="167"/>
        <v>4277.3389500000003</v>
      </c>
      <c r="X864" s="16">
        <f t="shared" si="168"/>
        <v>47050.728449999995</v>
      </c>
      <c r="Y864" s="16">
        <f t="shared" si="169"/>
        <v>0.15683576149999998</v>
      </c>
      <c r="Z864" s="16">
        <f t="shared" si="170"/>
        <v>0.9505197666666666</v>
      </c>
      <c r="AA864" s="17">
        <f t="shared" si="171"/>
        <v>300000</v>
      </c>
      <c r="AB864" s="10">
        <v>3872</v>
      </c>
      <c r="AC864" s="18">
        <f t="shared" si="172"/>
        <v>607.26806852799996</v>
      </c>
      <c r="AD864" s="12">
        <f t="shared" si="157"/>
        <v>94048</v>
      </c>
      <c r="AE864" s="13">
        <f t="shared" si="173"/>
        <v>205952</v>
      </c>
    </row>
    <row r="865" spans="1:31">
      <c r="A865" s="6">
        <v>1</v>
      </c>
      <c r="B865" s="6">
        <f t="shared" si="174"/>
        <v>31</v>
      </c>
      <c r="C865" s="6" t="str">
        <f t="shared" si="159"/>
        <v>560762022ALATCH, BUCKLE, K12 ROADM K12A/AT, SILVER, LATCH W54569304493980000</v>
      </c>
      <c r="D865" s="7" t="s">
        <v>229</v>
      </c>
      <c r="E865" s="6" t="s">
        <v>74</v>
      </c>
      <c r="F865" s="6"/>
      <c r="G865" s="7" t="s">
        <v>34</v>
      </c>
      <c r="H865" s="19"/>
      <c r="I865" s="19"/>
      <c r="J865" s="19"/>
      <c r="K865" s="19"/>
      <c r="L865" s="14">
        <v>5456930</v>
      </c>
      <c r="M865" s="22">
        <v>44939</v>
      </c>
      <c r="N865" s="19" t="s">
        <v>185</v>
      </c>
      <c r="O865" s="19" t="s">
        <v>332</v>
      </c>
      <c r="P865" s="15">
        <v>80000</v>
      </c>
      <c r="Q865" s="15">
        <v>680240</v>
      </c>
      <c r="R865" s="15">
        <v>87082900</v>
      </c>
      <c r="S865" s="15">
        <v>15</v>
      </c>
      <c r="T865" s="19" t="s">
        <v>320</v>
      </c>
      <c r="U865" s="19" t="s">
        <v>178</v>
      </c>
      <c r="V865" s="16">
        <f t="shared" si="166"/>
        <v>102036</v>
      </c>
      <c r="W865" s="16">
        <f t="shared" si="167"/>
        <v>10203.6</v>
      </c>
      <c r="X865" s="16">
        <f t="shared" si="168"/>
        <v>112239.6</v>
      </c>
      <c r="Y865" s="16">
        <f t="shared" si="169"/>
        <v>1.402995</v>
      </c>
      <c r="Z865" s="16">
        <f t="shared" si="170"/>
        <v>8.5030000000000001</v>
      </c>
      <c r="AA865" s="17">
        <f t="shared" si="171"/>
        <v>80000</v>
      </c>
      <c r="AB865" s="10">
        <v>3872</v>
      </c>
      <c r="AC865" s="18">
        <f t="shared" si="172"/>
        <v>5432.3966399999999</v>
      </c>
      <c r="AD865" s="12">
        <f t="shared" si="157"/>
        <v>74976</v>
      </c>
      <c r="AE865" s="13">
        <f t="shared" si="173"/>
        <v>5024</v>
      </c>
    </row>
    <row r="866" spans="1:31">
      <c r="A866" s="6">
        <v>1</v>
      </c>
      <c r="B866" s="6">
        <f t="shared" si="174"/>
        <v>32</v>
      </c>
      <c r="C866" s="6" t="str">
        <f t="shared" si="159"/>
        <v>604213200ALOCKING BAR, BUCKLE, K12 K12A/AT, L=34.3, silver415111844909306000</v>
      </c>
      <c r="D866" s="7" t="s">
        <v>229</v>
      </c>
      <c r="E866" s="6" t="s">
        <v>75</v>
      </c>
      <c r="F866" s="6"/>
      <c r="G866" s="7" t="s">
        <v>35</v>
      </c>
      <c r="H866" s="19"/>
      <c r="I866" s="19"/>
      <c r="J866" s="19"/>
      <c r="K866" s="19"/>
      <c r="L866" s="14">
        <v>4151118</v>
      </c>
      <c r="M866" s="22">
        <v>44909</v>
      </c>
      <c r="N866" s="19" t="s">
        <v>199</v>
      </c>
      <c r="O866" s="19" t="s">
        <v>332</v>
      </c>
      <c r="P866" s="15">
        <v>306000</v>
      </c>
      <c r="Q866" s="15">
        <v>347494.89</v>
      </c>
      <c r="R866" s="15">
        <v>87082900</v>
      </c>
      <c r="S866" s="15">
        <v>15</v>
      </c>
      <c r="T866" s="19" t="s">
        <v>319</v>
      </c>
      <c r="U866" s="19" t="s">
        <v>178</v>
      </c>
      <c r="V866" s="16">
        <f t="shared" si="166"/>
        <v>52124.233500000002</v>
      </c>
      <c r="W866" s="16">
        <f t="shared" si="167"/>
        <v>5212.4233500000009</v>
      </c>
      <c r="X866" s="16">
        <f t="shared" si="168"/>
        <v>57336.656849999999</v>
      </c>
      <c r="Y866" s="16">
        <f t="shared" si="169"/>
        <v>0.1873746955882353</v>
      </c>
      <c r="Z866" s="16">
        <f t="shared" si="170"/>
        <v>1.1356042156862745</v>
      </c>
      <c r="AA866" s="17">
        <f t="shared" si="171"/>
        <v>306000</v>
      </c>
      <c r="AB866" s="10">
        <v>3872</v>
      </c>
      <c r="AC866" s="18">
        <f t="shared" si="172"/>
        <v>725.51482131764703</v>
      </c>
      <c r="AD866" s="12">
        <f t="shared" si="157"/>
        <v>94048</v>
      </c>
      <c r="AE866" s="13">
        <f t="shared" si="173"/>
        <v>211952</v>
      </c>
    </row>
    <row r="867" spans="1:31">
      <c r="A867" s="6">
        <v>1</v>
      </c>
      <c r="B867" s="6">
        <f t="shared" si="174"/>
        <v>33</v>
      </c>
      <c r="C867" s="6" t="str">
        <f t="shared" si="159"/>
        <v>NPB10271-ZKSCREW, SELF-TAPPING, MET OTHER, HEXALOBULAR INTER406701444998150000</v>
      </c>
      <c r="D867" s="7" t="s">
        <v>229</v>
      </c>
      <c r="E867" s="6" t="s">
        <v>76</v>
      </c>
      <c r="F867" s="6"/>
      <c r="G867" s="7" t="s">
        <v>36</v>
      </c>
      <c r="H867" s="19"/>
      <c r="I867" s="19"/>
      <c r="J867" s="19"/>
      <c r="K867" s="19"/>
      <c r="L867" s="14">
        <v>4067014</v>
      </c>
      <c r="M867" s="22">
        <v>44998</v>
      </c>
      <c r="N867" s="19" t="s">
        <v>196</v>
      </c>
      <c r="O867" s="19" t="s">
        <v>333</v>
      </c>
      <c r="P867" s="15">
        <v>150000</v>
      </c>
      <c r="Q867" s="15">
        <v>146157.25</v>
      </c>
      <c r="R867" s="15">
        <v>87082900</v>
      </c>
      <c r="S867" s="15">
        <v>15</v>
      </c>
      <c r="T867" s="19" t="s">
        <v>321</v>
      </c>
      <c r="U867" s="19" t="s">
        <v>178</v>
      </c>
      <c r="V867" s="16">
        <f t="shared" si="166"/>
        <v>21923.587499999998</v>
      </c>
      <c r="W867" s="16">
        <f t="shared" si="167"/>
        <v>2192.3587499999999</v>
      </c>
      <c r="X867" s="16">
        <f t="shared" si="168"/>
        <v>24115.946249999997</v>
      </c>
      <c r="Y867" s="16">
        <f t="shared" si="169"/>
        <v>0.16077297499999998</v>
      </c>
      <c r="Z867" s="16">
        <f t="shared" si="170"/>
        <v>0.9743816666666667</v>
      </c>
      <c r="AA867" s="17">
        <f t="shared" si="171"/>
        <v>150000</v>
      </c>
      <c r="AB867" s="10">
        <v>7744</v>
      </c>
      <c r="AC867" s="18">
        <f t="shared" si="172"/>
        <v>1245.0259183999999</v>
      </c>
      <c r="AD867" s="12">
        <f t="shared" si="157"/>
        <v>149952</v>
      </c>
      <c r="AE867" s="13">
        <f t="shared" si="173"/>
        <v>48</v>
      </c>
    </row>
    <row r="868" spans="1:31">
      <c r="A868" s="6">
        <v>1</v>
      </c>
      <c r="B868" s="6">
        <f t="shared" si="174"/>
        <v>34</v>
      </c>
      <c r="C868" s="6" t="str">
        <f t="shared" si="159"/>
        <v>NWB2834WASHER, WAVED 49935344494720000</v>
      </c>
      <c r="D868" s="7" t="s">
        <v>229</v>
      </c>
      <c r="E868" s="6" t="s">
        <v>77</v>
      </c>
      <c r="F868" s="6"/>
      <c r="G868" s="7" t="s">
        <v>37</v>
      </c>
      <c r="H868" s="19"/>
      <c r="I868" s="19"/>
      <c r="J868" s="19"/>
      <c r="K868" s="19"/>
      <c r="L868" s="14">
        <v>4993534</v>
      </c>
      <c r="M868" s="22">
        <v>44947</v>
      </c>
      <c r="N868" s="19" t="s">
        <v>196</v>
      </c>
      <c r="O868" s="19" t="s">
        <v>333</v>
      </c>
      <c r="P868" s="15">
        <v>20000</v>
      </c>
      <c r="Q868" s="15">
        <v>37407.879999999997</v>
      </c>
      <c r="R868" s="15">
        <v>87082900</v>
      </c>
      <c r="S868" s="15">
        <v>15</v>
      </c>
      <c r="T868" s="19" t="s">
        <v>207</v>
      </c>
      <c r="U868" s="19" t="s">
        <v>178</v>
      </c>
      <c r="V868" s="16">
        <f t="shared" si="166"/>
        <v>5611.1819999999998</v>
      </c>
      <c r="W868" s="16">
        <f t="shared" si="167"/>
        <v>561.1182</v>
      </c>
      <c r="X868" s="16">
        <f t="shared" si="168"/>
        <v>6172.3001999999997</v>
      </c>
      <c r="Y868" s="16">
        <f t="shared" si="169"/>
        <v>0.30861500999999997</v>
      </c>
      <c r="Z868" s="16">
        <f t="shared" si="170"/>
        <v>1.8703939999999999</v>
      </c>
      <c r="AA868" s="17">
        <f t="shared" si="171"/>
        <v>20000</v>
      </c>
      <c r="AB868" s="10">
        <v>3872</v>
      </c>
      <c r="AC868" s="18">
        <f t="shared" si="172"/>
        <v>1194.9573187199999</v>
      </c>
      <c r="AD868" s="12">
        <f t="shared" si="157"/>
        <v>20000</v>
      </c>
      <c r="AE868" s="13">
        <f t="shared" si="173"/>
        <v>0</v>
      </c>
    </row>
    <row r="869" spans="1:31">
      <c r="A869" s="6">
        <v>1</v>
      </c>
      <c r="B869" s="6">
        <f t="shared" si="174"/>
        <v>35</v>
      </c>
      <c r="C869" s="6" t="str">
        <f t="shared" si="159"/>
        <v>654590600ASU2ID STD CUSHION COMPON CVR NON-WOVEN RH2513010449248100</v>
      </c>
      <c r="D869" s="7" t="s">
        <v>229</v>
      </c>
      <c r="E869" s="6" t="s">
        <v>78</v>
      </c>
      <c r="F869" s="6"/>
      <c r="G869" s="7" t="s">
        <v>38</v>
      </c>
      <c r="H869" s="19"/>
      <c r="I869" s="19"/>
      <c r="J869" s="19"/>
      <c r="K869" s="19"/>
      <c r="L869" s="14">
        <v>2513010</v>
      </c>
      <c r="M869" s="22">
        <v>44924</v>
      </c>
      <c r="N869" s="19" t="s">
        <v>196</v>
      </c>
      <c r="O869" s="19" t="s">
        <v>333</v>
      </c>
      <c r="P869" s="15">
        <v>8100</v>
      </c>
      <c r="Q869" s="15">
        <v>118018.45</v>
      </c>
      <c r="R869" s="15">
        <v>87089500</v>
      </c>
      <c r="S869" s="15">
        <v>15</v>
      </c>
      <c r="T869" s="19" t="s">
        <v>338</v>
      </c>
      <c r="U869" s="19" t="s">
        <v>178</v>
      </c>
      <c r="V869" s="16">
        <f t="shared" si="166"/>
        <v>17702.767499999998</v>
      </c>
      <c r="W869" s="16">
        <f t="shared" si="167"/>
        <v>1770.27675</v>
      </c>
      <c r="X869" s="16">
        <f t="shared" si="168"/>
        <v>19473.044249999999</v>
      </c>
      <c r="Y869" s="16">
        <f t="shared" si="169"/>
        <v>2.4040795370370369</v>
      </c>
      <c r="Z869" s="16">
        <f t="shared" si="170"/>
        <v>14.570179012345678</v>
      </c>
      <c r="AA869" s="17">
        <f t="shared" si="171"/>
        <v>8100</v>
      </c>
      <c r="AB869" s="10">
        <v>3456</v>
      </c>
      <c r="AC869" s="18">
        <f t="shared" si="172"/>
        <v>8308.4988799999992</v>
      </c>
      <c r="AD869" s="12">
        <f t="shared" si="157"/>
        <v>8100</v>
      </c>
      <c r="AE869" s="13">
        <f t="shared" si="173"/>
        <v>0</v>
      </c>
    </row>
    <row r="870" spans="1:31">
      <c r="A870" s="6">
        <v>1</v>
      </c>
      <c r="B870" s="6">
        <f t="shared" si="174"/>
        <v>36</v>
      </c>
      <c r="C870" s="6" t="str">
        <f t="shared" si="159"/>
        <v>632154400AADHESIVE, PAD 44490894496120000</v>
      </c>
      <c r="D870" s="7" t="s">
        <v>229</v>
      </c>
      <c r="E870" s="6" t="s">
        <v>79</v>
      </c>
      <c r="F870" s="6"/>
      <c r="G870" s="7" t="s">
        <v>39</v>
      </c>
      <c r="H870" s="19"/>
      <c r="I870" s="19"/>
      <c r="J870" s="19"/>
      <c r="K870" s="19"/>
      <c r="L870" s="14">
        <v>4449089</v>
      </c>
      <c r="M870" s="22">
        <v>44961</v>
      </c>
      <c r="N870" s="19" t="s">
        <v>196</v>
      </c>
      <c r="O870" s="19" t="s">
        <v>333</v>
      </c>
      <c r="P870" s="15">
        <v>20000</v>
      </c>
      <c r="Q870" s="15">
        <v>71990.399999999994</v>
      </c>
      <c r="R870" s="15">
        <v>87082900</v>
      </c>
      <c r="S870" s="15">
        <v>15</v>
      </c>
      <c r="T870" s="19" t="s">
        <v>201</v>
      </c>
      <c r="U870" s="19" t="s">
        <v>178</v>
      </c>
      <c r="V870" s="16">
        <f t="shared" si="166"/>
        <v>10798.56</v>
      </c>
      <c r="W870" s="16">
        <f t="shared" si="167"/>
        <v>1079.856</v>
      </c>
      <c r="X870" s="16">
        <f t="shared" si="168"/>
        <v>11878.415999999999</v>
      </c>
      <c r="Y870" s="16">
        <f t="shared" si="169"/>
        <v>0.59392079999999992</v>
      </c>
      <c r="Z870" s="16">
        <f t="shared" si="170"/>
        <v>3.5995199999999996</v>
      </c>
      <c r="AA870" s="17">
        <f t="shared" si="171"/>
        <v>20000</v>
      </c>
      <c r="AB870" s="10">
        <v>1572</v>
      </c>
      <c r="AC870" s="18">
        <f t="shared" si="172"/>
        <v>933.64349759999982</v>
      </c>
      <c r="AD870" s="12">
        <f t="shared" ref="AD870:AD933" si="175">SUMIF($C$2:$C$2284,C870,$AB$2:$AB$2284)</f>
        <v>20000</v>
      </c>
      <c r="AE870" s="13">
        <f t="shared" si="173"/>
        <v>0</v>
      </c>
    </row>
    <row r="871" spans="1:31">
      <c r="A871" s="6">
        <v>1</v>
      </c>
      <c r="B871" s="6">
        <f t="shared" si="174"/>
        <v>37</v>
      </c>
      <c r="C871" s="6" t="str">
        <f t="shared" si="159"/>
        <v>621343500CNUT, ISO, M5, NYLON INSE NYLON INSERT417070644928390000</v>
      </c>
      <c r="D871" s="7" t="s">
        <v>230</v>
      </c>
      <c r="E871" s="6" t="s">
        <v>45</v>
      </c>
      <c r="F871" s="6"/>
      <c r="G871" s="7" t="s">
        <v>7</v>
      </c>
      <c r="H871" s="19"/>
      <c r="I871" s="19"/>
      <c r="J871" s="19"/>
      <c r="K871" s="19"/>
      <c r="L871" s="14">
        <v>4170706</v>
      </c>
      <c r="M871" s="22">
        <v>44928</v>
      </c>
      <c r="N871" s="19" t="s">
        <v>196</v>
      </c>
      <c r="O871" s="19" t="s">
        <v>332</v>
      </c>
      <c r="P871" s="15">
        <v>390000</v>
      </c>
      <c r="Q871" s="15">
        <v>806536.88</v>
      </c>
      <c r="R871" s="15">
        <v>87089500</v>
      </c>
      <c r="S871" s="15">
        <v>15</v>
      </c>
      <c r="T871" s="19" t="s">
        <v>301</v>
      </c>
      <c r="U871" s="19" t="s">
        <v>178</v>
      </c>
      <c r="V871" s="16">
        <f t="shared" si="166"/>
        <v>120980.53199999999</v>
      </c>
      <c r="W871" s="16">
        <f t="shared" si="167"/>
        <v>12098.0532</v>
      </c>
      <c r="X871" s="16">
        <f t="shared" si="168"/>
        <v>133078.5852</v>
      </c>
      <c r="Y871" s="16">
        <f t="shared" si="169"/>
        <v>0.34122714153846156</v>
      </c>
      <c r="Z871" s="16">
        <f t="shared" si="170"/>
        <v>2.0680432820512822</v>
      </c>
      <c r="AA871" s="17">
        <f t="shared" si="171"/>
        <v>390000</v>
      </c>
      <c r="AB871" s="10">
        <v>13152</v>
      </c>
      <c r="AC871" s="18"/>
      <c r="AD871" s="12">
        <f t="shared" si="175"/>
        <v>385128</v>
      </c>
      <c r="AE871" s="13">
        <f t="shared" si="173"/>
        <v>4872</v>
      </c>
    </row>
    <row r="872" spans="1:31">
      <c r="A872" s="6">
        <v>2</v>
      </c>
      <c r="B872" s="6">
        <v>1</v>
      </c>
      <c r="C872" s="6" t="str">
        <f t="shared" si="159"/>
        <v>643302000AINFLATOR, ADP-1.3B, MP, MIB, SQUARE, NO STUD40951444492815552</v>
      </c>
      <c r="D872" s="7" t="s">
        <v>230</v>
      </c>
      <c r="E872" s="6" t="s">
        <v>46</v>
      </c>
      <c r="F872" s="6"/>
      <c r="G872" s="7" t="s">
        <v>8</v>
      </c>
      <c r="H872" s="19"/>
      <c r="I872" s="19"/>
      <c r="J872" s="19"/>
      <c r="K872" s="19"/>
      <c r="L872" s="14">
        <v>4095144</v>
      </c>
      <c r="M872" s="22">
        <v>44928</v>
      </c>
      <c r="N872" s="19" t="s">
        <v>199</v>
      </c>
      <c r="O872" s="19" t="s">
        <v>333</v>
      </c>
      <c r="P872" s="15">
        <v>15552</v>
      </c>
      <c r="Q872" s="15">
        <v>5103595.95</v>
      </c>
      <c r="R872" s="15">
        <v>87089500</v>
      </c>
      <c r="S872" s="15">
        <v>15</v>
      </c>
      <c r="T872" s="19" t="s">
        <v>202</v>
      </c>
      <c r="U872" s="19" t="s">
        <v>200</v>
      </c>
      <c r="V872" s="16">
        <f t="shared" si="166"/>
        <v>765539.39249999996</v>
      </c>
      <c r="W872" s="16">
        <f t="shared" si="167"/>
        <v>76553.939249999996</v>
      </c>
      <c r="X872" s="16">
        <f t="shared" si="168"/>
        <v>842093.3317499999</v>
      </c>
      <c r="Y872" s="16">
        <f t="shared" si="169"/>
        <v>54.146947771990732</v>
      </c>
      <c r="Z872" s="16">
        <f t="shared" si="170"/>
        <v>328.16331983024691</v>
      </c>
      <c r="AA872" s="17">
        <f t="shared" si="171"/>
        <v>15552</v>
      </c>
      <c r="AB872" s="10">
        <v>3288</v>
      </c>
      <c r="AC872" s="18">
        <f t="shared" si="172"/>
        <v>178035.16427430551</v>
      </c>
      <c r="AD872" s="12">
        <f t="shared" si="175"/>
        <v>15552</v>
      </c>
      <c r="AE872" s="13">
        <f t="shared" si="173"/>
        <v>0</v>
      </c>
    </row>
    <row r="873" spans="1:31">
      <c r="A873" s="6">
        <v>2</v>
      </c>
      <c r="B873" s="6">
        <f t="shared" si="174"/>
        <v>2</v>
      </c>
      <c r="C873" s="6" t="str">
        <f t="shared" si="159"/>
        <v>570028800FNUT, ISO, M5, LOCK, THRE LOCK, THREE SIDED TAMPER393103644928624000</v>
      </c>
      <c r="D873" s="7" t="s">
        <v>230</v>
      </c>
      <c r="E873" s="6" t="s">
        <v>47</v>
      </c>
      <c r="F873" s="6"/>
      <c r="G873" s="7" t="s">
        <v>9</v>
      </c>
      <c r="H873" s="19"/>
      <c r="I873" s="19"/>
      <c r="J873" s="19"/>
      <c r="K873" s="19"/>
      <c r="L873" s="14">
        <v>3931036</v>
      </c>
      <c r="M873" s="22">
        <v>44928</v>
      </c>
      <c r="N873" s="19" t="s">
        <v>185</v>
      </c>
      <c r="O873" s="19" t="s">
        <v>332</v>
      </c>
      <c r="P873" s="15">
        <v>624000</v>
      </c>
      <c r="Q873" s="15">
        <v>1155867.1000000001</v>
      </c>
      <c r="R873" s="15">
        <v>87089500</v>
      </c>
      <c r="S873" s="15">
        <v>15</v>
      </c>
      <c r="T873" s="19" t="s">
        <v>302</v>
      </c>
      <c r="U873" s="19" t="s">
        <v>178</v>
      </c>
      <c r="V873" s="16">
        <f t="shared" si="166"/>
        <v>173380.065</v>
      </c>
      <c r="W873" s="16">
        <f t="shared" si="167"/>
        <v>17338.0065</v>
      </c>
      <c r="X873" s="16">
        <f t="shared" si="168"/>
        <v>190718.07149999999</v>
      </c>
      <c r="Y873" s="16">
        <f t="shared" si="169"/>
        <v>0.30563793509615383</v>
      </c>
      <c r="Z873" s="16">
        <f t="shared" si="170"/>
        <v>1.852351121794872</v>
      </c>
      <c r="AA873" s="17">
        <f t="shared" si="171"/>
        <v>624000</v>
      </c>
      <c r="AB873" s="10">
        <v>16608</v>
      </c>
      <c r="AC873" s="18">
        <f t="shared" si="172"/>
        <v>5076.0348260769233</v>
      </c>
      <c r="AD873" s="12">
        <f t="shared" si="175"/>
        <v>227952</v>
      </c>
      <c r="AE873" s="13">
        <f t="shared" si="173"/>
        <v>396048</v>
      </c>
    </row>
    <row r="874" spans="1:31">
      <c r="A874" s="6">
        <v>2</v>
      </c>
      <c r="B874" s="6">
        <f t="shared" si="174"/>
        <v>3</v>
      </c>
      <c r="C874" s="6" t="str">
        <f t="shared" si="159"/>
        <v>632955901AINFLATORS, APP-4.6 38556944491719008</v>
      </c>
      <c r="D874" s="7" t="s">
        <v>230</v>
      </c>
      <c r="E874" s="6" t="s">
        <v>48</v>
      </c>
      <c r="F874" s="6"/>
      <c r="G874" s="7" t="s">
        <v>10</v>
      </c>
      <c r="H874" s="19"/>
      <c r="I874" s="19"/>
      <c r="J874" s="19"/>
      <c r="K874" s="19"/>
      <c r="L874" s="14">
        <v>3855694</v>
      </c>
      <c r="M874" s="22">
        <v>44917</v>
      </c>
      <c r="N874" s="19" t="s">
        <v>185</v>
      </c>
      <c r="O874" s="19" t="s">
        <v>332</v>
      </c>
      <c r="P874" s="15">
        <v>19008</v>
      </c>
      <c r="Q874" s="15">
        <v>7453543.8499999996</v>
      </c>
      <c r="R874" s="15">
        <v>87089500</v>
      </c>
      <c r="S874" s="15">
        <v>15</v>
      </c>
      <c r="T874" s="19" t="s">
        <v>203</v>
      </c>
      <c r="U874" s="19" t="s">
        <v>200</v>
      </c>
      <c r="V874" s="16">
        <f t="shared" si="166"/>
        <v>1118031.5774999999</v>
      </c>
      <c r="W874" s="16">
        <f t="shared" si="167"/>
        <v>111803.15775</v>
      </c>
      <c r="X874" s="16">
        <f t="shared" si="168"/>
        <v>1229834.7352499999</v>
      </c>
      <c r="Y874" s="16">
        <f t="shared" si="169"/>
        <v>64.700901475694437</v>
      </c>
      <c r="Z874" s="16">
        <f t="shared" si="170"/>
        <v>392.12667561026933</v>
      </c>
      <c r="AA874" s="17">
        <f t="shared" si="171"/>
        <v>19008</v>
      </c>
      <c r="AB874" s="10">
        <v>4152</v>
      </c>
      <c r="AC874" s="18">
        <f t="shared" si="172"/>
        <v>268638.1429270833</v>
      </c>
      <c r="AD874" s="12">
        <f t="shared" si="175"/>
        <v>19008</v>
      </c>
      <c r="AE874" s="13">
        <f t="shared" si="173"/>
        <v>0</v>
      </c>
    </row>
    <row r="875" spans="1:31">
      <c r="A875" s="6">
        <v>2</v>
      </c>
      <c r="B875" s="6">
        <f t="shared" si="174"/>
        <v>4</v>
      </c>
      <c r="C875" s="6" t="str">
        <f t="shared" si="159"/>
        <v>655116100ALABEL, BLANK, 50.0, 25.0  LABEL, BLANK, 2PCS, 50X42294544483145000</v>
      </c>
      <c r="D875" s="7" t="s">
        <v>230</v>
      </c>
      <c r="E875" s="6" t="s">
        <v>49</v>
      </c>
      <c r="F875" s="6"/>
      <c r="G875" s="7" t="s">
        <v>11</v>
      </c>
      <c r="H875" s="19"/>
      <c r="I875" s="19"/>
      <c r="J875" s="19"/>
      <c r="K875" s="19"/>
      <c r="L875" s="14">
        <v>4229454</v>
      </c>
      <c r="M875" s="22">
        <v>44831</v>
      </c>
      <c r="N875" s="19" t="s">
        <v>196</v>
      </c>
      <c r="O875" s="19" t="s">
        <v>333</v>
      </c>
      <c r="P875" s="15">
        <v>45000</v>
      </c>
      <c r="Q875" s="15">
        <v>127149.27</v>
      </c>
      <c r="R875" s="15">
        <v>87089500</v>
      </c>
      <c r="S875" s="15">
        <v>15</v>
      </c>
      <c r="T875" s="19" t="s">
        <v>303</v>
      </c>
      <c r="U875" s="19" t="s">
        <v>178</v>
      </c>
      <c r="V875" s="16">
        <f t="shared" si="166"/>
        <v>19072.390500000001</v>
      </c>
      <c r="W875" s="16">
        <f t="shared" si="167"/>
        <v>1907.2390500000001</v>
      </c>
      <c r="X875" s="16">
        <f t="shared" si="168"/>
        <v>20979.629550000001</v>
      </c>
      <c r="Y875" s="16">
        <f t="shared" si="169"/>
        <v>0.46621399000000002</v>
      </c>
      <c r="Z875" s="16">
        <f t="shared" si="170"/>
        <v>2.8255393333333334</v>
      </c>
      <c r="AA875" s="17">
        <f t="shared" si="171"/>
        <v>45000</v>
      </c>
      <c r="AB875" s="10">
        <v>4152</v>
      </c>
      <c r="AC875" s="18">
        <f t="shared" si="172"/>
        <v>1935.7204864800001</v>
      </c>
      <c r="AD875" s="12">
        <f t="shared" si="175"/>
        <v>45000</v>
      </c>
      <c r="AE875" s="13">
        <f t="shared" si="173"/>
        <v>0</v>
      </c>
    </row>
    <row r="876" spans="1:31">
      <c r="A876" s="6">
        <v>2</v>
      </c>
      <c r="B876" s="6">
        <f t="shared" si="174"/>
        <v>5</v>
      </c>
      <c r="C876" s="6" t="str">
        <f t="shared" si="159"/>
        <v>603171100BTAPE, ADHESIVE, TERAOKA TERAOKA NO.560S 226314894484950000</v>
      </c>
      <c r="D876" s="7" t="s">
        <v>230</v>
      </c>
      <c r="E876" s="6" t="s">
        <v>50</v>
      </c>
      <c r="F876" s="6"/>
      <c r="G876" s="7" t="s">
        <v>12</v>
      </c>
      <c r="H876" s="19"/>
      <c r="I876" s="19"/>
      <c r="J876" s="19"/>
      <c r="K876" s="19"/>
      <c r="L876" s="14">
        <v>2631489</v>
      </c>
      <c r="M876" s="22">
        <v>44849</v>
      </c>
      <c r="N876" s="19" t="s">
        <v>196</v>
      </c>
      <c r="O876" s="19" t="s">
        <v>333</v>
      </c>
      <c r="P876" s="15">
        <v>50000</v>
      </c>
      <c r="Q876" s="15">
        <v>298875.90000000002</v>
      </c>
      <c r="R876" s="15">
        <v>87082900</v>
      </c>
      <c r="S876" s="15">
        <v>15</v>
      </c>
      <c r="T876" s="19" t="s">
        <v>334</v>
      </c>
      <c r="U876" s="19" t="s">
        <v>178</v>
      </c>
      <c r="V876" s="16">
        <f t="shared" si="166"/>
        <v>44831.385000000002</v>
      </c>
      <c r="W876" s="16">
        <f t="shared" si="167"/>
        <v>4483.1385</v>
      </c>
      <c r="X876" s="16">
        <f t="shared" si="168"/>
        <v>49314.523500000003</v>
      </c>
      <c r="Y876" s="16">
        <f t="shared" si="169"/>
        <v>0.98629047000000003</v>
      </c>
      <c r="Z876" s="16">
        <f t="shared" si="170"/>
        <v>5.9775180000000008</v>
      </c>
      <c r="AA876" s="17">
        <f t="shared" si="171"/>
        <v>50000</v>
      </c>
      <c r="AB876" s="10">
        <v>0</v>
      </c>
      <c r="AC876" s="18">
        <f t="shared" si="172"/>
        <v>0</v>
      </c>
      <c r="AD876" s="12">
        <f t="shared" si="175"/>
        <v>3937.6</v>
      </c>
      <c r="AE876" s="13">
        <f t="shared" si="173"/>
        <v>46062.400000000001</v>
      </c>
    </row>
    <row r="877" spans="1:31">
      <c r="A877" s="6">
        <v>2</v>
      </c>
      <c r="B877" s="6">
        <f t="shared" si="174"/>
        <v>6</v>
      </c>
      <c r="C877" s="6" t="str">
        <f t="shared" si="159"/>
        <v>603171100BTAPE, ADHESIVE, TERAOKA TERAOKA NO.560S 228985964482360000</v>
      </c>
      <c r="D877" s="7" t="s">
        <v>230</v>
      </c>
      <c r="E877" s="6" t="s">
        <v>50</v>
      </c>
      <c r="F877" s="6"/>
      <c r="G877" s="7" t="s">
        <v>12</v>
      </c>
      <c r="H877" s="19"/>
      <c r="I877" s="19"/>
      <c r="J877" s="19"/>
      <c r="K877" s="19"/>
      <c r="L877" s="14">
        <v>2898596</v>
      </c>
      <c r="M877" s="22">
        <v>44823</v>
      </c>
      <c r="N877" s="19" t="s">
        <v>180</v>
      </c>
      <c r="O877" s="19" t="s">
        <v>333</v>
      </c>
      <c r="P877" s="15">
        <v>60000</v>
      </c>
      <c r="Q877" s="15">
        <v>334824.25</v>
      </c>
      <c r="R877" s="15">
        <v>87089400</v>
      </c>
      <c r="S877" s="15">
        <v>15</v>
      </c>
      <c r="T877" s="19" t="s">
        <v>335</v>
      </c>
      <c r="U877" s="19" t="s">
        <v>178</v>
      </c>
      <c r="V877" s="16">
        <f t="shared" si="166"/>
        <v>50223.637499999997</v>
      </c>
      <c r="W877" s="16">
        <f t="shared" si="167"/>
        <v>5022.3637500000004</v>
      </c>
      <c r="X877" s="16">
        <f t="shared" si="168"/>
        <v>55246.001250000001</v>
      </c>
      <c r="Y877" s="16">
        <f t="shared" si="169"/>
        <v>0.92076668750000001</v>
      </c>
      <c r="Z877" s="16">
        <f t="shared" si="170"/>
        <v>5.5804041666666668</v>
      </c>
      <c r="AA877" s="17">
        <f t="shared" si="171"/>
        <v>60000</v>
      </c>
      <c r="AB877" s="10">
        <v>904</v>
      </c>
      <c r="AC877" s="18">
        <f t="shared" si="172"/>
        <v>832.3730855</v>
      </c>
      <c r="AD877" s="12">
        <f t="shared" si="175"/>
        <v>1200</v>
      </c>
      <c r="AE877" s="13">
        <f t="shared" si="173"/>
        <v>58800</v>
      </c>
    </row>
    <row r="878" spans="1:31">
      <c r="A878" s="6">
        <v>2</v>
      </c>
      <c r="B878" s="6">
        <f t="shared" si="174"/>
        <v>7</v>
      </c>
      <c r="C878" s="6" t="str">
        <f t="shared" si="159"/>
        <v>609183701ASTUD, M6 X 1.0, 16.0561310344974140000</v>
      </c>
      <c r="D878" s="7" t="s">
        <v>230</v>
      </c>
      <c r="E878" s="6" t="s">
        <v>51</v>
      </c>
      <c r="F878" s="6"/>
      <c r="G878" s="7" t="s">
        <v>411</v>
      </c>
      <c r="H878" s="19"/>
      <c r="I878" s="19"/>
      <c r="J878" s="19"/>
      <c r="K878" s="19"/>
      <c r="L878" s="14">
        <v>5613103</v>
      </c>
      <c r="M878" s="22">
        <v>44974</v>
      </c>
      <c r="N878" s="19" t="s">
        <v>185</v>
      </c>
      <c r="O878" s="19" t="s">
        <v>332</v>
      </c>
      <c r="P878" s="15">
        <v>140000</v>
      </c>
      <c r="Q878" s="15">
        <v>402663.89</v>
      </c>
      <c r="R878" s="15">
        <v>87082900</v>
      </c>
      <c r="S878" s="15">
        <v>15</v>
      </c>
      <c r="T878" s="19" t="s">
        <v>304</v>
      </c>
      <c r="U878" s="19" t="s">
        <v>178</v>
      </c>
      <c r="V878" s="16">
        <f t="shared" si="166"/>
        <v>60399.583500000001</v>
      </c>
      <c r="W878" s="16">
        <f t="shared" si="167"/>
        <v>6039.9583500000008</v>
      </c>
      <c r="X878" s="16">
        <f t="shared" si="168"/>
        <v>66439.541850000009</v>
      </c>
      <c r="Y878" s="16">
        <f t="shared" si="169"/>
        <v>0.47456815607142866</v>
      </c>
      <c r="Z878" s="16">
        <f t="shared" si="170"/>
        <v>2.8761706428571427</v>
      </c>
      <c r="AA878" s="17">
        <f t="shared" si="171"/>
        <v>140000</v>
      </c>
      <c r="AB878" s="10">
        <v>10656</v>
      </c>
      <c r="AC878" s="18">
        <f t="shared" si="172"/>
        <v>5056.9982710971435</v>
      </c>
      <c r="AD878" s="12">
        <f t="shared" si="175"/>
        <v>140000</v>
      </c>
      <c r="AE878" s="13">
        <f t="shared" si="173"/>
        <v>0</v>
      </c>
    </row>
    <row r="879" spans="1:31">
      <c r="A879" s="6">
        <v>2</v>
      </c>
      <c r="B879" s="6">
        <f t="shared" si="174"/>
        <v>8</v>
      </c>
      <c r="C879" s="6" t="str">
        <f t="shared" si="159"/>
        <v>616531900ARING, CRIMP, CLAMP, BAND466647844973100000</v>
      </c>
      <c r="D879" s="7" t="s">
        <v>230</v>
      </c>
      <c r="E879" s="6" t="s">
        <v>52</v>
      </c>
      <c r="F879" s="6"/>
      <c r="G879" s="7" t="s">
        <v>410</v>
      </c>
      <c r="H879" s="19"/>
      <c r="I879" s="19"/>
      <c r="J879" s="19"/>
      <c r="K879" s="19"/>
      <c r="L879" s="14">
        <v>4666478</v>
      </c>
      <c r="M879" s="22">
        <v>44973</v>
      </c>
      <c r="N879" s="19" t="s">
        <v>199</v>
      </c>
      <c r="O879" s="19" t="s">
        <v>333</v>
      </c>
      <c r="P879" s="15">
        <v>100000</v>
      </c>
      <c r="Q879" s="15">
        <v>1733493.63</v>
      </c>
      <c r="R879" s="15">
        <v>87089500</v>
      </c>
      <c r="S879" s="15">
        <v>15</v>
      </c>
      <c r="T879" s="19" t="s">
        <v>305</v>
      </c>
      <c r="U879" s="19" t="s">
        <v>178</v>
      </c>
      <c r="V879" s="16">
        <f t="shared" si="166"/>
        <v>260024.04449999996</v>
      </c>
      <c r="W879" s="16">
        <f t="shared" si="167"/>
        <v>26002.404449999998</v>
      </c>
      <c r="X879" s="16">
        <f t="shared" si="168"/>
        <v>286026.44894999993</v>
      </c>
      <c r="Y879" s="16">
        <f t="shared" si="169"/>
        <v>2.8602644894999991</v>
      </c>
      <c r="Z879" s="16">
        <f t="shared" si="170"/>
        <v>17.334936299999999</v>
      </c>
      <c r="AA879" s="17">
        <f t="shared" si="171"/>
        <v>100000</v>
      </c>
      <c r="AB879" s="10">
        <v>10656</v>
      </c>
      <c r="AC879" s="18">
        <f t="shared" si="172"/>
        <v>30478.978400111992</v>
      </c>
      <c r="AD879" s="12">
        <f t="shared" si="175"/>
        <v>100000</v>
      </c>
      <c r="AE879" s="13">
        <f t="shared" si="173"/>
        <v>0</v>
      </c>
    </row>
    <row r="880" spans="1:31">
      <c r="A880" s="6">
        <v>2</v>
      </c>
      <c r="B880" s="6">
        <f t="shared" si="174"/>
        <v>9</v>
      </c>
      <c r="C880" s="6" t="str">
        <f t="shared" si="159"/>
        <v>653328100ACUSHION, C AND S, SIDE, LH, BUTTON HOLE STYLE, S4291231449477040</v>
      </c>
      <c r="D880" s="7" t="s">
        <v>230</v>
      </c>
      <c r="E880" s="6" t="s">
        <v>53</v>
      </c>
      <c r="F880" s="6"/>
      <c r="G880" s="19" t="s">
        <v>13</v>
      </c>
      <c r="H880" s="19"/>
      <c r="I880" s="19"/>
      <c r="J880" s="19"/>
      <c r="K880" s="19"/>
      <c r="L880" s="14">
        <v>4291231</v>
      </c>
      <c r="M880" s="22">
        <v>44947</v>
      </c>
      <c r="N880" s="19" t="s">
        <v>197</v>
      </c>
      <c r="O880" s="19" t="s">
        <v>333</v>
      </c>
      <c r="P880" s="15">
        <v>7040</v>
      </c>
      <c r="Q880" s="15">
        <v>6001485.5700000003</v>
      </c>
      <c r="R880" s="15">
        <v>87089500</v>
      </c>
      <c r="S880" s="15">
        <v>5</v>
      </c>
      <c r="T880" s="19" t="s">
        <v>204</v>
      </c>
      <c r="U880" s="19" t="s">
        <v>178</v>
      </c>
      <c r="V880" s="16">
        <f t="shared" si="166"/>
        <v>300074.27850000001</v>
      </c>
      <c r="W880" s="16">
        <f t="shared" si="167"/>
        <v>30007.427850000004</v>
      </c>
      <c r="X880" s="16">
        <f t="shared" si="168"/>
        <v>330081.70634999999</v>
      </c>
      <c r="Y880" s="16">
        <f t="shared" si="169"/>
        <v>46.886606015624999</v>
      </c>
      <c r="Z880" s="16">
        <f t="shared" si="170"/>
        <v>852.48374573863646</v>
      </c>
      <c r="AA880" s="17">
        <f t="shared" si="171"/>
        <v>7040</v>
      </c>
      <c r="AB880" s="10">
        <v>2720</v>
      </c>
      <c r="AC880" s="18">
        <f t="shared" si="172"/>
        <v>127531.56836249999</v>
      </c>
      <c r="AD880" s="12">
        <f t="shared" si="175"/>
        <v>7040</v>
      </c>
      <c r="AE880" s="13">
        <f t="shared" si="173"/>
        <v>0</v>
      </c>
    </row>
    <row r="881" spans="1:31">
      <c r="A881" s="6">
        <v>2</v>
      </c>
      <c r="B881" s="6">
        <f t="shared" si="174"/>
        <v>10</v>
      </c>
      <c r="C881" s="6" t="str">
        <f t="shared" si="159"/>
        <v>PC47516-3810SNAP-IN-FASTENER, PUSH P PUSH PIN, BLACK43773094523742000</v>
      </c>
      <c r="D881" s="7" t="s">
        <v>230</v>
      </c>
      <c r="E881" s="6" t="s">
        <v>54</v>
      </c>
      <c r="F881" s="6"/>
      <c r="G881" s="7" t="s">
        <v>14</v>
      </c>
      <c r="H881" s="19"/>
      <c r="I881" s="19"/>
      <c r="J881" s="19"/>
      <c r="K881" s="19"/>
      <c r="L881" s="14">
        <v>4377309</v>
      </c>
      <c r="M881" s="22">
        <v>45237</v>
      </c>
      <c r="N881" s="19" t="s">
        <v>196</v>
      </c>
      <c r="O881" s="19" t="s">
        <v>333</v>
      </c>
      <c r="P881" s="15">
        <v>42000</v>
      </c>
      <c r="Q881" s="15">
        <v>48121.48</v>
      </c>
      <c r="R881" s="15">
        <v>87089500</v>
      </c>
      <c r="S881" s="15">
        <v>15</v>
      </c>
      <c r="T881" s="19" t="s">
        <v>306</v>
      </c>
      <c r="U881" s="19" t="s">
        <v>178</v>
      </c>
      <c r="V881" s="16">
        <f t="shared" si="166"/>
        <v>7218.2220000000007</v>
      </c>
      <c r="W881" s="16">
        <f t="shared" si="167"/>
        <v>721.82220000000007</v>
      </c>
      <c r="X881" s="16">
        <f t="shared" si="168"/>
        <v>7940.0442000000003</v>
      </c>
      <c r="Y881" s="16">
        <f t="shared" si="169"/>
        <v>0.18904867142857143</v>
      </c>
      <c r="Z881" s="16">
        <f t="shared" si="170"/>
        <v>1.1457495238095239</v>
      </c>
      <c r="AA881" s="17">
        <f t="shared" si="171"/>
        <v>42000</v>
      </c>
      <c r="AB881" s="10">
        <v>5328</v>
      </c>
      <c r="AC881" s="18">
        <f t="shared" si="172"/>
        <v>1007.2513213714286</v>
      </c>
      <c r="AD881" s="12">
        <f t="shared" si="175"/>
        <v>41976</v>
      </c>
      <c r="AE881" s="13">
        <f t="shared" si="173"/>
        <v>24</v>
      </c>
    </row>
    <row r="882" spans="1:31">
      <c r="A882" s="6">
        <v>2</v>
      </c>
      <c r="B882" s="6">
        <f t="shared" si="174"/>
        <v>11</v>
      </c>
      <c r="C882" s="6" t="str">
        <f t="shared" si="159"/>
        <v>649421100AINFLATOR, ASP-5.1, P20, SRR, IMI, SERV, NO STUDS47575054497912096</v>
      </c>
      <c r="D882" s="7" t="s">
        <v>230</v>
      </c>
      <c r="E882" s="6" t="s">
        <v>469</v>
      </c>
      <c r="F882" s="6"/>
      <c r="G882" s="7" t="s">
        <v>16</v>
      </c>
      <c r="H882" s="19"/>
      <c r="I882" s="19"/>
      <c r="J882" s="19"/>
      <c r="K882" s="19"/>
      <c r="L882" s="14">
        <v>4757505</v>
      </c>
      <c r="M882" s="22">
        <v>44979</v>
      </c>
      <c r="N882" s="19" t="s">
        <v>185</v>
      </c>
      <c r="O882" s="19" t="s">
        <v>332</v>
      </c>
      <c r="P882" s="15">
        <v>12096</v>
      </c>
      <c r="Q882" s="15">
        <v>2418095.83</v>
      </c>
      <c r="R882" s="15">
        <v>87089500</v>
      </c>
      <c r="S882" s="15">
        <v>15</v>
      </c>
      <c r="T882" s="19" t="s">
        <v>203</v>
      </c>
      <c r="U882" s="19" t="s">
        <v>200</v>
      </c>
      <c r="V882" s="16">
        <f t="shared" si="166"/>
        <v>362714.37449999998</v>
      </c>
      <c r="W882" s="16">
        <f t="shared" si="167"/>
        <v>36271.437449999998</v>
      </c>
      <c r="X882" s="16">
        <f t="shared" si="168"/>
        <v>398985.81195</v>
      </c>
      <c r="Y882" s="16">
        <f t="shared" si="169"/>
        <v>32.984938157242063</v>
      </c>
      <c r="Z882" s="16">
        <f t="shared" si="170"/>
        <v>199.90871610449736</v>
      </c>
      <c r="AA882" s="17">
        <f t="shared" si="171"/>
        <v>12096</v>
      </c>
      <c r="AB882" s="10">
        <v>4320</v>
      </c>
      <c r="AC882" s="18">
        <f t="shared" si="172"/>
        <v>142494.9328392857</v>
      </c>
      <c r="AD882" s="12">
        <f t="shared" si="175"/>
        <v>11952</v>
      </c>
      <c r="AE882" s="13">
        <f t="shared" si="173"/>
        <v>144</v>
      </c>
    </row>
    <row r="883" spans="1:31">
      <c r="A883" s="6">
        <v>2</v>
      </c>
      <c r="B883" s="6">
        <f t="shared" si="174"/>
        <v>12</v>
      </c>
      <c r="C883" s="6" t="str">
        <f t="shared" si="159"/>
        <v>566098600CWEBBING PIN, RETRACTOR, AGB, AGB-95POM FARBE:SCH432749644950120000</v>
      </c>
      <c r="D883" s="7" t="s">
        <v>230</v>
      </c>
      <c r="E883" s="6" t="s">
        <v>57</v>
      </c>
      <c r="F883" s="6"/>
      <c r="G883" s="7" t="s">
        <v>17</v>
      </c>
      <c r="H883" s="19"/>
      <c r="I883" s="19"/>
      <c r="J883" s="19"/>
      <c r="K883" s="19"/>
      <c r="L883" s="14">
        <v>4327496</v>
      </c>
      <c r="M883" s="22">
        <v>44950</v>
      </c>
      <c r="N883" s="19" t="s">
        <v>199</v>
      </c>
      <c r="O883" s="19" t="s">
        <v>332</v>
      </c>
      <c r="P883" s="15">
        <v>120000</v>
      </c>
      <c r="Q883" s="15">
        <v>117311.7</v>
      </c>
      <c r="R883" s="15">
        <v>87082900</v>
      </c>
      <c r="S883" s="15">
        <v>15</v>
      </c>
      <c r="T883" s="19" t="s">
        <v>307</v>
      </c>
      <c r="U883" s="19" t="s">
        <v>178</v>
      </c>
      <c r="V883" s="16">
        <f t="shared" si="166"/>
        <v>17596.754999999997</v>
      </c>
      <c r="W883" s="16">
        <f t="shared" si="167"/>
        <v>1759.6754999999998</v>
      </c>
      <c r="X883" s="16">
        <f t="shared" si="168"/>
        <v>19356.430499999999</v>
      </c>
      <c r="Y883" s="16">
        <f t="shared" si="169"/>
        <v>0.16130358749999998</v>
      </c>
      <c r="Z883" s="16">
        <f t="shared" si="170"/>
        <v>0.97759750000000001</v>
      </c>
      <c r="AA883" s="17">
        <f t="shared" si="171"/>
        <v>120000</v>
      </c>
      <c r="AB883" s="10">
        <v>5676</v>
      </c>
      <c r="AC883" s="18">
        <f t="shared" si="172"/>
        <v>915.55916264999996</v>
      </c>
      <c r="AD883" s="12">
        <f t="shared" si="175"/>
        <v>86652</v>
      </c>
      <c r="AE883" s="13">
        <f t="shared" si="173"/>
        <v>33348</v>
      </c>
    </row>
    <row r="884" spans="1:31">
      <c r="A884" s="6">
        <v>2</v>
      </c>
      <c r="B884" s="6">
        <f t="shared" si="174"/>
        <v>13</v>
      </c>
      <c r="C884" s="6" t="str">
        <f t="shared" si="159"/>
        <v>566253211EADAPTER, CAR SENS, RETRA ALL VERSIONS390969644984216000</v>
      </c>
      <c r="D884" s="7" t="s">
        <v>230</v>
      </c>
      <c r="E884" s="6" t="s">
        <v>58</v>
      </c>
      <c r="F884" s="6"/>
      <c r="G884" s="7" t="s">
        <v>18</v>
      </c>
      <c r="H884" s="19"/>
      <c r="I884" s="19"/>
      <c r="J884" s="19"/>
      <c r="K884" s="19"/>
      <c r="L884" s="14">
        <v>3909696</v>
      </c>
      <c r="M884" s="22">
        <v>44984</v>
      </c>
      <c r="N884" s="19" t="s">
        <v>199</v>
      </c>
      <c r="O884" s="19" t="s">
        <v>332</v>
      </c>
      <c r="P884" s="15">
        <v>216000</v>
      </c>
      <c r="Q884" s="15">
        <v>549354.86</v>
      </c>
      <c r="R884" s="15">
        <v>87082900</v>
      </c>
      <c r="S884" s="15">
        <v>15</v>
      </c>
      <c r="T884" s="19" t="s">
        <v>308</v>
      </c>
      <c r="U884" s="19" t="s">
        <v>178</v>
      </c>
      <c r="V884" s="16">
        <f t="shared" si="166"/>
        <v>82403.228999999992</v>
      </c>
      <c r="W884" s="16">
        <f t="shared" si="167"/>
        <v>8240.3228999999992</v>
      </c>
      <c r="X884" s="16">
        <f t="shared" si="168"/>
        <v>90643.551899999991</v>
      </c>
      <c r="Y884" s="16">
        <f t="shared" si="169"/>
        <v>0.41964607361111106</v>
      </c>
      <c r="Z884" s="16">
        <f t="shared" si="170"/>
        <v>2.5433095370370369</v>
      </c>
      <c r="AA884" s="17">
        <f t="shared" si="171"/>
        <v>216000</v>
      </c>
      <c r="AB884" s="10">
        <v>5676</v>
      </c>
      <c r="AC884" s="18">
        <f t="shared" si="172"/>
        <v>2381.9111138166663</v>
      </c>
      <c r="AD884" s="12">
        <f t="shared" si="175"/>
        <v>86652</v>
      </c>
      <c r="AE884" s="13">
        <f t="shared" si="173"/>
        <v>129348</v>
      </c>
    </row>
    <row r="885" spans="1:31">
      <c r="A885" s="6">
        <v>2</v>
      </c>
      <c r="B885" s="6">
        <f t="shared" si="174"/>
        <v>14</v>
      </c>
      <c r="C885" s="6" t="str">
        <f t="shared" si="159"/>
        <v>566305721BSPRING, SHEET, LEAF, RET ALL VERSIONS, WS ECE4742807449445000</v>
      </c>
      <c r="D885" s="7" t="s">
        <v>230</v>
      </c>
      <c r="E885" s="6" t="s">
        <v>59</v>
      </c>
      <c r="F885" s="6"/>
      <c r="G885" s="7" t="s">
        <v>19</v>
      </c>
      <c r="H885" s="19"/>
      <c r="I885" s="19"/>
      <c r="J885" s="19"/>
      <c r="K885" s="19"/>
      <c r="L885" s="14">
        <v>4742807</v>
      </c>
      <c r="M885" s="22">
        <v>44944</v>
      </c>
      <c r="N885" s="19" t="s">
        <v>196</v>
      </c>
      <c r="O885" s="19" t="s">
        <v>337</v>
      </c>
      <c r="P885" s="15">
        <v>5000</v>
      </c>
      <c r="Q885" s="15">
        <v>143362.42000000001</v>
      </c>
      <c r="R885" s="15">
        <v>87082900</v>
      </c>
      <c r="S885" s="15">
        <v>15</v>
      </c>
      <c r="T885" s="19" t="s">
        <v>309</v>
      </c>
      <c r="U885" s="19" t="s">
        <v>178</v>
      </c>
      <c r="V885" s="16">
        <f t="shared" si="166"/>
        <v>21504.363000000001</v>
      </c>
      <c r="W885" s="16">
        <f t="shared" si="167"/>
        <v>2150.4363000000003</v>
      </c>
      <c r="X885" s="16">
        <f t="shared" si="168"/>
        <v>23654.799300000002</v>
      </c>
      <c r="Y885" s="16">
        <f t="shared" si="169"/>
        <v>4.7309598600000005</v>
      </c>
      <c r="Z885" s="16">
        <f t="shared" si="170"/>
        <v>28.672484000000004</v>
      </c>
      <c r="AA885" s="17">
        <f t="shared" si="171"/>
        <v>5000</v>
      </c>
      <c r="AB885" s="10">
        <v>96.492000000000004</v>
      </c>
      <c r="AC885" s="18">
        <f t="shared" si="172"/>
        <v>456.49977881112005</v>
      </c>
      <c r="AD885" s="12">
        <f t="shared" si="175"/>
        <v>1540.98</v>
      </c>
      <c r="AE885" s="13">
        <v>0</v>
      </c>
    </row>
    <row r="886" spans="1:31">
      <c r="A886" s="6">
        <v>2</v>
      </c>
      <c r="B886" s="6">
        <f t="shared" si="174"/>
        <v>15</v>
      </c>
      <c r="C886" s="6" t="str">
        <f t="shared" si="159"/>
        <v>600188700BLEVER, WEB SENS, RETRACT ALL VERSIONS421599144956270000</v>
      </c>
      <c r="D886" s="7" t="s">
        <v>230</v>
      </c>
      <c r="E886" s="6" t="s">
        <v>60</v>
      </c>
      <c r="F886" s="6"/>
      <c r="G886" s="7" t="s">
        <v>20</v>
      </c>
      <c r="H886" s="19"/>
      <c r="I886" s="19"/>
      <c r="J886" s="19"/>
      <c r="K886" s="19"/>
      <c r="L886" s="14">
        <v>4215991</v>
      </c>
      <c r="M886" s="22">
        <v>44956</v>
      </c>
      <c r="N886" s="19" t="s">
        <v>199</v>
      </c>
      <c r="O886" s="19" t="s">
        <v>332</v>
      </c>
      <c r="P886" s="15">
        <v>270000</v>
      </c>
      <c r="Q886" s="15">
        <v>1513733.76</v>
      </c>
      <c r="R886" s="15">
        <v>87082900</v>
      </c>
      <c r="S886" s="15">
        <v>15</v>
      </c>
      <c r="T886" s="19" t="s">
        <v>310</v>
      </c>
      <c r="U886" s="19" t="s">
        <v>178</v>
      </c>
      <c r="V886" s="16">
        <f t="shared" si="166"/>
        <v>227060.06399999998</v>
      </c>
      <c r="W886" s="16">
        <f t="shared" si="167"/>
        <v>22706.006399999998</v>
      </c>
      <c r="X886" s="16">
        <f t="shared" si="168"/>
        <v>249766.07039999997</v>
      </c>
      <c r="Y886" s="16">
        <f t="shared" si="169"/>
        <v>0.92505951999999991</v>
      </c>
      <c r="Z886" s="16">
        <f t="shared" si="170"/>
        <v>5.6064213333333335</v>
      </c>
      <c r="AA886" s="17">
        <f t="shared" si="171"/>
        <v>270000</v>
      </c>
      <c r="AB886" s="10">
        <v>5676</v>
      </c>
      <c r="AC886" s="18">
        <f t="shared" si="172"/>
        <v>5250.6378355199995</v>
      </c>
      <c r="AD886" s="12">
        <f t="shared" si="175"/>
        <v>86652</v>
      </c>
      <c r="AE886" s="13">
        <f t="shared" si="173"/>
        <v>183348</v>
      </c>
    </row>
    <row r="887" spans="1:31">
      <c r="A887" s="6">
        <v>2</v>
      </c>
      <c r="B887" s="6">
        <f t="shared" si="174"/>
        <v>16</v>
      </c>
      <c r="C887" s="6" t="str">
        <f t="shared" si="159"/>
        <v>601182600ASPINDLE, RETRACTOR, R27, STD43790984493343008</v>
      </c>
      <c r="D887" s="7" t="s">
        <v>230</v>
      </c>
      <c r="E887" s="6" t="s">
        <v>61</v>
      </c>
      <c r="F887" s="6"/>
      <c r="G887" s="7" t="s">
        <v>21</v>
      </c>
      <c r="H887" s="19"/>
      <c r="I887" s="19"/>
      <c r="J887" s="19"/>
      <c r="K887" s="19"/>
      <c r="L887" s="14">
        <v>4379098</v>
      </c>
      <c r="M887" s="22">
        <v>44933</v>
      </c>
      <c r="N887" s="19" t="s">
        <v>185</v>
      </c>
      <c r="O887" s="19" t="s">
        <v>332</v>
      </c>
      <c r="P887" s="15">
        <v>43008</v>
      </c>
      <c r="Q887" s="15">
        <v>1835488.61</v>
      </c>
      <c r="R887" s="15">
        <v>87082900</v>
      </c>
      <c r="S887" s="15">
        <v>15</v>
      </c>
      <c r="T887" s="19" t="s">
        <v>311</v>
      </c>
      <c r="U887" s="19" t="s">
        <v>178</v>
      </c>
      <c r="V887" s="16">
        <f t="shared" si="166"/>
        <v>275323.29149999999</v>
      </c>
      <c r="W887" s="16">
        <f t="shared" si="167"/>
        <v>27532.329150000001</v>
      </c>
      <c r="X887" s="16">
        <f t="shared" si="168"/>
        <v>302855.62065</v>
      </c>
      <c r="Y887" s="16">
        <f t="shared" si="169"/>
        <v>7.0418438581194192</v>
      </c>
      <c r="Z887" s="16">
        <f t="shared" si="170"/>
        <v>42.677841564360122</v>
      </c>
      <c r="AA887" s="17">
        <f t="shared" si="171"/>
        <v>43008</v>
      </c>
      <c r="AB887" s="10">
        <v>5676</v>
      </c>
      <c r="AC887" s="18">
        <f t="shared" si="172"/>
        <v>39969.505738685824</v>
      </c>
      <c r="AD887" s="12">
        <f t="shared" si="175"/>
        <v>43008</v>
      </c>
      <c r="AE887" s="13">
        <f t="shared" si="173"/>
        <v>0</v>
      </c>
    </row>
    <row r="888" spans="1:31">
      <c r="A888" s="6">
        <v>2</v>
      </c>
      <c r="B888" s="6">
        <f t="shared" si="174"/>
        <v>17</v>
      </c>
      <c r="C888" s="6" t="str">
        <f t="shared" si="159"/>
        <v>601256700GBUSH, RETRACTOR, R27, AL ALL VERSIONS405080544944160000</v>
      </c>
      <c r="D888" s="7" t="s">
        <v>230</v>
      </c>
      <c r="E888" s="6" t="s">
        <v>62</v>
      </c>
      <c r="F888" s="6"/>
      <c r="G888" s="7" t="s">
        <v>22</v>
      </c>
      <c r="H888" s="19"/>
      <c r="I888" s="19"/>
      <c r="J888" s="19"/>
      <c r="K888" s="19"/>
      <c r="L888" s="14">
        <v>4050805</v>
      </c>
      <c r="M888" s="22">
        <v>44944</v>
      </c>
      <c r="N888" s="19" t="s">
        <v>196</v>
      </c>
      <c r="O888" s="19" t="s">
        <v>333</v>
      </c>
      <c r="P888" s="15">
        <v>160000</v>
      </c>
      <c r="Q888" s="15">
        <v>278597.26</v>
      </c>
      <c r="R888" s="15">
        <v>87082900</v>
      </c>
      <c r="S888" s="15">
        <v>15</v>
      </c>
      <c r="T888" s="19" t="s">
        <v>312</v>
      </c>
      <c r="U888" s="19" t="s">
        <v>178</v>
      </c>
      <c r="V888" s="16">
        <f t="shared" si="166"/>
        <v>41789.589</v>
      </c>
      <c r="W888" s="16">
        <f t="shared" si="167"/>
        <v>4178.9589000000005</v>
      </c>
      <c r="X888" s="16">
        <f t="shared" si="168"/>
        <v>45968.547899999998</v>
      </c>
      <c r="Y888" s="16">
        <f t="shared" si="169"/>
        <v>0.287303424375</v>
      </c>
      <c r="Z888" s="16">
        <f t="shared" si="170"/>
        <v>1.7412328750000001</v>
      </c>
      <c r="AA888" s="17">
        <f t="shared" si="171"/>
        <v>160000</v>
      </c>
      <c r="AB888" s="10">
        <v>5676</v>
      </c>
      <c r="AC888" s="18">
        <f t="shared" si="172"/>
        <v>1630.7342367525</v>
      </c>
      <c r="AD888" s="12">
        <f t="shared" si="175"/>
        <v>86652</v>
      </c>
      <c r="AE888" s="13">
        <f t="shared" si="173"/>
        <v>73348</v>
      </c>
    </row>
    <row r="889" spans="1:31">
      <c r="A889" s="6">
        <v>2</v>
      </c>
      <c r="B889" s="6">
        <f t="shared" si="174"/>
        <v>18</v>
      </c>
      <c r="C889" s="6" t="str">
        <f t="shared" si="159"/>
        <v>601472600ALATCH, RETRACTOR, R27, A ALL VERSIONS421598844951162000</v>
      </c>
      <c r="D889" s="7" t="s">
        <v>230</v>
      </c>
      <c r="E889" s="6" t="s">
        <v>63</v>
      </c>
      <c r="F889" s="6"/>
      <c r="G889" s="7" t="s">
        <v>23</v>
      </c>
      <c r="H889" s="19"/>
      <c r="I889" s="19"/>
      <c r="J889" s="19"/>
      <c r="K889" s="19"/>
      <c r="L889" s="14">
        <v>4215988</v>
      </c>
      <c r="M889" s="22">
        <v>44951</v>
      </c>
      <c r="N889" s="19" t="s">
        <v>199</v>
      </c>
      <c r="O889" s="19" t="s">
        <v>332</v>
      </c>
      <c r="P889" s="15">
        <v>162000</v>
      </c>
      <c r="Q889" s="15">
        <v>1167023.94</v>
      </c>
      <c r="R889" s="15">
        <v>87082900</v>
      </c>
      <c r="S889" s="15">
        <v>15</v>
      </c>
      <c r="T889" s="19" t="s">
        <v>313</v>
      </c>
      <c r="U889" s="19" t="s">
        <v>178</v>
      </c>
      <c r="V889" s="16">
        <f t="shared" si="166"/>
        <v>175053.59099999999</v>
      </c>
      <c r="W889" s="16">
        <f t="shared" si="167"/>
        <v>17505.359099999998</v>
      </c>
      <c r="X889" s="16">
        <f t="shared" si="168"/>
        <v>192558.95009999999</v>
      </c>
      <c r="Y889" s="16">
        <f t="shared" si="169"/>
        <v>1.1886354944444444</v>
      </c>
      <c r="Z889" s="16">
        <f t="shared" si="170"/>
        <v>7.2038514814814816</v>
      </c>
      <c r="AA889" s="17">
        <f t="shared" si="171"/>
        <v>162000</v>
      </c>
      <c r="AB889" s="10">
        <v>5676</v>
      </c>
      <c r="AC889" s="18">
        <f t="shared" si="172"/>
        <v>6746.6950664666665</v>
      </c>
      <c r="AD889" s="12">
        <f t="shared" si="175"/>
        <v>86652</v>
      </c>
      <c r="AE889" s="13">
        <f t="shared" si="173"/>
        <v>75348</v>
      </c>
    </row>
    <row r="890" spans="1:31">
      <c r="A890" s="6">
        <v>2</v>
      </c>
      <c r="B890" s="6">
        <f t="shared" si="174"/>
        <v>19</v>
      </c>
      <c r="C890" s="6" t="str">
        <f t="shared" si="159"/>
        <v>601487200CCOVER, RETRACTOR, R27, S SYSTEMKAPPE DELRIN 100T43274964495048000</v>
      </c>
      <c r="D890" s="7" t="s">
        <v>230</v>
      </c>
      <c r="E890" s="6" t="s">
        <v>64</v>
      </c>
      <c r="F890" s="6"/>
      <c r="G890" s="7" t="s">
        <v>24</v>
      </c>
      <c r="H890" s="19"/>
      <c r="I890" s="19"/>
      <c r="J890" s="19"/>
      <c r="K890" s="19"/>
      <c r="L890" s="14">
        <v>4327496</v>
      </c>
      <c r="M890" s="22">
        <v>44950</v>
      </c>
      <c r="N890" s="19" t="s">
        <v>199</v>
      </c>
      <c r="O890" s="19" t="s">
        <v>332</v>
      </c>
      <c r="P890" s="15">
        <v>48000</v>
      </c>
      <c r="Q890" s="15">
        <v>514349.16</v>
      </c>
      <c r="R890" s="15">
        <v>87082900</v>
      </c>
      <c r="S890" s="15">
        <v>15</v>
      </c>
      <c r="T890" s="19" t="s">
        <v>307</v>
      </c>
      <c r="U890" s="19" t="s">
        <v>178</v>
      </c>
      <c r="V890" s="16">
        <f t="shared" si="166"/>
        <v>77152.373999999996</v>
      </c>
      <c r="W890" s="16">
        <f t="shared" si="167"/>
        <v>7715.2374</v>
      </c>
      <c r="X890" s="16">
        <f t="shared" si="168"/>
        <v>84867.611399999994</v>
      </c>
      <c r="Y890" s="16">
        <f t="shared" si="169"/>
        <v>1.7680752375</v>
      </c>
      <c r="Z890" s="16">
        <f t="shared" si="170"/>
        <v>10.715607499999999</v>
      </c>
      <c r="AA890" s="17">
        <f t="shared" si="171"/>
        <v>48000</v>
      </c>
      <c r="AB890" s="10">
        <v>5676</v>
      </c>
      <c r="AC890" s="18">
        <f t="shared" si="172"/>
        <v>10035.59504805</v>
      </c>
      <c r="AD890" s="12">
        <f t="shared" si="175"/>
        <v>47964</v>
      </c>
      <c r="AE890" s="13">
        <f t="shared" si="173"/>
        <v>36</v>
      </c>
    </row>
    <row r="891" spans="1:31">
      <c r="A891" s="6">
        <v>2</v>
      </c>
      <c r="B891" s="6">
        <f t="shared" si="174"/>
        <v>20</v>
      </c>
      <c r="C891" s="6" t="str">
        <f t="shared" si="159"/>
        <v>605151600ASPRING, SHEET, LEAF, RET ALL VERSIONS, WS US407852744933100000</v>
      </c>
      <c r="D891" s="7" t="s">
        <v>230</v>
      </c>
      <c r="E891" s="6" t="s">
        <v>65</v>
      </c>
      <c r="F891" s="6"/>
      <c r="G891" s="7" t="s">
        <v>25</v>
      </c>
      <c r="H891" s="19"/>
      <c r="I891" s="19"/>
      <c r="J891" s="19"/>
      <c r="K891" s="19"/>
      <c r="L891" s="14">
        <v>4078527</v>
      </c>
      <c r="M891" s="22">
        <v>44933</v>
      </c>
      <c r="N891" s="19" t="s">
        <v>196</v>
      </c>
      <c r="O891" s="19" t="s">
        <v>333</v>
      </c>
      <c r="P891" s="15">
        <v>100000</v>
      </c>
      <c r="Q891" s="15">
        <v>147318.03</v>
      </c>
      <c r="R891" s="15">
        <v>87082900</v>
      </c>
      <c r="S891" s="15">
        <v>15</v>
      </c>
      <c r="T891" s="19" t="s">
        <v>314</v>
      </c>
      <c r="U891" s="19" t="s">
        <v>178</v>
      </c>
      <c r="V891" s="16">
        <f t="shared" si="166"/>
        <v>22097.7045</v>
      </c>
      <c r="W891" s="16">
        <f t="shared" si="167"/>
        <v>2209.77045</v>
      </c>
      <c r="X891" s="16">
        <f t="shared" si="168"/>
        <v>24307.47495</v>
      </c>
      <c r="Y891" s="16">
        <f t="shared" si="169"/>
        <v>0.24307474949999999</v>
      </c>
      <c r="Z891" s="16">
        <f t="shared" si="170"/>
        <v>1.4731802999999999</v>
      </c>
      <c r="AA891" s="17">
        <f t="shared" si="171"/>
        <v>100000</v>
      </c>
      <c r="AB891" s="10">
        <v>5676</v>
      </c>
      <c r="AC891" s="18">
        <f t="shared" si="172"/>
        <v>1379.6922781619999</v>
      </c>
      <c r="AD891" s="12">
        <f t="shared" si="175"/>
        <v>86652</v>
      </c>
      <c r="AE891" s="13">
        <f t="shared" si="173"/>
        <v>13348</v>
      </c>
    </row>
    <row r="892" spans="1:31">
      <c r="A892" s="6">
        <v>2</v>
      </c>
      <c r="B892" s="6">
        <f t="shared" si="174"/>
        <v>21</v>
      </c>
      <c r="C892" s="6" t="str">
        <f t="shared" si="159"/>
        <v>605555507ESTEERING DISC NATURE WHITE717838944902100800</v>
      </c>
      <c r="D892" s="7" t="s">
        <v>230</v>
      </c>
      <c r="E892" s="6" t="s">
        <v>66</v>
      </c>
      <c r="F892" s="6"/>
      <c r="G892" s="7" t="s">
        <v>26</v>
      </c>
      <c r="H892" s="19"/>
      <c r="I892" s="19"/>
      <c r="J892" s="19"/>
      <c r="K892" s="19"/>
      <c r="L892" s="14">
        <v>7178389</v>
      </c>
      <c r="M892" s="22">
        <v>44902</v>
      </c>
      <c r="N892" s="19" t="s">
        <v>185</v>
      </c>
      <c r="O892" s="19" t="s">
        <v>332</v>
      </c>
      <c r="P892" s="15">
        <v>100800</v>
      </c>
      <c r="Q892" s="15">
        <v>397158.13</v>
      </c>
      <c r="R892" s="15">
        <v>87082900</v>
      </c>
      <c r="S892" s="15">
        <v>15</v>
      </c>
      <c r="T892" s="19" t="s">
        <v>315</v>
      </c>
      <c r="U892" s="19" t="s">
        <v>178</v>
      </c>
      <c r="V892" s="16">
        <f t="shared" si="166"/>
        <v>59573.719499999999</v>
      </c>
      <c r="W892" s="16">
        <f t="shared" si="167"/>
        <v>5957.3719500000007</v>
      </c>
      <c r="X892" s="16">
        <f t="shared" si="168"/>
        <v>65531.09145</v>
      </c>
      <c r="Y892" s="16">
        <f t="shared" si="169"/>
        <v>0.65011003422619051</v>
      </c>
      <c r="Z892" s="16">
        <f t="shared" si="170"/>
        <v>3.9400608134920634</v>
      </c>
      <c r="AA892" s="17">
        <f t="shared" si="171"/>
        <v>100800</v>
      </c>
      <c r="AB892" s="10">
        <v>5676</v>
      </c>
      <c r="AC892" s="18">
        <f t="shared" si="172"/>
        <v>3690.0245542678572</v>
      </c>
      <c r="AD892" s="12">
        <f t="shared" si="175"/>
        <v>80292</v>
      </c>
      <c r="AE892" s="13">
        <f t="shared" si="173"/>
        <v>20508</v>
      </c>
    </row>
    <row r="893" spans="1:31">
      <c r="A893" s="6">
        <v>2</v>
      </c>
      <c r="B893" s="6">
        <f t="shared" si="174"/>
        <v>22</v>
      </c>
      <c r="C893" s="6" t="str">
        <f t="shared" si="159"/>
        <v>615795701BPILLAR LOOP, OVERMOULDED LIGHT GRAY, STD, WITH CA3627668449364000</v>
      </c>
      <c r="D893" s="7" t="s">
        <v>230</v>
      </c>
      <c r="E893" s="6" t="s">
        <v>67</v>
      </c>
      <c r="F893" s="6"/>
      <c r="G893" s="7" t="s">
        <v>27</v>
      </c>
      <c r="H893" s="19"/>
      <c r="I893" s="19"/>
      <c r="J893" s="19"/>
      <c r="K893" s="19"/>
      <c r="L893" s="14">
        <v>3627668</v>
      </c>
      <c r="M893" s="22">
        <v>44936</v>
      </c>
      <c r="N893" s="19" t="s">
        <v>185</v>
      </c>
      <c r="O893" s="19" t="s">
        <v>332</v>
      </c>
      <c r="P893" s="15">
        <v>4000</v>
      </c>
      <c r="Q893" s="15">
        <v>237993.39</v>
      </c>
      <c r="R893" s="15">
        <v>87082900</v>
      </c>
      <c r="S893" s="15">
        <v>15</v>
      </c>
      <c r="T893" s="19" t="s">
        <v>198</v>
      </c>
      <c r="U893" s="19" t="s">
        <v>178</v>
      </c>
      <c r="V893" s="16">
        <f t="shared" si="166"/>
        <v>35699.008500000004</v>
      </c>
      <c r="W893" s="16">
        <f t="shared" si="167"/>
        <v>3569.9008500000004</v>
      </c>
      <c r="X893" s="16">
        <f t="shared" si="168"/>
        <v>39268.909350000002</v>
      </c>
      <c r="Y893" s="16">
        <f t="shared" si="169"/>
        <v>9.8172273375000003</v>
      </c>
      <c r="Z893" s="16">
        <f t="shared" si="170"/>
        <v>59.498347500000001</v>
      </c>
      <c r="AA893" s="17">
        <f t="shared" si="171"/>
        <v>4000</v>
      </c>
      <c r="AB893" s="10">
        <v>2428</v>
      </c>
      <c r="AC893" s="18">
        <f t="shared" si="172"/>
        <v>23836.227975450001</v>
      </c>
      <c r="AD893" s="12">
        <f t="shared" si="175"/>
        <v>4000</v>
      </c>
      <c r="AE893" s="13">
        <f t="shared" si="173"/>
        <v>0</v>
      </c>
    </row>
    <row r="894" spans="1:31">
      <c r="A894" s="6">
        <v>2</v>
      </c>
      <c r="B894" s="6">
        <f t="shared" si="174"/>
        <v>23</v>
      </c>
      <c r="C894" s="6" t="str">
        <f t="shared" si="159"/>
        <v>618470500EBEARING, CAR SENS, RETRA All Versions, Noise redu408531144933170000</v>
      </c>
      <c r="D894" s="7" t="s">
        <v>230</v>
      </c>
      <c r="E894" s="6" t="s">
        <v>68</v>
      </c>
      <c r="F894" s="6"/>
      <c r="G894" s="7" t="s">
        <v>28</v>
      </c>
      <c r="H894" s="19"/>
      <c r="I894" s="19"/>
      <c r="J894" s="19"/>
      <c r="K894" s="19"/>
      <c r="L894" s="14">
        <v>4085311</v>
      </c>
      <c r="M894" s="22">
        <v>44933</v>
      </c>
      <c r="N894" s="19" t="s">
        <v>196</v>
      </c>
      <c r="O894" s="19" t="s">
        <v>333</v>
      </c>
      <c r="P894" s="15">
        <v>170000</v>
      </c>
      <c r="Q894" s="15">
        <v>305828.40000000002</v>
      </c>
      <c r="R894" s="15">
        <v>87082900</v>
      </c>
      <c r="S894" s="15">
        <v>15</v>
      </c>
      <c r="T894" s="19" t="s">
        <v>316</v>
      </c>
      <c r="U894" s="19" t="s">
        <v>178</v>
      </c>
      <c r="V894" s="16">
        <f t="shared" si="166"/>
        <v>45874.26</v>
      </c>
      <c r="W894" s="16">
        <f t="shared" si="167"/>
        <v>4587.4260000000004</v>
      </c>
      <c r="X894" s="16">
        <f t="shared" si="168"/>
        <v>50461.686000000002</v>
      </c>
      <c r="Y894" s="16">
        <f t="shared" si="169"/>
        <v>0.29683344705882353</v>
      </c>
      <c r="Z894" s="16">
        <f t="shared" si="170"/>
        <v>1.7989905882352943</v>
      </c>
      <c r="AA894" s="17">
        <f t="shared" si="171"/>
        <v>170000</v>
      </c>
      <c r="AB894" s="10">
        <v>5676</v>
      </c>
      <c r="AC894" s="18">
        <f t="shared" si="172"/>
        <v>1684.8266455058824</v>
      </c>
      <c r="AD894" s="12">
        <f t="shared" si="175"/>
        <v>61944</v>
      </c>
      <c r="AE894" s="13">
        <f t="shared" si="173"/>
        <v>108056</v>
      </c>
    </row>
    <row r="895" spans="1:31">
      <c r="A895" s="6">
        <v>2</v>
      </c>
      <c r="B895" s="6">
        <f t="shared" si="174"/>
        <v>24</v>
      </c>
      <c r="C895" s="6" t="str">
        <f t="shared" si="159"/>
        <v>618472000BLEVER, CAR SENS, RETRACT ALL VERSIONS, NOISE REDU408531144933170000</v>
      </c>
      <c r="D895" s="7" t="s">
        <v>230</v>
      </c>
      <c r="E895" s="6" t="s">
        <v>69</v>
      </c>
      <c r="F895" s="6"/>
      <c r="G895" s="7" t="s">
        <v>29</v>
      </c>
      <c r="H895" s="19"/>
      <c r="I895" s="19"/>
      <c r="J895" s="19"/>
      <c r="K895" s="19"/>
      <c r="L895" s="14">
        <v>4085311</v>
      </c>
      <c r="M895" s="22">
        <v>44933</v>
      </c>
      <c r="N895" s="19" t="s">
        <v>196</v>
      </c>
      <c r="O895" s="19" t="s">
        <v>333</v>
      </c>
      <c r="P895" s="15">
        <v>170000</v>
      </c>
      <c r="Q895" s="15">
        <v>247799.42</v>
      </c>
      <c r="R895" s="15">
        <v>87082900</v>
      </c>
      <c r="S895" s="15">
        <v>15</v>
      </c>
      <c r="T895" s="19" t="s">
        <v>316</v>
      </c>
      <c r="U895" s="19" t="s">
        <v>178</v>
      </c>
      <c r="V895" s="16">
        <f t="shared" si="166"/>
        <v>37169.913</v>
      </c>
      <c r="W895" s="16">
        <f t="shared" si="167"/>
        <v>3716.9913000000001</v>
      </c>
      <c r="X895" s="16">
        <f t="shared" si="168"/>
        <v>40886.904300000002</v>
      </c>
      <c r="Y895" s="16">
        <f t="shared" si="169"/>
        <v>0.24051120176470589</v>
      </c>
      <c r="Z895" s="16">
        <f t="shared" si="170"/>
        <v>1.4576436470588237</v>
      </c>
      <c r="AA895" s="17">
        <f t="shared" si="171"/>
        <v>170000</v>
      </c>
      <c r="AB895" s="10">
        <v>5676</v>
      </c>
      <c r="AC895" s="18">
        <f t="shared" si="172"/>
        <v>1365.1415812164707</v>
      </c>
      <c r="AD895" s="12">
        <f t="shared" si="175"/>
        <v>86652</v>
      </c>
      <c r="AE895" s="13">
        <f t="shared" si="173"/>
        <v>83348</v>
      </c>
    </row>
    <row r="896" spans="1:31">
      <c r="A896" s="6">
        <v>2</v>
      </c>
      <c r="B896" s="6">
        <f t="shared" si="174"/>
        <v>25</v>
      </c>
      <c r="C896" s="6" t="str">
        <f t="shared" si="159"/>
        <v>618472300CMASS, CAR SENS, RETRACTO ALL VERSIONS, CAR 2-PIN406183045012209560</v>
      </c>
      <c r="D896" s="7" t="s">
        <v>230</v>
      </c>
      <c r="E896" s="6" t="s">
        <v>70</v>
      </c>
      <c r="F896" s="6"/>
      <c r="G896" s="7" t="s">
        <v>30</v>
      </c>
      <c r="H896" s="19"/>
      <c r="I896" s="19"/>
      <c r="J896" s="19"/>
      <c r="K896" s="19"/>
      <c r="L896" s="14">
        <v>4061830</v>
      </c>
      <c r="M896" s="22">
        <v>45012</v>
      </c>
      <c r="N896" s="19" t="s">
        <v>196</v>
      </c>
      <c r="O896" s="19" t="s">
        <v>333</v>
      </c>
      <c r="P896" s="15">
        <v>209560</v>
      </c>
      <c r="Q896" s="15">
        <v>786307.66</v>
      </c>
      <c r="R896" s="15">
        <v>87082900</v>
      </c>
      <c r="S896" s="15">
        <v>15</v>
      </c>
      <c r="T896" s="19" t="s">
        <v>317</v>
      </c>
      <c r="U896" s="19" t="s">
        <v>178</v>
      </c>
      <c r="V896" s="16">
        <f t="shared" si="166"/>
        <v>117946.149</v>
      </c>
      <c r="W896" s="16">
        <f t="shared" si="167"/>
        <v>11794.6149</v>
      </c>
      <c r="X896" s="16">
        <f t="shared" si="168"/>
        <v>129740.76390000001</v>
      </c>
      <c r="Y896" s="16">
        <f t="shared" si="169"/>
        <v>0.61911034500858941</v>
      </c>
      <c r="Z896" s="16">
        <f t="shared" si="170"/>
        <v>3.7521839091429663</v>
      </c>
      <c r="AA896" s="17">
        <f t="shared" si="171"/>
        <v>209560</v>
      </c>
      <c r="AB896" s="10">
        <v>5676</v>
      </c>
      <c r="AC896" s="18">
        <f t="shared" si="172"/>
        <v>3514.0703182687535</v>
      </c>
      <c r="AD896" s="12">
        <f t="shared" si="175"/>
        <v>86652</v>
      </c>
      <c r="AE896" s="13">
        <f t="shared" si="173"/>
        <v>122908</v>
      </c>
    </row>
    <row r="897" spans="1:31">
      <c r="A897" s="6">
        <v>2</v>
      </c>
      <c r="B897" s="6">
        <f t="shared" si="174"/>
        <v>26</v>
      </c>
      <c r="C897" s="6" t="str">
        <f t="shared" si="159"/>
        <v>630580800ALABEL, RAW MATERIAL, BLA K12 TPC BUCKLE5160585449362400000</v>
      </c>
      <c r="D897" s="7" t="s">
        <v>230</v>
      </c>
      <c r="E897" s="6" t="s">
        <v>71</v>
      </c>
      <c r="F897" s="6"/>
      <c r="G897" s="7" t="s">
        <v>31</v>
      </c>
      <c r="H897" s="19"/>
      <c r="I897" s="19"/>
      <c r="J897" s="19"/>
      <c r="K897" s="19"/>
      <c r="L897" s="14">
        <v>5160585</v>
      </c>
      <c r="M897" s="22">
        <v>44936</v>
      </c>
      <c r="N897" s="19" t="s">
        <v>196</v>
      </c>
      <c r="O897" s="19" t="s">
        <v>333</v>
      </c>
      <c r="P897" s="15">
        <v>2400000</v>
      </c>
      <c r="Q897" s="15">
        <v>86522.34</v>
      </c>
      <c r="R897" s="15">
        <v>87082900</v>
      </c>
      <c r="S897" s="15">
        <v>15</v>
      </c>
      <c r="T897" s="19" t="s">
        <v>265</v>
      </c>
      <c r="U897" s="19" t="s">
        <v>178</v>
      </c>
      <c r="V897" s="16">
        <f t="shared" si="166"/>
        <v>12978.350999999999</v>
      </c>
      <c r="W897" s="16">
        <f t="shared" si="167"/>
        <v>1297.8351</v>
      </c>
      <c r="X897" s="16">
        <f t="shared" si="168"/>
        <v>14276.186099999999</v>
      </c>
      <c r="Y897" s="16">
        <f t="shared" si="169"/>
        <v>5.9484108749999999E-3</v>
      </c>
      <c r="Z897" s="16">
        <f t="shared" si="170"/>
        <v>3.6050974999999999E-2</v>
      </c>
      <c r="AA897" s="17">
        <f t="shared" si="171"/>
        <v>2400000</v>
      </c>
      <c r="AB897" s="10">
        <v>12060</v>
      </c>
      <c r="AC897" s="18">
        <f t="shared" si="172"/>
        <v>71.737835152499997</v>
      </c>
      <c r="AD897" s="12">
        <f t="shared" si="175"/>
        <v>548546</v>
      </c>
      <c r="AE897" s="13">
        <f t="shared" si="173"/>
        <v>1851454</v>
      </c>
    </row>
    <row r="898" spans="1:31">
      <c r="A898" s="6">
        <v>2</v>
      </c>
      <c r="B898" s="6">
        <f t="shared" si="174"/>
        <v>27</v>
      </c>
      <c r="C898" s="6" t="str">
        <f t="shared" ref="C898:C961" si="176">E898&amp;G898&amp;L898&amp;M898&amp;P898</f>
        <v>560050622CCHANNEL, BUCKLE, K12 ROA K12A/AT, RIVET BUCKLE, S505596944994224000</v>
      </c>
      <c r="D898" s="7" t="s">
        <v>230</v>
      </c>
      <c r="E898" s="6" t="s">
        <v>72</v>
      </c>
      <c r="F898" s="6"/>
      <c r="G898" s="7" t="s">
        <v>32</v>
      </c>
      <c r="H898" s="19"/>
      <c r="I898" s="19"/>
      <c r="J898" s="19"/>
      <c r="K898" s="19"/>
      <c r="L898" s="14">
        <v>5055969</v>
      </c>
      <c r="M898" s="22">
        <v>44994</v>
      </c>
      <c r="N898" s="19" t="s">
        <v>197</v>
      </c>
      <c r="O898" s="19" t="s">
        <v>333</v>
      </c>
      <c r="P898" s="15">
        <v>224000</v>
      </c>
      <c r="Q898" s="15">
        <v>3980591.44</v>
      </c>
      <c r="R898" s="15">
        <v>87082900</v>
      </c>
      <c r="S898" s="15">
        <v>15</v>
      </c>
      <c r="T898" s="19" t="s">
        <v>318</v>
      </c>
      <c r="U898" s="19" t="s">
        <v>178</v>
      </c>
      <c r="V898" s="16">
        <f t="shared" si="166"/>
        <v>597088.71600000001</v>
      </c>
      <c r="W898" s="16">
        <f t="shared" si="167"/>
        <v>59708.871600000006</v>
      </c>
      <c r="X898" s="16">
        <f t="shared" si="168"/>
        <v>656797.58759999997</v>
      </c>
      <c r="Y898" s="16">
        <f t="shared" si="169"/>
        <v>2.9321320874999999</v>
      </c>
      <c r="Z898" s="16">
        <f t="shared" si="170"/>
        <v>17.770497500000001</v>
      </c>
      <c r="AA898" s="17">
        <f t="shared" si="171"/>
        <v>224000</v>
      </c>
      <c r="AB898" s="10">
        <v>4256</v>
      </c>
      <c r="AC898" s="18">
        <f t="shared" si="172"/>
        <v>12479.154164399999</v>
      </c>
      <c r="AD898" s="12">
        <f t="shared" si="175"/>
        <v>67232</v>
      </c>
      <c r="AE898" s="13">
        <f t="shared" si="173"/>
        <v>156768</v>
      </c>
    </row>
    <row r="899" spans="1:31">
      <c r="A899" s="6">
        <v>2</v>
      </c>
      <c r="B899" s="6">
        <f t="shared" si="174"/>
        <v>28</v>
      </c>
      <c r="C899" s="6" t="str">
        <f t="shared" si="176"/>
        <v>560130122ASPRING, WIRE, COMPRESSIO K12A/AT495151045028300000</v>
      </c>
      <c r="D899" s="7" t="s">
        <v>230</v>
      </c>
      <c r="E899" s="6" t="s">
        <v>73</v>
      </c>
      <c r="F899" s="6"/>
      <c r="G899" s="7" t="s">
        <v>33</v>
      </c>
      <c r="H899" s="19"/>
      <c r="I899" s="19"/>
      <c r="J899" s="19"/>
      <c r="K899" s="19"/>
      <c r="L899" s="14">
        <v>4951510</v>
      </c>
      <c r="M899" s="22">
        <v>45028</v>
      </c>
      <c r="N899" s="19" t="s">
        <v>199</v>
      </c>
      <c r="O899" s="19" t="s">
        <v>332</v>
      </c>
      <c r="P899" s="15">
        <v>300000</v>
      </c>
      <c r="Q899" s="15">
        <v>285155.93</v>
      </c>
      <c r="R899" s="15">
        <v>87082900</v>
      </c>
      <c r="S899" s="15">
        <v>15</v>
      </c>
      <c r="T899" s="19" t="s">
        <v>319</v>
      </c>
      <c r="U899" s="19" t="s">
        <v>178</v>
      </c>
      <c r="V899" s="16">
        <f t="shared" si="166"/>
        <v>42773.389499999997</v>
      </c>
      <c r="W899" s="16">
        <f t="shared" si="167"/>
        <v>4277.3389500000003</v>
      </c>
      <c r="X899" s="16">
        <f t="shared" si="168"/>
        <v>47050.728449999995</v>
      </c>
      <c r="Y899" s="16">
        <f t="shared" si="169"/>
        <v>0.15683576149999998</v>
      </c>
      <c r="Z899" s="16">
        <f t="shared" si="170"/>
        <v>0.9505197666666666</v>
      </c>
      <c r="AA899" s="17">
        <f t="shared" si="171"/>
        <v>300000</v>
      </c>
      <c r="AB899" s="10">
        <v>4256</v>
      </c>
      <c r="AC899" s="18">
        <f t="shared" si="172"/>
        <v>667.49300094399985</v>
      </c>
      <c r="AD899" s="12">
        <f t="shared" si="175"/>
        <v>94048</v>
      </c>
      <c r="AE899" s="13">
        <f t="shared" si="173"/>
        <v>205952</v>
      </c>
    </row>
    <row r="900" spans="1:31">
      <c r="A900" s="6">
        <v>2</v>
      </c>
      <c r="B900" s="6">
        <f t="shared" si="174"/>
        <v>29</v>
      </c>
      <c r="C900" s="6" t="str">
        <f t="shared" si="176"/>
        <v>560762022ALATCH, BUCKLE, K12 ROADM K12A/AT, SILVER, LATCH W54569304493980000</v>
      </c>
      <c r="D900" s="7" t="s">
        <v>230</v>
      </c>
      <c r="E900" s="6" t="s">
        <v>74</v>
      </c>
      <c r="F900" s="6"/>
      <c r="G900" s="7" t="s">
        <v>34</v>
      </c>
      <c r="H900" s="19"/>
      <c r="I900" s="19"/>
      <c r="J900" s="19"/>
      <c r="K900" s="19"/>
      <c r="L900" s="14">
        <v>5456930</v>
      </c>
      <c r="M900" s="22">
        <v>44939</v>
      </c>
      <c r="N900" s="19" t="s">
        <v>185</v>
      </c>
      <c r="O900" s="19" t="s">
        <v>332</v>
      </c>
      <c r="P900" s="15">
        <v>80000</v>
      </c>
      <c r="Q900" s="15">
        <v>680240</v>
      </c>
      <c r="R900" s="15">
        <v>87082900</v>
      </c>
      <c r="S900" s="15">
        <v>15</v>
      </c>
      <c r="T900" s="19" t="s">
        <v>320</v>
      </c>
      <c r="U900" s="19" t="s">
        <v>178</v>
      </c>
      <c r="V900" s="16">
        <f t="shared" ref="V900:V963" si="177">Q900*S900%</f>
        <v>102036</v>
      </c>
      <c r="W900" s="16">
        <f t="shared" ref="W900:W963" si="178">V900*0.1</f>
        <v>10203.6</v>
      </c>
      <c r="X900" s="16">
        <f t="shared" ref="X900:X963" si="179">V900+W900</f>
        <v>112239.6</v>
      </c>
      <c r="Y900" s="16">
        <f t="shared" ref="Y900:Y963" si="180">X900/P900</f>
        <v>1.402995</v>
      </c>
      <c r="Z900" s="16">
        <f t="shared" ref="Z900:Z963" si="181">Q900/P900</f>
        <v>8.5030000000000001</v>
      </c>
      <c r="AA900" s="17">
        <f t="shared" ref="AA900:AA963" si="182">P900</f>
        <v>80000</v>
      </c>
      <c r="AB900" s="10">
        <v>4256</v>
      </c>
      <c r="AC900" s="18">
        <f t="shared" ref="AC900:AC963" si="183">AB900*Y900</f>
        <v>5971.1467199999997</v>
      </c>
      <c r="AD900" s="12">
        <f t="shared" si="175"/>
        <v>74976</v>
      </c>
      <c r="AE900" s="13">
        <f t="shared" ref="AE900:AE963" si="184">AA900-AD900</f>
        <v>5024</v>
      </c>
    </row>
    <row r="901" spans="1:31">
      <c r="A901" s="6">
        <v>2</v>
      </c>
      <c r="B901" s="6">
        <f t="shared" ref="B901:B964" si="185">B900+1</f>
        <v>30</v>
      </c>
      <c r="C901" s="6" t="str">
        <f t="shared" si="176"/>
        <v>604213200ALOCKING BAR, BUCKLE, K12 K12A/AT, L=34.3, silver415111844909306000</v>
      </c>
      <c r="D901" s="7" t="s">
        <v>230</v>
      </c>
      <c r="E901" s="6" t="s">
        <v>75</v>
      </c>
      <c r="F901" s="6"/>
      <c r="G901" s="7" t="s">
        <v>35</v>
      </c>
      <c r="H901" s="19"/>
      <c r="I901" s="19"/>
      <c r="J901" s="19"/>
      <c r="K901" s="19"/>
      <c r="L901" s="14">
        <v>4151118</v>
      </c>
      <c r="M901" s="22">
        <v>44909</v>
      </c>
      <c r="N901" s="19" t="s">
        <v>199</v>
      </c>
      <c r="O901" s="19" t="s">
        <v>332</v>
      </c>
      <c r="P901" s="15">
        <v>306000</v>
      </c>
      <c r="Q901" s="15">
        <v>347494.89</v>
      </c>
      <c r="R901" s="15">
        <v>87082900</v>
      </c>
      <c r="S901" s="15">
        <v>15</v>
      </c>
      <c r="T901" s="19" t="s">
        <v>319</v>
      </c>
      <c r="U901" s="19" t="s">
        <v>178</v>
      </c>
      <c r="V901" s="16">
        <f t="shared" si="177"/>
        <v>52124.233500000002</v>
      </c>
      <c r="W901" s="16">
        <f t="shared" si="178"/>
        <v>5212.4233500000009</v>
      </c>
      <c r="X901" s="16">
        <f t="shared" si="179"/>
        <v>57336.656849999999</v>
      </c>
      <c r="Y901" s="16">
        <f t="shared" si="180"/>
        <v>0.1873746955882353</v>
      </c>
      <c r="Z901" s="16">
        <f t="shared" si="181"/>
        <v>1.1356042156862745</v>
      </c>
      <c r="AA901" s="17">
        <f t="shared" si="182"/>
        <v>306000</v>
      </c>
      <c r="AB901" s="10">
        <v>4256</v>
      </c>
      <c r="AC901" s="18">
        <f t="shared" si="183"/>
        <v>797.46670442352945</v>
      </c>
      <c r="AD901" s="12">
        <f t="shared" si="175"/>
        <v>94048</v>
      </c>
      <c r="AE901" s="13">
        <f t="shared" si="184"/>
        <v>211952</v>
      </c>
    </row>
    <row r="902" spans="1:31">
      <c r="A902" s="6">
        <v>2</v>
      </c>
      <c r="B902" s="6">
        <f t="shared" si="185"/>
        <v>31</v>
      </c>
      <c r="C902" s="6" t="str">
        <f t="shared" si="176"/>
        <v>NPB10271-ZKSCREW, SELF-TAPPING, MET OTHER, HEXALOBULAR INTER406701444998150000</v>
      </c>
      <c r="D902" s="7" t="s">
        <v>230</v>
      </c>
      <c r="E902" s="6" t="s">
        <v>76</v>
      </c>
      <c r="F902" s="6"/>
      <c r="G902" s="7" t="s">
        <v>36</v>
      </c>
      <c r="H902" s="19"/>
      <c r="I902" s="19"/>
      <c r="J902" s="19"/>
      <c r="K902" s="19"/>
      <c r="L902" s="14">
        <v>4067014</v>
      </c>
      <c r="M902" s="22">
        <v>44998</v>
      </c>
      <c r="N902" s="19" t="s">
        <v>196</v>
      </c>
      <c r="O902" s="19" t="s">
        <v>333</v>
      </c>
      <c r="P902" s="15">
        <v>150000</v>
      </c>
      <c r="Q902" s="15">
        <v>146157.25</v>
      </c>
      <c r="R902" s="15">
        <v>87082900</v>
      </c>
      <c r="S902" s="15">
        <v>15</v>
      </c>
      <c r="T902" s="19" t="s">
        <v>321</v>
      </c>
      <c r="U902" s="19" t="s">
        <v>178</v>
      </c>
      <c r="V902" s="16">
        <f t="shared" si="177"/>
        <v>21923.587499999998</v>
      </c>
      <c r="W902" s="16">
        <f t="shared" si="178"/>
        <v>2192.3587499999999</v>
      </c>
      <c r="X902" s="16">
        <f t="shared" si="179"/>
        <v>24115.946249999997</v>
      </c>
      <c r="Y902" s="16">
        <f t="shared" si="180"/>
        <v>0.16077297499999998</v>
      </c>
      <c r="Z902" s="16">
        <f t="shared" si="181"/>
        <v>0.9743816666666667</v>
      </c>
      <c r="AA902" s="17">
        <f t="shared" si="182"/>
        <v>150000</v>
      </c>
      <c r="AB902" s="10">
        <v>8512</v>
      </c>
      <c r="AC902" s="18">
        <f t="shared" si="183"/>
        <v>1368.4995631999998</v>
      </c>
      <c r="AD902" s="12">
        <f t="shared" si="175"/>
        <v>149952</v>
      </c>
      <c r="AE902" s="13">
        <f t="shared" si="184"/>
        <v>48</v>
      </c>
    </row>
    <row r="903" spans="1:31">
      <c r="A903" s="6">
        <v>2</v>
      </c>
      <c r="B903" s="6">
        <f t="shared" si="185"/>
        <v>32</v>
      </c>
      <c r="C903" s="6" t="str">
        <f t="shared" si="176"/>
        <v>NWB2834WASHER, WAVED 49935344494720000</v>
      </c>
      <c r="D903" s="7" t="s">
        <v>230</v>
      </c>
      <c r="E903" s="6" t="s">
        <v>77</v>
      </c>
      <c r="F903" s="6"/>
      <c r="G903" s="7" t="s">
        <v>37</v>
      </c>
      <c r="H903" s="19"/>
      <c r="I903" s="19"/>
      <c r="J903" s="19"/>
      <c r="K903" s="19"/>
      <c r="L903" s="14">
        <v>4993534</v>
      </c>
      <c r="M903" s="22">
        <v>44947</v>
      </c>
      <c r="N903" s="19" t="s">
        <v>196</v>
      </c>
      <c r="O903" s="19" t="s">
        <v>333</v>
      </c>
      <c r="P903" s="15">
        <v>20000</v>
      </c>
      <c r="Q903" s="15">
        <v>37407.879999999997</v>
      </c>
      <c r="R903" s="15">
        <v>87082900</v>
      </c>
      <c r="S903" s="15">
        <v>15</v>
      </c>
      <c r="T903" s="19" t="s">
        <v>207</v>
      </c>
      <c r="U903" s="19" t="s">
        <v>178</v>
      </c>
      <c r="V903" s="16">
        <f t="shared" si="177"/>
        <v>5611.1819999999998</v>
      </c>
      <c r="W903" s="16">
        <f t="shared" si="178"/>
        <v>561.1182</v>
      </c>
      <c r="X903" s="16">
        <f t="shared" si="179"/>
        <v>6172.3001999999997</v>
      </c>
      <c r="Y903" s="16">
        <f t="shared" si="180"/>
        <v>0.30861500999999997</v>
      </c>
      <c r="Z903" s="16">
        <f t="shared" si="181"/>
        <v>1.8703939999999999</v>
      </c>
      <c r="AA903" s="17">
        <f t="shared" si="182"/>
        <v>20000</v>
      </c>
      <c r="AB903" s="10">
        <v>4256</v>
      </c>
      <c r="AC903" s="18">
        <f t="shared" si="183"/>
        <v>1313.4654825599998</v>
      </c>
      <c r="AD903" s="12">
        <f t="shared" si="175"/>
        <v>20000</v>
      </c>
      <c r="AE903" s="13">
        <f t="shared" si="184"/>
        <v>0</v>
      </c>
    </row>
    <row r="904" spans="1:31">
      <c r="A904" s="6">
        <v>2</v>
      </c>
      <c r="B904" s="6">
        <f t="shared" si="185"/>
        <v>33</v>
      </c>
      <c r="C904" s="6" t="str">
        <f t="shared" si="176"/>
        <v>632154400AADHESIVE, PAD 44490894496120000</v>
      </c>
      <c r="D904" s="7" t="s">
        <v>230</v>
      </c>
      <c r="E904" s="6" t="s">
        <v>79</v>
      </c>
      <c r="F904" s="6"/>
      <c r="G904" s="7" t="s">
        <v>39</v>
      </c>
      <c r="H904" s="19"/>
      <c r="I904" s="19"/>
      <c r="J904" s="19"/>
      <c r="K904" s="19"/>
      <c r="L904" s="14">
        <v>4449089</v>
      </c>
      <c r="M904" s="22">
        <v>44961</v>
      </c>
      <c r="N904" s="19" t="s">
        <v>196</v>
      </c>
      <c r="O904" s="19" t="s">
        <v>333</v>
      </c>
      <c r="P904" s="15">
        <v>20000</v>
      </c>
      <c r="Q904" s="15">
        <v>71990.399999999994</v>
      </c>
      <c r="R904" s="15">
        <v>87082900</v>
      </c>
      <c r="S904" s="15">
        <v>15</v>
      </c>
      <c r="T904" s="19" t="s">
        <v>201</v>
      </c>
      <c r="U904" s="19" t="s">
        <v>178</v>
      </c>
      <c r="V904" s="16">
        <f t="shared" si="177"/>
        <v>10798.56</v>
      </c>
      <c r="W904" s="16">
        <f t="shared" si="178"/>
        <v>1079.856</v>
      </c>
      <c r="X904" s="16">
        <f t="shared" si="179"/>
        <v>11878.415999999999</v>
      </c>
      <c r="Y904" s="16">
        <f t="shared" si="180"/>
        <v>0.59392079999999992</v>
      </c>
      <c r="Z904" s="16">
        <f t="shared" si="181"/>
        <v>3.5995199999999996</v>
      </c>
      <c r="AA904" s="17">
        <f t="shared" si="182"/>
        <v>20000</v>
      </c>
      <c r="AB904" s="10">
        <v>5676</v>
      </c>
      <c r="AC904" s="18">
        <f t="shared" si="183"/>
        <v>3371.0944607999995</v>
      </c>
      <c r="AD904" s="12">
        <f t="shared" si="175"/>
        <v>20000</v>
      </c>
      <c r="AE904" s="13">
        <f t="shared" si="184"/>
        <v>0</v>
      </c>
    </row>
    <row r="905" spans="1:31">
      <c r="A905" s="6">
        <v>2</v>
      </c>
      <c r="B905" s="6">
        <f t="shared" si="185"/>
        <v>34</v>
      </c>
      <c r="C905" s="6" t="str">
        <f t="shared" si="176"/>
        <v>615795701BPILLAR LOOP, OVERMOULDED LIGHT GRAY, STD, WITH CA4871894449882000</v>
      </c>
      <c r="D905" s="7" t="s">
        <v>230</v>
      </c>
      <c r="E905" s="6" t="s">
        <v>67</v>
      </c>
      <c r="F905" s="6"/>
      <c r="G905" s="7" t="s">
        <v>27</v>
      </c>
      <c r="H905" s="19"/>
      <c r="I905" s="19"/>
      <c r="J905" s="19"/>
      <c r="K905" s="19"/>
      <c r="L905" s="14">
        <v>4871894</v>
      </c>
      <c r="M905" s="22">
        <v>44988</v>
      </c>
      <c r="N905" s="19" t="s">
        <v>196</v>
      </c>
      <c r="O905" s="19" t="s">
        <v>333</v>
      </c>
      <c r="P905" s="15">
        <v>2000</v>
      </c>
      <c r="Q905" s="15">
        <v>128501.39</v>
      </c>
      <c r="R905" s="15">
        <v>87082900</v>
      </c>
      <c r="S905" s="15">
        <v>15</v>
      </c>
      <c r="T905" s="19" t="s">
        <v>322</v>
      </c>
      <c r="U905" s="19" t="s">
        <v>178</v>
      </c>
      <c r="V905" s="16">
        <f t="shared" si="177"/>
        <v>19275.208500000001</v>
      </c>
      <c r="W905" s="16">
        <f t="shared" si="178"/>
        <v>1927.5208500000001</v>
      </c>
      <c r="X905" s="16">
        <f t="shared" si="179"/>
        <v>21202.729350000001</v>
      </c>
      <c r="Y905" s="16">
        <f t="shared" si="180"/>
        <v>10.601364675000001</v>
      </c>
      <c r="Z905" s="16">
        <f t="shared" si="181"/>
        <v>64.250694999999993</v>
      </c>
      <c r="AA905" s="17">
        <f t="shared" si="182"/>
        <v>2000</v>
      </c>
      <c r="AB905" s="10">
        <v>2000</v>
      </c>
      <c r="AC905" s="18">
        <f t="shared" si="183"/>
        <v>21202.729350000001</v>
      </c>
      <c r="AD905" s="12">
        <f t="shared" si="175"/>
        <v>2000</v>
      </c>
      <c r="AE905" s="13">
        <f t="shared" si="184"/>
        <v>0</v>
      </c>
    </row>
    <row r="906" spans="1:31">
      <c r="A906" s="6">
        <v>2</v>
      </c>
      <c r="B906" s="6">
        <f t="shared" si="185"/>
        <v>35</v>
      </c>
      <c r="C906" s="6" t="str">
        <f t="shared" si="176"/>
        <v>615795701BPILLAR LOOP, OVERMOULDED LIGHT GRAY, STD, WITH CA5272704450152000</v>
      </c>
      <c r="D906" s="7" t="s">
        <v>230</v>
      </c>
      <c r="E906" s="6" t="s">
        <v>67</v>
      </c>
      <c r="F906" s="6"/>
      <c r="G906" s="7" t="s">
        <v>27</v>
      </c>
      <c r="H906" s="19"/>
      <c r="I906" s="19"/>
      <c r="J906" s="19"/>
      <c r="K906" s="19"/>
      <c r="L906" s="14">
        <v>5272704</v>
      </c>
      <c r="M906" s="22">
        <v>45015</v>
      </c>
      <c r="N906" s="19" t="s">
        <v>196</v>
      </c>
      <c r="O906" s="19" t="s">
        <v>333</v>
      </c>
      <c r="P906" s="15">
        <v>2000</v>
      </c>
      <c r="Q906" s="15">
        <v>128578.2</v>
      </c>
      <c r="R906" s="15">
        <v>87082900</v>
      </c>
      <c r="S906" s="15">
        <v>15</v>
      </c>
      <c r="T906" s="19" t="s">
        <v>322</v>
      </c>
      <c r="U906" s="19" t="s">
        <v>178</v>
      </c>
      <c r="V906" s="16">
        <f t="shared" si="177"/>
        <v>19286.73</v>
      </c>
      <c r="W906" s="16">
        <f t="shared" si="178"/>
        <v>1928.673</v>
      </c>
      <c r="X906" s="16">
        <f t="shared" si="179"/>
        <v>21215.402999999998</v>
      </c>
      <c r="Y906" s="16">
        <f t="shared" si="180"/>
        <v>10.607701499999999</v>
      </c>
      <c r="Z906" s="16">
        <f t="shared" si="181"/>
        <v>64.289100000000005</v>
      </c>
      <c r="AA906" s="17">
        <f t="shared" si="182"/>
        <v>2000</v>
      </c>
      <c r="AB906" s="10">
        <v>1248</v>
      </c>
      <c r="AC906" s="18">
        <f t="shared" si="183"/>
        <v>13238.411472</v>
      </c>
      <c r="AD906" s="12">
        <f t="shared" si="175"/>
        <v>2000</v>
      </c>
      <c r="AE906" s="13">
        <f t="shared" si="184"/>
        <v>0</v>
      </c>
    </row>
    <row r="907" spans="1:31">
      <c r="A907" s="6">
        <v>2</v>
      </c>
      <c r="B907" s="6">
        <f t="shared" si="185"/>
        <v>36</v>
      </c>
      <c r="C907" s="6" t="str">
        <f t="shared" si="176"/>
        <v>603171100BTAPE, ADHESIVE, TERAOKA TERAOKA NO.560S 287757944524550000</v>
      </c>
      <c r="D907" s="7" t="s">
        <v>230</v>
      </c>
      <c r="E907" s="6" t="s">
        <v>50</v>
      </c>
      <c r="F907" s="6"/>
      <c r="G907" s="7" t="s">
        <v>12</v>
      </c>
      <c r="H907" s="19"/>
      <c r="I907" s="19"/>
      <c r="J907" s="19"/>
      <c r="K907" s="19"/>
      <c r="L907" s="14">
        <v>8775794</v>
      </c>
      <c r="M907" s="22">
        <v>45245</v>
      </c>
      <c r="N907" s="19" t="s">
        <v>196</v>
      </c>
      <c r="O907" s="19" t="s">
        <v>333</v>
      </c>
      <c r="P907" s="15">
        <v>50000</v>
      </c>
      <c r="Q907" s="15">
        <v>281892.47999999998</v>
      </c>
      <c r="R907" s="15">
        <v>87082900</v>
      </c>
      <c r="S907" s="15">
        <v>15</v>
      </c>
      <c r="T907" s="19" t="s">
        <v>323</v>
      </c>
      <c r="U907" s="19" t="s">
        <v>178</v>
      </c>
      <c r="V907" s="16">
        <f t="shared" si="177"/>
        <v>42283.871999999996</v>
      </c>
      <c r="W907" s="16">
        <f t="shared" si="178"/>
        <v>4228.3872000000001</v>
      </c>
      <c r="X907" s="16">
        <f t="shared" si="179"/>
        <v>46512.259199999993</v>
      </c>
      <c r="Y907" s="16">
        <f t="shared" si="180"/>
        <v>0.93024518399999989</v>
      </c>
      <c r="Z907" s="16">
        <f t="shared" si="181"/>
        <v>5.6378496</v>
      </c>
      <c r="AA907" s="17">
        <f t="shared" si="182"/>
        <v>50000</v>
      </c>
      <c r="AB907" s="10">
        <v>694</v>
      </c>
      <c r="AC907" s="18">
        <f t="shared" si="183"/>
        <v>645.59015769599989</v>
      </c>
      <c r="AD907" s="12">
        <f t="shared" si="175"/>
        <v>1000</v>
      </c>
      <c r="AE907" s="13">
        <f t="shared" si="184"/>
        <v>49000</v>
      </c>
    </row>
    <row r="908" spans="1:31">
      <c r="A908" s="6">
        <v>2</v>
      </c>
      <c r="B908" s="6">
        <f t="shared" si="185"/>
        <v>37</v>
      </c>
      <c r="C908" s="6" t="str">
        <f t="shared" si="176"/>
        <v>649421100AINFLATOR, ASP-5.1, P20, SRR, IMI, SERV, NO STUDS4095144449283456</v>
      </c>
      <c r="D908" s="7" t="s">
        <v>230</v>
      </c>
      <c r="E908" s="6" t="s">
        <v>469</v>
      </c>
      <c r="F908" s="6"/>
      <c r="G908" s="7" t="s">
        <v>16</v>
      </c>
      <c r="H908" s="19"/>
      <c r="I908" s="19"/>
      <c r="J908" s="19"/>
      <c r="K908" s="19"/>
      <c r="L908" s="14">
        <v>4095144</v>
      </c>
      <c r="M908" s="22">
        <v>44928</v>
      </c>
      <c r="N908" s="19" t="s">
        <v>199</v>
      </c>
      <c r="O908" s="19" t="s">
        <v>333</v>
      </c>
      <c r="P908" s="15">
        <v>3456</v>
      </c>
      <c r="Q908" s="15">
        <v>672531.36</v>
      </c>
      <c r="R908" s="15">
        <v>87089500</v>
      </c>
      <c r="S908" s="15">
        <v>15</v>
      </c>
      <c r="T908" s="19" t="s">
        <v>202</v>
      </c>
      <c r="U908" s="19" t="s">
        <v>200</v>
      </c>
      <c r="V908" s="16">
        <f t="shared" si="177"/>
        <v>100879.704</v>
      </c>
      <c r="W908" s="16">
        <f t="shared" si="178"/>
        <v>10087.9704</v>
      </c>
      <c r="X908" s="16">
        <f t="shared" si="179"/>
        <v>110967.6744</v>
      </c>
      <c r="Y908" s="16">
        <f t="shared" si="180"/>
        <v>32.108702083333334</v>
      </c>
      <c r="Z908" s="16">
        <f t="shared" si="181"/>
        <v>194.59819444444443</v>
      </c>
      <c r="AA908" s="17">
        <f t="shared" si="182"/>
        <v>3456</v>
      </c>
      <c r="AB908" s="10">
        <v>1008</v>
      </c>
      <c r="AC908" s="18">
        <f t="shared" si="183"/>
        <v>32365.5717</v>
      </c>
      <c r="AD908" s="12">
        <f t="shared" si="175"/>
        <v>3456</v>
      </c>
      <c r="AE908" s="13">
        <f t="shared" si="184"/>
        <v>0</v>
      </c>
    </row>
    <row r="909" spans="1:31">
      <c r="A909" s="6">
        <v>2</v>
      </c>
      <c r="B909" s="6">
        <f t="shared" si="185"/>
        <v>38</v>
      </c>
      <c r="C909" s="6" t="str">
        <f t="shared" si="176"/>
        <v>653328100ACUSHION, C AND S, SIDE, LH, BUTTON HOLE STYLE, S4379099449565760</v>
      </c>
      <c r="D909" s="7" t="s">
        <v>230</v>
      </c>
      <c r="E909" s="6" t="s">
        <v>53</v>
      </c>
      <c r="F909" s="6"/>
      <c r="G909" s="19" t="s">
        <v>13</v>
      </c>
      <c r="H909" s="19"/>
      <c r="I909" s="19"/>
      <c r="J909" s="19"/>
      <c r="K909" s="19"/>
      <c r="L909" s="14">
        <v>4379099</v>
      </c>
      <c r="M909" s="22">
        <v>44956</v>
      </c>
      <c r="N909" s="19" t="s">
        <v>185</v>
      </c>
      <c r="O909" s="19" t="s">
        <v>332</v>
      </c>
      <c r="P909" s="15">
        <v>5760</v>
      </c>
      <c r="Q909" s="15">
        <v>4892641.6500000004</v>
      </c>
      <c r="R909" s="15">
        <v>87089500</v>
      </c>
      <c r="S909" s="15">
        <v>5</v>
      </c>
      <c r="T909" s="19" t="s">
        <v>324</v>
      </c>
      <c r="U909" s="19" t="s">
        <v>178</v>
      </c>
      <c r="V909" s="16">
        <f t="shared" si="177"/>
        <v>244632.08250000002</v>
      </c>
      <c r="W909" s="16">
        <f t="shared" si="178"/>
        <v>24463.208250000003</v>
      </c>
      <c r="X909" s="16">
        <f t="shared" si="179"/>
        <v>269095.29075000004</v>
      </c>
      <c r="Y909" s="16">
        <f t="shared" si="180"/>
        <v>46.717932421875005</v>
      </c>
      <c r="Z909" s="16">
        <f t="shared" si="181"/>
        <v>849.41695312500008</v>
      </c>
      <c r="AA909" s="17">
        <f t="shared" si="182"/>
        <v>5760</v>
      </c>
      <c r="AB909" s="10">
        <v>2608</v>
      </c>
      <c r="AC909" s="18">
        <f t="shared" si="183"/>
        <v>121840.36775625001</v>
      </c>
      <c r="AD909" s="12">
        <f t="shared" si="175"/>
        <v>5760</v>
      </c>
      <c r="AE909" s="13">
        <f t="shared" si="184"/>
        <v>0</v>
      </c>
    </row>
    <row r="910" spans="1:31">
      <c r="A910" s="6">
        <v>2</v>
      </c>
      <c r="B910" s="6">
        <f t="shared" si="185"/>
        <v>39</v>
      </c>
      <c r="C910" s="6" t="str">
        <f t="shared" si="176"/>
        <v>621343500CNUT, ISO, M5, NYLON INSE NYLON INSERT417070644928390000</v>
      </c>
      <c r="D910" s="7" t="s">
        <v>231</v>
      </c>
      <c r="E910" s="6" t="s">
        <v>45</v>
      </c>
      <c r="F910" s="6"/>
      <c r="G910" s="7" t="s">
        <v>7</v>
      </c>
      <c r="H910" s="19"/>
      <c r="I910" s="19"/>
      <c r="J910" s="19"/>
      <c r="K910" s="19"/>
      <c r="L910" s="14">
        <v>4170706</v>
      </c>
      <c r="M910" s="22">
        <v>44928</v>
      </c>
      <c r="N910" s="19" t="s">
        <v>196</v>
      </c>
      <c r="O910" s="19" t="s">
        <v>332</v>
      </c>
      <c r="P910" s="15">
        <v>390000</v>
      </c>
      <c r="Q910" s="15">
        <v>806536.88</v>
      </c>
      <c r="R910" s="15">
        <v>87089500</v>
      </c>
      <c r="S910" s="15">
        <v>15</v>
      </c>
      <c r="T910" s="19" t="s">
        <v>301</v>
      </c>
      <c r="U910" s="19" t="s">
        <v>178</v>
      </c>
      <c r="V910" s="16">
        <f t="shared" si="177"/>
        <v>120980.53199999999</v>
      </c>
      <c r="W910" s="16">
        <f t="shared" si="178"/>
        <v>12098.0532</v>
      </c>
      <c r="X910" s="16">
        <f t="shared" si="179"/>
        <v>133078.5852</v>
      </c>
      <c r="Y910" s="16">
        <f t="shared" si="180"/>
        <v>0.34122714153846156</v>
      </c>
      <c r="Z910" s="16">
        <f t="shared" si="181"/>
        <v>2.0680432820512822</v>
      </c>
      <c r="AA910" s="17">
        <f t="shared" si="182"/>
        <v>390000</v>
      </c>
      <c r="AB910" s="10">
        <v>15552</v>
      </c>
      <c r="AC910" s="18">
        <f t="shared" si="183"/>
        <v>5306.7645052061544</v>
      </c>
      <c r="AD910" s="12">
        <f t="shared" si="175"/>
        <v>385128</v>
      </c>
      <c r="AE910" s="13">
        <f t="shared" si="184"/>
        <v>4872</v>
      </c>
    </row>
    <row r="911" spans="1:31">
      <c r="A911" s="6">
        <v>3</v>
      </c>
      <c r="B911" s="6">
        <v>1</v>
      </c>
      <c r="C911" s="6" t="str">
        <f t="shared" si="176"/>
        <v>643302000AINFLATOR, ADP-1.3B, MP, MIB, SQUARE, NO STUD40951444492815552</v>
      </c>
      <c r="D911" s="7" t="s">
        <v>231</v>
      </c>
      <c r="E911" s="6" t="s">
        <v>46</v>
      </c>
      <c r="F911" s="6"/>
      <c r="G911" s="7" t="s">
        <v>8</v>
      </c>
      <c r="H911" s="19"/>
      <c r="I911" s="19"/>
      <c r="J911" s="19"/>
      <c r="K911" s="19"/>
      <c r="L911" s="14">
        <v>4095144</v>
      </c>
      <c r="M911" s="22">
        <v>44928</v>
      </c>
      <c r="N911" s="19" t="s">
        <v>199</v>
      </c>
      <c r="O911" s="19" t="s">
        <v>333</v>
      </c>
      <c r="P911" s="15">
        <v>15552</v>
      </c>
      <c r="Q911" s="15">
        <v>5103595.95</v>
      </c>
      <c r="R911" s="15">
        <v>87089500</v>
      </c>
      <c r="S911" s="15">
        <v>15</v>
      </c>
      <c r="T911" s="19" t="s">
        <v>202</v>
      </c>
      <c r="U911" s="19" t="s">
        <v>200</v>
      </c>
      <c r="V911" s="16">
        <f t="shared" si="177"/>
        <v>765539.39249999996</v>
      </c>
      <c r="W911" s="16">
        <f t="shared" si="178"/>
        <v>76553.939249999996</v>
      </c>
      <c r="X911" s="16">
        <f t="shared" si="179"/>
        <v>842093.3317499999</v>
      </c>
      <c r="Y911" s="16">
        <f t="shared" si="180"/>
        <v>54.146947771990732</v>
      </c>
      <c r="Z911" s="16">
        <f t="shared" si="181"/>
        <v>328.16331983024691</v>
      </c>
      <c r="AA911" s="17">
        <f t="shared" si="182"/>
        <v>15552</v>
      </c>
      <c r="AB911" s="10">
        <v>3888</v>
      </c>
      <c r="AC911" s="18">
        <f t="shared" si="183"/>
        <v>210523.33293749997</v>
      </c>
      <c r="AD911" s="12">
        <f t="shared" si="175"/>
        <v>15552</v>
      </c>
      <c r="AE911" s="13">
        <f t="shared" si="184"/>
        <v>0</v>
      </c>
    </row>
    <row r="912" spans="1:31">
      <c r="A912" s="6">
        <v>3</v>
      </c>
      <c r="B912" s="6">
        <f t="shared" si="185"/>
        <v>2</v>
      </c>
      <c r="C912" s="6" t="str">
        <f t="shared" si="176"/>
        <v>570028800FNUT, ISO, M5, LOCK, THRE LOCK, THREE SIDED TAMPER393103644928624000</v>
      </c>
      <c r="D912" s="7" t="s">
        <v>231</v>
      </c>
      <c r="E912" s="6" t="s">
        <v>47</v>
      </c>
      <c r="F912" s="6"/>
      <c r="G912" s="7" t="s">
        <v>9</v>
      </c>
      <c r="H912" s="19"/>
      <c r="I912" s="19"/>
      <c r="J912" s="19"/>
      <c r="K912" s="19"/>
      <c r="L912" s="14">
        <v>3931036</v>
      </c>
      <c r="M912" s="22">
        <v>44928</v>
      </c>
      <c r="N912" s="19" t="s">
        <v>185</v>
      </c>
      <c r="O912" s="19" t="s">
        <v>332</v>
      </c>
      <c r="P912" s="15">
        <v>624000</v>
      </c>
      <c r="Q912" s="15">
        <v>1155867.1000000001</v>
      </c>
      <c r="R912" s="15">
        <v>87089500</v>
      </c>
      <c r="S912" s="15">
        <v>15</v>
      </c>
      <c r="T912" s="19" t="s">
        <v>302</v>
      </c>
      <c r="U912" s="19" t="s">
        <v>178</v>
      </c>
      <c r="V912" s="16">
        <f t="shared" si="177"/>
        <v>173380.065</v>
      </c>
      <c r="W912" s="16">
        <f t="shared" si="178"/>
        <v>17338.0065</v>
      </c>
      <c r="X912" s="16">
        <f t="shared" si="179"/>
        <v>190718.07149999999</v>
      </c>
      <c r="Y912" s="16">
        <f t="shared" si="180"/>
        <v>0.30563793509615383</v>
      </c>
      <c r="Z912" s="16">
        <f t="shared" si="181"/>
        <v>1.852351121794872</v>
      </c>
      <c r="AA912" s="17">
        <f t="shared" si="182"/>
        <v>624000</v>
      </c>
      <c r="AB912" s="10">
        <v>17280</v>
      </c>
      <c r="AC912" s="18">
        <f t="shared" si="183"/>
        <v>5281.4235184615382</v>
      </c>
      <c r="AD912" s="12">
        <f t="shared" si="175"/>
        <v>227952</v>
      </c>
      <c r="AE912" s="13">
        <f t="shared" si="184"/>
        <v>396048</v>
      </c>
    </row>
    <row r="913" spans="1:31">
      <c r="A913" s="6">
        <v>3</v>
      </c>
      <c r="B913" s="6">
        <f t="shared" si="185"/>
        <v>3</v>
      </c>
      <c r="C913" s="6" t="str">
        <f t="shared" si="176"/>
        <v>632955901AINFLATORS, APP-4.6 38556944491719008</v>
      </c>
      <c r="D913" s="7" t="s">
        <v>231</v>
      </c>
      <c r="E913" s="6" t="s">
        <v>48</v>
      </c>
      <c r="F913" s="6"/>
      <c r="G913" s="7" t="s">
        <v>10</v>
      </c>
      <c r="H913" s="19"/>
      <c r="I913" s="19"/>
      <c r="J913" s="19"/>
      <c r="K913" s="19"/>
      <c r="L913" s="14">
        <v>3855694</v>
      </c>
      <c r="M913" s="22">
        <v>44917</v>
      </c>
      <c r="N913" s="19" t="s">
        <v>185</v>
      </c>
      <c r="O913" s="19" t="s">
        <v>332</v>
      </c>
      <c r="P913" s="15">
        <v>19008</v>
      </c>
      <c r="Q913" s="15">
        <v>7453543.8499999996</v>
      </c>
      <c r="R913" s="15">
        <v>87089500</v>
      </c>
      <c r="S913" s="15">
        <v>15</v>
      </c>
      <c r="T913" s="19" t="s">
        <v>203</v>
      </c>
      <c r="U913" s="19" t="s">
        <v>200</v>
      </c>
      <c r="V913" s="16">
        <f t="shared" si="177"/>
        <v>1118031.5774999999</v>
      </c>
      <c r="W913" s="16">
        <f t="shared" si="178"/>
        <v>111803.15775</v>
      </c>
      <c r="X913" s="16">
        <f t="shared" si="179"/>
        <v>1229834.7352499999</v>
      </c>
      <c r="Y913" s="16">
        <f t="shared" si="180"/>
        <v>64.700901475694437</v>
      </c>
      <c r="Z913" s="16">
        <f t="shared" si="181"/>
        <v>392.12667561026933</v>
      </c>
      <c r="AA913" s="17">
        <f t="shared" si="182"/>
        <v>19008</v>
      </c>
      <c r="AB913" s="10">
        <v>4320</v>
      </c>
      <c r="AC913" s="18">
        <f t="shared" si="183"/>
        <v>279507.89437499997</v>
      </c>
      <c r="AD913" s="12">
        <f t="shared" si="175"/>
        <v>19008</v>
      </c>
      <c r="AE913" s="13">
        <f t="shared" si="184"/>
        <v>0</v>
      </c>
    </row>
    <row r="914" spans="1:31">
      <c r="A914" s="6">
        <v>3</v>
      </c>
      <c r="B914" s="6">
        <f t="shared" si="185"/>
        <v>4</v>
      </c>
      <c r="C914" s="6" t="str">
        <f t="shared" si="176"/>
        <v>655116100ALABEL, BLANK, 50.0, 25.0  LABEL, BLANK, 2PCS, 50X42294544483145000</v>
      </c>
      <c r="D914" s="7" t="s">
        <v>231</v>
      </c>
      <c r="E914" s="6" t="s">
        <v>49</v>
      </c>
      <c r="F914" s="6"/>
      <c r="G914" s="7" t="s">
        <v>11</v>
      </c>
      <c r="H914" s="19"/>
      <c r="I914" s="19"/>
      <c r="J914" s="19"/>
      <c r="K914" s="19"/>
      <c r="L914" s="14">
        <v>4229454</v>
      </c>
      <c r="M914" s="22">
        <v>44831</v>
      </c>
      <c r="N914" s="19" t="s">
        <v>196</v>
      </c>
      <c r="O914" s="19" t="s">
        <v>333</v>
      </c>
      <c r="P914" s="15">
        <v>45000</v>
      </c>
      <c r="Q914" s="15">
        <v>127149.27</v>
      </c>
      <c r="R914" s="15">
        <v>87089500</v>
      </c>
      <c r="S914" s="15">
        <v>15</v>
      </c>
      <c r="T914" s="19" t="s">
        <v>303</v>
      </c>
      <c r="U914" s="19" t="s">
        <v>178</v>
      </c>
      <c r="V914" s="16">
        <f t="shared" si="177"/>
        <v>19072.390500000001</v>
      </c>
      <c r="W914" s="16">
        <f t="shared" si="178"/>
        <v>1907.2390500000001</v>
      </c>
      <c r="X914" s="16">
        <f t="shared" si="179"/>
        <v>20979.629550000001</v>
      </c>
      <c r="Y914" s="16">
        <f t="shared" si="180"/>
        <v>0.46621399000000002</v>
      </c>
      <c r="Z914" s="16">
        <f t="shared" si="181"/>
        <v>2.8255393333333334</v>
      </c>
      <c r="AA914" s="17">
        <f t="shared" si="182"/>
        <v>45000</v>
      </c>
      <c r="AB914" s="10">
        <v>4320</v>
      </c>
      <c r="AC914" s="18">
        <f t="shared" si="183"/>
        <v>2014.0444368000001</v>
      </c>
      <c r="AD914" s="12">
        <f t="shared" si="175"/>
        <v>45000</v>
      </c>
      <c r="AE914" s="13">
        <f t="shared" si="184"/>
        <v>0</v>
      </c>
    </row>
    <row r="915" spans="1:31">
      <c r="A915" s="6">
        <v>3</v>
      </c>
      <c r="B915" s="6">
        <f t="shared" si="185"/>
        <v>5</v>
      </c>
      <c r="C915" s="6" t="str">
        <f t="shared" si="176"/>
        <v>609183701ASTUD, M6 X 1.0, 16.0561310344974140000</v>
      </c>
      <c r="D915" s="7" t="s">
        <v>231</v>
      </c>
      <c r="E915" s="6" t="s">
        <v>51</v>
      </c>
      <c r="F915" s="6"/>
      <c r="G915" s="7" t="s">
        <v>411</v>
      </c>
      <c r="H915" s="19"/>
      <c r="I915" s="19"/>
      <c r="J915" s="19"/>
      <c r="K915" s="19"/>
      <c r="L915" s="14">
        <v>5613103</v>
      </c>
      <c r="M915" s="22">
        <v>44974</v>
      </c>
      <c r="N915" s="19" t="s">
        <v>185</v>
      </c>
      <c r="O915" s="19" t="s">
        <v>332</v>
      </c>
      <c r="P915" s="15">
        <v>140000</v>
      </c>
      <c r="Q915" s="15">
        <v>402663.89</v>
      </c>
      <c r="R915" s="15">
        <v>87082900</v>
      </c>
      <c r="S915" s="15">
        <v>15</v>
      </c>
      <c r="T915" s="19" t="s">
        <v>304</v>
      </c>
      <c r="U915" s="19" t="s">
        <v>178</v>
      </c>
      <c r="V915" s="16">
        <f t="shared" si="177"/>
        <v>60399.583500000001</v>
      </c>
      <c r="W915" s="16">
        <f t="shared" si="178"/>
        <v>6039.9583500000008</v>
      </c>
      <c r="X915" s="16">
        <f t="shared" si="179"/>
        <v>66439.541850000009</v>
      </c>
      <c r="Y915" s="16">
        <f t="shared" si="180"/>
        <v>0.47456815607142866</v>
      </c>
      <c r="Z915" s="16">
        <f t="shared" si="181"/>
        <v>2.8761706428571427</v>
      </c>
      <c r="AA915" s="17">
        <f t="shared" si="182"/>
        <v>140000</v>
      </c>
      <c r="AB915" s="10">
        <v>11520</v>
      </c>
      <c r="AC915" s="18">
        <f t="shared" si="183"/>
        <v>5467.0251579428577</v>
      </c>
      <c r="AD915" s="12">
        <f t="shared" si="175"/>
        <v>140000</v>
      </c>
      <c r="AE915" s="13">
        <f t="shared" si="184"/>
        <v>0</v>
      </c>
    </row>
    <row r="916" spans="1:31">
      <c r="A916" s="6">
        <v>3</v>
      </c>
      <c r="B916" s="6">
        <f t="shared" si="185"/>
        <v>6</v>
      </c>
      <c r="C916" s="6" t="str">
        <f t="shared" si="176"/>
        <v>616531900ARING, CRIMP, CLAMP, BAND466647844973100000</v>
      </c>
      <c r="D916" s="7" t="s">
        <v>231</v>
      </c>
      <c r="E916" s="6" t="s">
        <v>52</v>
      </c>
      <c r="F916" s="6"/>
      <c r="G916" s="7" t="s">
        <v>410</v>
      </c>
      <c r="H916" s="19"/>
      <c r="I916" s="19"/>
      <c r="J916" s="19"/>
      <c r="K916" s="19"/>
      <c r="L916" s="14">
        <v>4666478</v>
      </c>
      <c r="M916" s="22">
        <v>44973</v>
      </c>
      <c r="N916" s="19" t="s">
        <v>199</v>
      </c>
      <c r="O916" s="19" t="s">
        <v>333</v>
      </c>
      <c r="P916" s="15">
        <v>100000</v>
      </c>
      <c r="Q916" s="15">
        <v>1733493.63</v>
      </c>
      <c r="R916" s="15">
        <v>87089500</v>
      </c>
      <c r="S916" s="15">
        <v>15</v>
      </c>
      <c r="T916" s="19" t="s">
        <v>305</v>
      </c>
      <c r="U916" s="19" t="s">
        <v>178</v>
      </c>
      <c r="V916" s="16">
        <f t="shared" si="177"/>
        <v>260024.04449999996</v>
      </c>
      <c r="W916" s="16">
        <f t="shared" si="178"/>
        <v>26002.404449999998</v>
      </c>
      <c r="X916" s="16">
        <f t="shared" si="179"/>
        <v>286026.44894999993</v>
      </c>
      <c r="Y916" s="16">
        <f t="shared" si="180"/>
        <v>2.8602644894999991</v>
      </c>
      <c r="Z916" s="16">
        <f t="shared" si="181"/>
        <v>17.334936299999999</v>
      </c>
      <c r="AA916" s="17">
        <f t="shared" si="182"/>
        <v>100000</v>
      </c>
      <c r="AB916" s="10">
        <v>11520</v>
      </c>
      <c r="AC916" s="18">
        <f t="shared" si="183"/>
        <v>32950.246919039993</v>
      </c>
      <c r="AD916" s="12">
        <f t="shared" si="175"/>
        <v>100000</v>
      </c>
      <c r="AE916" s="13">
        <f t="shared" si="184"/>
        <v>0</v>
      </c>
    </row>
    <row r="917" spans="1:31">
      <c r="A917" s="6">
        <v>3</v>
      </c>
      <c r="B917" s="6">
        <f t="shared" si="185"/>
        <v>7</v>
      </c>
      <c r="C917" s="6" t="str">
        <f t="shared" si="176"/>
        <v>PC47516-3810SNAP-IN-FASTENER, PUSH P PUSH PIN, BLACK43773094523742000</v>
      </c>
      <c r="D917" s="7" t="s">
        <v>231</v>
      </c>
      <c r="E917" s="6" t="s">
        <v>54</v>
      </c>
      <c r="F917" s="6"/>
      <c r="G917" s="7" t="s">
        <v>14</v>
      </c>
      <c r="H917" s="19"/>
      <c r="I917" s="19"/>
      <c r="J917" s="19"/>
      <c r="K917" s="19"/>
      <c r="L917" s="14">
        <v>4377309</v>
      </c>
      <c r="M917" s="22">
        <v>45237</v>
      </c>
      <c r="N917" s="19" t="s">
        <v>196</v>
      </c>
      <c r="O917" s="19" t="s">
        <v>333</v>
      </c>
      <c r="P917" s="15">
        <v>42000</v>
      </c>
      <c r="Q917" s="15">
        <v>48121.48</v>
      </c>
      <c r="R917" s="15">
        <v>87089500</v>
      </c>
      <c r="S917" s="15">
        <v>15</v>
      </c>
      <c r="T917" s="19" t="s">
        <v>306</v>
      </c>
      <c r="U917" s="19" t="s">
        <v>178</v>
      </c>
      <c r="V917" s="16">
        <f t="shared" si="177"/>
        <v>7218.2220000000007</v>
      </c>
      <c r="W917" s="16">
        <f t="shared" si="178"/>
        <v>721.82220000000007</v>
      </c>
      <c r="X917" s="16">
        <f t="shared" si="179"/>
        <v>7940.0442000000003</v>
      </c>
      <c r="Y917" s="16">
        <f t="shared" si="180"/>
        <v>0.18904867142857143</v>
      </c>
      <c r="Z917" s="16">
        <f t="shared" si="181"/>
        <v>1.1457495238095239</v>
      </c>
      <c r="AA917" s="17">
        <f t="shared" si="182"/>
        <v>42000</v>
      </c>
      <c r="AB917" s="10">
        <v>5760</v>
      </c>
      <c r="AC917" s="18">
        <f t="shared" si="183"/>
        <v>1088.9203474285714</v>
      </c>
      <c r="AD917" s="12">
        <f t="shared" si="175"/>
        <v>41976</v>
      </c>
      <c r="AE917" s="13">
        <f t="shared" si="184"/>
        <v>24</v>
      </c>
    </row>
    <row r="918" spans="1:31">
      <c r="A918" s="6">
        <v>3</v>
      </c>
      <c r="B918" s="6">
        <f t="shared" si="185"/>
        <v>8</v>
      </c>
      <c r="C918" s="6" t="str">
        <f t="shared" si="176"/>
        <v>566098600CWEBBING PIN, RETRACTOR, AGB, AGB-95POM FARBE:SCH432749644950120000</v>
      </c>
      <c r="D918" s="7" t="s">
        <v>231</v>
      </c>
      <c r="E918" s="6" t="s">
        <v>57</v>
      </c>
      <c r="F918" s="6"/>
      <c r="G918" s="7" t="s">
        <v>17</v>
      </c>
      <c r="H918" s="19"/>
      <c r="I918" s="19"/>
      <c r="J918" s="19"/>
      <c r="K918" s="19"/>
      <c r="L918" s="14">
        <v>4327496</v>
      </c>
      <c r="M918" s="22">
        <v>44950</v>
      </c>
      <c r="N918" s="19" t="s">
        <v>199</v>
      </c>
      <c r="O918" s="19" t="s">
        <v>332</v>
      </c>
      <c r="P918" s="15">
        <v>120000</v>
      </c>
      <c r="Q918" s="15">
        <v>117311.7</v>
      </c>
      <c r="R918" s="15">
        <v>87082900</v>
      </c>
      <c r="S918" s="15">
        <v>15</v>
      </c>
      <c r="T918" s="19" t="s">
        <v>307</v>
      </c>
      <c r="U918" s="19" t="s">
        <v>178</v>
      </c>
      <c r="V918" s="16">
        <f t="shared" si="177"/>
        <v>17596.754999999997</v>
      </c>
      <c r="W918" s="16">
        <f t="shared" si="178"/>
        <v>1759.6754999999998</v>
      </c>
      <c r="X918" s="16">
        <f t="shared" si="179"/>
        <v>19356.430499999999</v>
      </c>
      <c r="Y918" s="16">
        <f t="shared" si="180"/>
        <v>0.16130358749999998</v>
      </c>
      <c r="Z918" s="16">
        <f t="shared" si="181"/>
        <v>0.97759750000000001</v>
      </c>
      <c r="AA918" s="17">
        <f t="shared" si="182"/>
        <v>120000</v>
      </c>
      <c r="AB918" s="10">
        <v>2424</v>
      </c>
      <c r="AC918" s="18">
        <f t="shared" si="183"/>
        <v>390.99989609999994</v>
      </c>
      <c r="AD918" s="12">
        <f t="shared" si="175"/>
        <v>86652</v>
      </c>
      <c r="AE918" s="13">
        <f t="shared" si="184"/>
        <v>33348</v>
      </c>
    </row>
    <row r="919" spans="1:31">
      <c r="A919" s="6">
        <v>3</v>
      </c>
      <c r="B919" s="6">
        <f t="shared" si="185"/>
        <v>9</v>
      </c>
      <c r="C919" s="6" t="str">
        <f t="shared" si="176"/>
        <v>566253211EADAPTER, CAR SENS, RETRA ALL VERSIONS390969644984216000</v>
      </c>
      <c r="D919" s="7" t="s">
        <v>231</v>
      </c>
      <c r="E919" s="6" t="s">
        <v>58</v>
      </c>
      <c r="F919" s="6"/>
      <c r="G919" s="7" t="s">
        <v>18</v>
      </c>
      <c r="H919" s="19"/>
      <c r="I919" s="19"/>
      <c r="J919" s="19"/>
      <c r="K919" s="19"/>
      <c r="L919" s="14">
        <v>3909696</v>
      </c>
      <c r="M919" s="22">
        <v>44984</v>
      </c>
      <c r="N919" s="19" t="s">
        <v>199</v>
      </c>
      <c r="O919" s="19" t="s">
        <v>332</v>
      </c>
      <c r="P919" s="15">
        <v>216000</v>
      </c>
      <c r="Q919" s="15">
        <v>549354.86</v>
      </c>
      <c r="R919" s="15">
        <v>87082900</v>
      </c>
      <c r="S919" s="15">
        <v>15</v>
      </c>
      <c r="T919" s="19" t="s">
        <v>308</v>
      </c>
      <c r="U919" s="19" t="s">
        <v>178</v>
      </c>
      <c r="V919" s="16">
        <f t="shared" si="177"/>
        <v>82403.228999999992</v>
      </c>
      <c r="W919" s="16">
        <f t="shared" si="178"/>
        <v>8240.3228999999992</v>
      </c>
      <c r="X919" s="16">
        <f t="shared" si="179"/>
        <v>90643.551899999991</v>
      </c>
      <c r="Y919" s="16">
        <f t="shared" si="180"/>
        <v>0.41964607361111106</v>
      </c>
      <c r="Z919" s="16">
        <f t="shared" si="181"/>
        <v>2.5433095370370369</v>
      </c>
      <c r="AA919" s="17">
        <f t="shared" si="182"/>
        <v>216000</v>
      </c>
      <c r="AB919" s="10">
        <v>2424</v>
      </c>
      <c r="AC919" s="18">
        <f t="shared" si="183"/>
        <v>1017.2220824333332</v>
      </c>
      <c r="AD919" s="12">
        <f t="shared" si="175"/>
        <v>86652</v>
      </c>
      <c r="AE919" s="13">
        <f t="shared" si="184"/>
        <v>129348</v>
      </c>
    </row>
    <row r="920" spans="1:31">
      <c r="A920" s="6">
        <v>3</v>
      </c>
      <c r="B920" s="6">
        <f t="shared" si="185"/>
        <v>10</v>
      </c>
      <c r="C920" s="6" t="str">
        <f t="shared" si="176"/>
        <v>566305721BSPRING, SHEET, LEAF, RET ALL VERSIONS, WS ECE4742807449445000</v>
      </c>
      <c r="D920" s="7" t="s">
        <v>231</v>
      </c>
      <c r="E920" s="6" t="s">
        <v>59</v>
      </c>
      <c r="F920" s="6"/>
      <c r="G920" s="7" t="s">
        <v>19</v>
      </c>
      <c r="H920" s="19"/>
      <c r="I920" s="19"/>
      <c r="J920" s="19"/>
      <c r="K920" s="19"/>
      <c r="L920" s="14">
        <v>4742807</v>
      </c>
      <c r="M920" s="22">
        <v>44944</v>
      </c>
      <c r="N920" s="19" t="s">
        <v>196</v>
      </c>
      <c r="O920" s="19" t="s">
        <v>337</v>
      </c>
      <c r="P920" s="15">
        <v>5000</v>
      </c>
      <c r="Q920" s="15">
        <v>143362.42000000001</v>
      </c>
      <c r="R920" s="15">
        <v>87082900</v>
      </c>
      <c r="S920" s="15">
        <v>15</v>
      </c>
      <c r="T920" s="19" t="s">
        <v>309</v>
      </c>
      <c r="U920" s="19" t="s">
        <v>178</v>
      </c>
      <c r="V920" s="16">
        <f t="shared" si="177"/>
        <v>21504.363000000001</v>
      </c>
      <c r="W920" s="16">
        <f t="shared" si="178"/>
        <v>2150.4363000000003</v>
      </c>
      <c r="X920" s="16">
        <f t="shared" si="179"/>
        <v>23654.799300000002</v>
      </c>
      <c r="Y920" s="16">
        <f t="shared" si="180"/>
        <v>4.7309598600000005</v>
      </c>
      <c r="Z920" s="16">
        <f t="shared" si="181"/>
        <v>28.672484000000004</v>
      </c>
      <c r="AA920" s="17">
        <f t="shared" si="182"/>
        <v>5000</v>
      </c>
      <c r="AB920" s="10">
        <v>41.208000000000006</v>
      </c>
      <c r="AC920" s="18">
        <f t="shared" si="183"/>
        <v>194.95339391088004</v>
      </c>
      <c r="AD920" s="12">
        <f t="shared" si="175"/>
        <v>1540.98</v>
      </c>
      <c r="AE920" s="13">
        <v>0</v>
      </c>
    </row>
    <row r="921" spans="1:31">
      <c r="A921" s="6">
        <v>3</v>
      </c>
      <c r="B921" s="6">
        <f t="shared" si="185"/>
        <v>11</v>
      </c>
      <c r="C921" s="6" t="str">
        <f t="shared" si="176"/>
        <v>600188700BLEVER, WEB SENS, RETRACT ALL VERSIONS421599144956270000</v>
      </c>
      <c r="D921" s="7" t="s">
        <v>231</v>
      </c>
      <c r="E921" s="6" t="s">
        <v>60</v>
      </c>
      <c r="F921" s="6"/>
      <c r="G921" s="7" t="s">
        <v>20</v>
      </c>
      <c r="H921" s="19"/>
      <c r="I921" s="19"/>
      <c r="J921" s="19"/>
      <c r="K921" s="19"/>
      <c r="L921" s="14">
        <v>4215991</v>
      </c>
      <c r="M921" s="22">
        <v>44956</v>
      </c>
      <c r="N921" s="19" t="s">
        <v>199</v>
      </c>
      <c r="O921" s="19" t="s">
        <v>332</v>
      </c>
      <c r="P921" s="15">
        <v>270000</v>
      </c>
      <c r="Q921" s="15">
        <v>1513733.76</v>
      </c>
      <c r="R921" s="15">
        <v>87082900</v>
      </c>
      <c r="S921" s="15">
        <v>15</v>
      </c>
      <c r="T921" s="19" t="s">
        <v>310</v>
      </c>
      <c r="U921" s="19" t="s">
        <v>178</v>
      </c>
      <c r="V921" s="16">
        <f t="shared" si="177"/>
        <v>227060.06399999998</v>
      </c>
      <c r="W921" s="16">
        <f t="shared" si="178"/>
        <v>22706.006399999998</v>
      </c>
      <c r="X921" s="16">
        <f t="shared" si="179"/>
        <v>249766.07039999997</v>
      </c>
      <c r="Y921" s="16">
        <f t="shared" si="180"/>
        <v>0.92505951999999991</v>
      </c>
      <c r="Z921" s="16">
        <f t="shared" si="181"/>
        <v>5.6064213333333335</v>
      </c>
      <c r="AA921" s="17">
        <f t="shared" si="182"/>
        <v>270000</v>
      </c>
      <c r="AB921" s="10">
        <v>2424</v>
      </c>
      <c r="AC921" s="18">
        <f t="shared" si="183"/>
        <v>2242.3442764799997</v>
      </c>
      <c r="AD921" s="12">
        <f t="shared" si="175"/>
        <v>86652</v>
      </c>
      <c r="AE921" s="13">
        <f t="shared" si="184"/>
        <v>183348</v>
      </c>
    </row>
    <row r="922" spans="1:31">
      <c r="A922" s="6">
        <v>3</v>
      </c>
      <c r="B922" s="6">
        <f t="shared" si="185"/>
        <v>12</v>
      </c>
      <c r="C922" s="6" t="str">
        <f t="shared" si="176"/>
        <v>601182600ASPINDLE, RETRACTOR, R27, STD43790984493343008</v>
      </c>
      <c r="D922" s="7" t="s">
        <v>231</v>
      </c>
      <c r="E922" s="6" t="s">
        <v>61</v>
      </c>
      <c r="F922" s="6"/>
      <c r="G922" s="7" t="s">
        <v>21</v>
      </c>
      <c r="H922" s="19"/>
      <c r="I922" s="19"/>
      <c r="J922" s="19"/>
      <c r="K922" s="19"/>
      <c r="L922" s="14">
        <v>4379098</v>
      </c>
      <c r="M922" s="22">
        <v>44933</v>
      </c>
      <c r="N922" s="19" t="s">
        <v>185</v>
      </c>
      <c r="O922" s="19" t="s">
        <v>332</v>
      </c>
      <c r="P922" s="15">
        <v>43008</v>
      </c>
      <c r="Q922" s="15">
        <v>1835488.61</v>
      </c>
      <c r="R922" s="15">
        <v>87082900</v>
      </c>
      <c r="S922" s="15">
        <v>15</v>
      </c>
      <c r="T922" s="19" t="s">
        <v>311</v>
      </c>
      <c r="U922" s="19" t="s">
        <v>178</v>
      </c>
      <c r="V922" s="16">
        <f t="shared" si="177"/>
        <v>275323.29149999999</v>
      </c>
      <c r="W922" s="16">
        <f t="shared" si="178"/>
        <v>27532.329150000001</v>
      </c>
      <c r="X922" s="16">
        <f t="shared" si="179"/>
        <v>302855.62065</v>
      </c>
      <c r="Y922" s="16">
        <f t="shared" si="180"/>
        <v>7.0418438581194192</v>
      </c>
      <c r="Z922" s="16">
        <f t="shared" si="181"/>
        <v>42.677841564360122</v>
      </c>
      <c r="AA922" s="17">
        <f t="shared" si="182"/>
        <v>43008</v>
      </c>
      <c r="AB922" s="10">
        <v>2424</v>
      </c>
      <c r="AC922" s="18">
        <f t="shared" si="183"/>
        <v>17069.429512081471</v>
      </c>
      <c r="AD922" s="12">
        <f t="shared" si="175"/>
        <v>43008</v>
      </c>
      <c r="AE922" s="13">
        <f t="shared" si="184"/>
        <v>0</v>
      </c>
    </row>
    <row r="923" spans="1:31">
      <c r="A923" s="6">
        <v>3</v>
      </c>
      <c r="B923" s="6">
        <f t="shared" si="185"/>
        <v>13</v>
      </c>
      <c r="C923" s="6" t="str">
        <f t="shared" si="176"/>
        <v>601256700GBUSH, RETRACTOR, R27, AL ALL VERSIONS405080544944160000</v>
      </c>
      <c r="D923" s="7" t="s">
        <v>231</v>
      </c>
      <c r="E923" s="6" t="s">
        <v>62</v>
      </c>
      <c r="F923" s="6"/>
      <c r="G923" s="7" t="s">
        <v>22</v>
      </c>
      <c r="H923" s="19"/>
      <c r="I923" s="19"/>
      <c r="J923" s="19"/>
      <c r="K923" s="19"/>
      <c r="L923" s="14">
        <v>4050805</v>
      </c>
      <c r="M923" s="22">
        <v>44944</v>
      </c>
      <c r="N923" s="19" t="s">
        <v>196</v>
      </c>
      <c r="O923" s="19" t="s">
        <v>333</v>
      </c>
      <c r="P923" s="15">
        <v>160000</v>
      </c>
      <c r="Q923" s="15">
        <v>278597.26</v>
      </c>
      <c r="R923" s="15">
        <v>87082900</v>
      </c>
      <c r="S923" s="15">
        <v>15</v>
      </c>
      <c r="T923" s="19" t="s">
        <v>312</v>
      </c>
      <c r="U923" s="19" t="s">
        <v>178</v>
      </c>
      <c r="V923" s="16">
        <f t="shared" si="177"/>
        <v>41789.589</v>
      </c>
      <c r="W923" s="16">
        <f t="shared" si="178"/>
        <v>4178.9589000000005</v>
      </c>
      <c r="X923" s="16">
        <f t="shared" si="179"/>
        <v>45968.547899999998</v>
      </c>
      <c r="Y923" s="16">
        <f t="shared" si="180"/>
        <v>0.287303424375</v>
      </c>
      <c r="Z923" s="16">
        <f t="shared" si="181"/>
        <v>1.7412328750000001</v>
      </c>
      <c r="AA923" s="17">
        <f t="shared" si="182"/>
        <v>160000</v>
      </c>
      <c r="AB923" s="10">
        <v>2424</v>
      </c>
      <c r="AC923" s="18">
        <f t="shared" si="183"/>
        <v>696.42350068500002</v>
      </c>
      <c r="AD923" s="12">
        <f t="shared" si="175"/>
        <v>86652</v>
      </c>
      <c r="AE923" s="13">
        <f t="shared" si="184"/>
        <v>73348</v>
      </c>
    </row>
    <row r="924" spans="1:31">
      <c r="A924" s="6">
        <v>3</v>
      </c>
      <c r="B924" s="6">
        <f t="shared" si="185"/>
        <v>14</v>
      </c>
      <c r="C924" s="6" t="str">
        <f t="shared" si="176"/>
        <v>601472600ALATCH, RETRACTOR, R27, A ALL VERSIONS421598844951162000</v>
      </c>
      <c r="D924" s="7" t="s">
        <v>231</v>
      </c>
      <c r="E924" s="6" t="s">
        <v>63</v>
      </c>
      <c r="F924" s="6"/>
      <c r="G924" s="7" t="s">
        <v>23</v>
      </c>
      <c r="H924" s="19"/>
      <c r="I924" s="19"/>
      <c r="J924" s="19"/>
      <c r="K924" s="19"/>
      <c r="L924" s="14">
        <v>4215988</v>
      </c>
      <c r="M924" s="22">
        <v>44951</v>
      </c>
      <c r="N924" s="19" t="s">
        <v>199</v>
      </c>
      <c r="O924" s="19" t="s">
        <v>332</v>
      </c>
      <c r="P924" s="15">
        <v>162000</v>
      </c>
      <c r="Q924" s="15">
        <v>1167023.94</v>
      </c>
      <c r="R924" s="15">
        <v>87082900</v>
      </c>
      <c r="S924" s="15">
        <v>15</v>
      </c>
      <c r="T924" s="19" t="s">
        <v>313</v>
      </c>
      <c r="U924" s="19" t="s">
        <v>178</v>
      </c>
      <c r="V924" s="16">
        <f t="shared" si="177"/>
        <v>175053.59099999999</v>
      </c>
      <c r="W924" s="16">
        <f t="shared" si="178"/>
        <v>17505.359099999998</v>
      </c>
      <c r="X924" s="16">
        <f t="shared" si="179"/>
        <v>192558.95009999999</v>
      </c>
      <c r="Y924" s="16">
        <f t="shared" si="180"/>
        <v>1.1886354944444444</v>
      </c>
      <c r="Z924" s="16">
        <f t="shared" si="181"/>
        <v>7.2038514814814816</v>
      </c>
      <c r="AA924" s="17">
        <f t="shared" si="182"/>
        <v>162000</v>
      </c>
      <c r="AB924" s="10">
        <v>2424</v>
      </c>
      <c r="AC924" s="18">
        <f t="shared" si="183"/>
        <v>2881.2524385333331</v>
      </c>
      <c r="AD924" s="12">
        <f t="shared" si="175"/>
        <v>86652</v>
      </c>
      <c r="AE924" s="13">
        <f t="shared" si="184"/>
        <v>75348</v>
      </c>
    </row>
    <row r="925" spans="1:31">
      <c r="A925" s="6">
        <v>3</v>
      </c>
      <c r="B925" s="6">
        <f t="shared" si="185"/>
        <v>15</v>
      </c>
      <c r="C925" s="6" t="str">
        <f t="shared" si="176"/>
        <v>601487200CCOVER, RETRACTOR, R27, S SYSTEMKAPPE DELRIN 100T43274964495048000</v>
      </c>
      <c r="D925" s="7" t="s">
        <v>231</v>
      </c>
      <c r="E925" s="6" t="s">
        <v>64</v>
      </c>
      <c r="F925" s="6"/>
      <c r="G925" s="7" t="s">
        <v>24</v>
      </c>
      <c r="H925" s="19"/>
      <c r="I925" s="19"/>
      <c r="J925" s="19"/>
      <c r="K925" s="19"/>
      <c r="L925" s="14">
        <v>4327496</v>
      </c>
      <c r="M925" s="22">
        <v>44950</v>
      </c>
      <c r="N925" s="19" t="s">
        <v>199</v>
      </c>
      <c r="O925" s="19" t="s">
        <v>332</v>
      </c>
      <c r="P925" s="15">
        <v>48000</v>
      </c>
      <c r="Q925" s="15">
        <v>514349.16</v>
      </c>
      <c r="R925" s="15">
        <v>87082900</v>
      </c>
      <c r="S925" s="15">
        <v>15</v>
      </c>
      <c r="T925" s="19" t="s">
        <v>307</v>
      </c>
      <c r="U925" s="19" t="s">
        <v>178</v>
      </c>
      <c r="V925" s="16">
        <f t="shared" si="177"/>
        <v>77152.373999999996</v>
      </c>
      <c r="W925" s="16">
        <f t="shared" si="178"/>
        <v>7715.2374</v>
      </c>
      <c r="X925" s="16">
        <f t="shared" si="179"/>
        <v>84867.611399999994</v>
      </c>
      <c r="Y925" s="16">
        <f t="shared" si="180"/>
        <v>1.7680752375</v>
      </c>
      <c r="Z925" s="16">
        <f t="shared" si="181"/>
        <v>10.715607499999999</v>
      </c>
      <c r="AA925" s="17">
        <f t="shared" si="182"/>
        <v>48000</v>
      </c>
      <c r="AB925" s="10">
        <v>2424</v>
      </c>
      <c r="AC925" s="18">
        <f t="shared" si="183"/>
        <v>4285.8143756999998</v>
      </c>
      <c r="AD925" s="12">
        <f t="shared" si="175"/>
        <v>47964</v>
      </c>
      <c r="AE925" s="13">
        <f t="shared" si="184"/>
        <v>36</v>
      </c>
    </row>
    <row r="926" spans="1:31">
      <c r="A926" s="6">
        <v>3</v>
      </c>
      <c r="B926" s="6">
        <f t="shared" si="185"/>
        <v>16</v>
      </c>
      <c r="C926" s="6" t="str">
        <f t="shared" si="176"/>
        <v>605151600ASPRING, SHEET, LEAF, RET ALL VERSIONS, WS US407852744933100000</v>
      </c>
      <c r="D926" s="7" t="s">
        <v>231</v>
      </c>
      <c r="E926" s="6" t="s">
        <v>65</v>
      </c>
      <c r="F926" s="6"/>
      <c r="G926" s="7" t="s">
        <v>25</v>
      </c>
      <c r="H926" s="19"/>
      <c r="I926" s="19"/>
      <c r="J926" s="19"/>
      <c r="K926" s="19"/>
      <c r="L926" s="14">
        <v>4078527</v>
      </c>
      <c r="M926" s="22">
        <v>44933</v>
      </c>
      <c r="N926" s="19" t="s">
        <v>196</v>
      </c>
      <c r="O926" s="19" t="s">
        <v>333</v>
      </c>
      <c r="P926" s="15">
        <v>100000</v>
      </c>
      <c r="Q926" s="15">
        <v>147318.03</v>
      </c>
      <c r="R926" s="15">
        <v>87082900</v>
      </c>
      <c r="S926" s="15">
        <v>15</v>
      </c>
      <c r="T926" s="19" t="s">
        <v>314</v>
      </c>
      <c r="U926" s="19" t="s">
        <v>178</v>
      </c>
      <c r="V926" s="16">
        <f t="shared" si="177"/>
        <v>22097.7045</v>
      </c>
      <c r="W926" s="16">
        <f t="shared" si="178"/>
        <v>2209.77045</v>
      </c>
      <c r="X926" s="16">
        <f t="shared" si="179"/>
        <v>24307.47495</v>
      </c>
      <c r="Y926" s="16">
        <f t="shared" si="180"/>
        <v>0.24307474949999999</v>
      </c>
      <c r="Z926" s="16">
        <f t="shared" si="181"/>
        <v>1.4731802999999999</v>
      </c>
      <c r="AA926" s="17">
        <f t="shared" si="182"/>
        <v>100000</v>
      </c>
      <c r="AB926" s="10">
        <v>2424</v>
      </c>
      <c r="AC926" s="18">
        <f t="shared" si="183"/>
        <v>589.21319278800001</v>
      </c>
      <c r="AD926" s="12">
        <f t="shared" si="175"/>
        <v>86652</v>
      </c>
      <c r="AE926" s="13">
        <f t="shared" si="184"/>
        <v>13348</v>
      </c>
    </row>
    <row r="927" spans="1:31">
      <c r="A927" s="6">
        <v>3</v>
      </c>
      <c r="B927" s="6">
        <f t="shared" si="185"/>
        <v>17</v>
      </c>
      <c r="C927" s="6" t="str">
        <f t="shared" si="176"/>
        <v>605555507ESTEERING DISC NATURE WHITE717838944902100800</v>
      </c>
      <c r="D927" s="7" t="s">
        <v>231</v>
      </c>
      <c r="E927" s="6" t="s">
        <v>66</v>
      </c>
      <c r="F927" s="6"/>
      <c r="G927" s="7" t="s">
        <v>26</v>
      </c>
      <c r="H927" s="19"/>
      <c r="I927" s="19"/>
      <c r="J927" s="19"/>
      <c r="K927" s="19"/>
      <c r="L927" s="14">
        <v>7178389</v>
      </c>
      <c r="M927" s="22">
        <v>44902</v>
      </c>
      <c r="N927" s="19" t="s">
        <v>185</v>
      </c>
      <c r="O927" s="19" t="s">
        <v>332</v>
      </c>
      <c r="P927" s="15">
        <v>100800</v>
      </c>
      <c r="Q927" s="15">
        <v>397158.13</v>
      </c>
      <c r="R927" s="15">
        <v>87082900</v>
      </c>
      <c r="S927" s="15">
        <v>15</v>
      </c>
      <c r="T927" s="19" t="s">
        <v>315</v>
      </c>
      <c r="U927" s="19" t="s">
        <v>178</v>
      </c>
      <c r="V927" s="16">
        <f t="shared" si="177"/>
        <v>59573.719499999999</v>
      </c>
      <c r="W927" s="16">
        <f t="shared" si="178"/>
        <v>5957.3719500000007</v>
      </c>
      <c r="X927" s="16">
        <f t="shared" si="179"/>
        <v>65531.09145</v>
      </c>
      <c r="Y927" s="16">
        <f t="shared" si="180"/>
        <v>0.65011003422619051</v>
      </c>
      <c r="Z927" s="16">
        <f t="shared" si="181"/>
        <v>3.9400608134920634</v>
      </c>
      <c r="AA927" s="17">
        <f t="shared" si="182"/>
        <v>100800</v>
      </c>
      <c r="AB927" s="10">
        <v>2424</v>
      </c>
      <c r="AC927" s="18">
        <f t="shared" si="183"/>
        <v>1575.8667229642858</v>
      </c>
      <c r="AD927" s="12">
        <f t="shared" si="175"/>
        <v>80292</v>
      </c>
      <c r="AE927" s="13">
        <f t="shared" si="184"/>
        <v>20508</v>
      </c>
    </row>
    <row r="928" spans="1:31">
      <c r="A928" s="6">
        <v>3</v>
      </c>
      <c r="B928" s="6">
        <f t="shared" si="185"/>
        <v>18</v>
      </c>
      <c r="C928" s="6" t="str">
        <f t="shared" si="176"/>
        <v>618470500EBEARING, CAR SENS, RETRA All Versions, Noise redu408531144933170000</v>
      </c>
      <c r="D928" s="7" t="s">
        <v>231</v>
      </c>
      <c r="E928" s="6" t="s">
        <v>68</v>
      </c>
      <c r="F928" s="6"/>
      <c r="G928" s="7" t="s">
        <v>28</v>
      </c>
      <c r="H928" s="19"/>
      <c r="I928" s="19"/>
      <c r="J928" s="19"/>
      <c r="K928" s="19"/>
      <c r="L928" s="14">
        <v>4085311</v>
      </c>
      <c r="M928" s="22">
        <v>44933</v>
      </c>
      <c r="N928" s="19" t="s">
        <v>196</v>
      </c>
      <c r="O928" s="19" t="s">
        <v>333</v>
      </c>
      <c r="P928" s="15">
        <v>170000</v>
      </c>
      <c r="Q928" s="15">
        <v>305828.40000000002</v>
      </c>
      <c r="R928" s="15">
        <v>87082900</v>
      </c>
      <c r="S928" s="15">
        <v>15</v>
      </c>
      <c r="T928" s="19" t="s">
        <v>316</v>
      </c>
      <c r="U928" s="19" t="s">
        <v>178</v>
      </c>
      <c r="V928" s="16">
        <f t="shared" si="177"/>
        <v>45874.26</v>
      </c>
      <c r="W928" s="16">
        <f t="shared" si="178"/>
        <v>4587.4260000000004</v>
      </c>
      <c r="X928" s="16">
        <f t="shared" si="179"/>
        <v>50461.686000000002</v>
      </c>
      <c r="Y928" s="16">
        <f t="shared" si="180"/>
        <v>0.29683344705882353</v>
      </c>
      <c r="Z928" s="16">
        <f t="shared" si="181"/>
        <v>1.7989905882352943</v>
      </c>
      <c r="AA928" s="17">
        <f t="shared" si="182"/>
        <v>170000</v>
      </c>
      <c r="AB928" s="10">
        <v>2424</v>
      </c>
      <c r="AC928" s="18">
        <f t="shared" si="183"/>
        <v>719.52427567058828</v>
      </c>
      <c r="AD928" s="12">
        <f t="shared" si="175"/>
        <v>61944</v>
      </c>
      <c r="AE928" s="13">
        <f t="shared" si="184"/>
        <v>108056</v>
      </c>
    </row>
    <row r="929" spans="1:31">
      <c r="A929" s="6">
        <v>3</v>
      </c>
      <c r="B929" s="6">
        <f t="shared" si="185"/>
        <v>19</v>
      </c>
      <c r="C929" s="6" t="str">
        <f t="shared" si="176"/>
        <v>618472000BLEVER, CAR SENS, RETRACT ALL VERSIONS, NOISE REDU408531144933170000</v>
      </c>
      <c r="D929" s="7" t="s">
        <v>231</v>
      </c>
      <c r="E929" s="6" t="s">
        <v>69</v>
      </c>
      <c r="F929" s="6"/>
      <c r="G929" s="7" t="s">
        <v>29</v>
      </c>
      <c r="H929" s="19"/>
      <c r="I929" s="19"/>
      <c r="J929" s="19"/>
      <c r="K929" s="19"/>
      <c r="L929" s="14">
        <v>4085311</v>
      </c>
      <c r="M929" s="22">
        <v>44933</v>
      </c>
      <c r="N929" s="19" t="s">
        <v>196</v>
      </c>
      <c r="O929" s="19" t="s">
        <v>333</v>
      </c>
      <c r="P929" s="15">
        <v>170000</v>
      </c>
      <c r="Q929" s="15">
        <v>247799.42</v>
      </c>
      <c r="R929" s="15">
        <v>87082900</v>
      </c>
      <c r="S929" s="15">
        <v>15</v>
      </c>
      <c r="T929" s="19" t="s">
        <v>316</v>
      </c>
      <c r="U929" s="19" t="s">
        <v>178</v>
      </c>
      <c r="V929" s="16">
        <f t="shared" si="177"/>
        <v>37169.913</v>
      </c>
      <c r="W929" s="16">
        <f t="shared" si="178"/>
        <v>3716.9913000000001</v>
      </c>
      <c r="X929" s="16">
        <f t="shared" si="179"/>
        <v>40886.904300000002</v>
      </c>
      <c r="Y929" s="16">
        <f t="shared" si="180"/>
        <v>0.24051120176470589</v>
      </c>
      <c r="Z929" s="16">
        <f t="shared" si="181"/>
        <v>1.4576436470588237</v>
      </c>
      <c r="AA929" s="17">
        <f t="shared" si="182"/>
        <v>170000</v>
      </c>
      <c r="AB929" s="10">
        <v>2424</v>
      </c>
      <c r="AC929" s="18">
        <f t="shared" si="183"/>
        <v>582.99915307764707</v>
      </c>
      <c r="AD929" s="12">
        <f t="shared" si="175"/>
        <v>86652</v>
      </c>
      <c r="AE929" s="13">
        <f t="shared" si="184"/>
        <v>83348</v>
      </c>
    </row>
    <row r="930" spans="1:31">
      <c r="A930" s="6">
        <v>3</v>
      </c>
      <c r="B930" s="6">
        <f t="shared" si="185"/>
        <v>20</v>
      </c>
      <c r="C930" s="6" t="str">
        <f t="shared" si="176"/>
        <v>618472300CMASS, CAR SENS, RETRACTO ALL VERSIONS, CAR 2-PIN406183045012209560</v>
      </c>
      <c r="D930" s="7" t="s">
        <v>231</v>
      </c>
      <c r="E930" s="6" t="s">
        <v>70</v>
      </c>
      <c r="F930" s="6"/>
      <c r="G930" s="7" t="s">
        <v>30</v>
      </c>
      <c r="H930" s="19"/>
      <c r="I930" s="19"/>
      <c r="J930" s="19"/>
      <c r="K930" s="19"/>
      <c r="L930" s="14">
        <v>4061830</v>
      </c>
      <c r="M930" s="22">
        <v>45012</v>
      </c>
      <c r="N930" s="19" t="s">
        <v>196</v>
      </c>
      <c r="O930" s="19" t="s">
        <v>333</v>
      </c>
      <c r="P930" s="15">
        <v>209560</v>
      </c>
      <c r="Q930" s="15">
        <v>786307.66</v>
      </c>
      <c r="R930" s="15">
        <v>87082900</v>
      </c>
      <c r="S930" s="15">
        <v>15</v>
      </c>
      <c r="T930" s="19" t="s">
        <v>317</v>
      </c>
      <c r="U930" s="19" t="s">
        <v>178</v>
      </c>
      <c r="V930" s="16">
        <f t="shared" si="177"/>
        <v>117946.149</v>
      </c>
      <c r="W930" s="16">
        <f t="shared" si="178"/>
        <v>11794.6149</v>
      </c>
      <c r="X930" s="16">
        <f t="shared" si="179"/>
        <v>129740.76390000001</v>
      </c>
      <c r="Y930" s="16">
        <f t="shared" si="180"/>
        <v>0.61911034500858941</v>
      </c>
      <c r="Z930" s="16">
        <f t="shared" si="181"/>
        <v>3.7521839091429663</v>
      </c>
      <c r="AA930" s="17">
        <f t="shared" si="182"/>
        <v>209560</v>
      </c>
      <c r="AB930" s="10">
        <v>2424</v>
      </c>
      <c r="AC930" s="18">
        <f t="shared" si="183"/>
        <v>1500.7234763008207</v>
      </c>
      <c r="AD930" s="12">
        <f t="shared" si="175"/>
        <v>86652</v>
      </c>
      <c r="AE930" s="13">
        <f t="shared" si="184"/>
        <v>122908</v>
      </c>
    </row>
    <row r="931" spans="1:31">
      <c r="A931" s="6">
        <v>3</v>
      </c>
      <c r="B931" s="6">
        <f t="shared" si="185"/>
        <v>21</v>
      </c>
      <c r="C931" s="6" t="str">
        <f t="shared" si="176"/>
        <v>630580800ALABEL, RAW MATERIAL, BLA K12 TPC BUCKLE5160585449362400000</v>
      </c>
      <c r="D931" s="7" t="s">
        <v>231</v>
      </c>
      <c r="E931" s="6" t="s">
        <v>71</v>
      </c>
      <c r="F931" s="6"/>
      <c r="G931" s="7" t="s">
        <v>31</v>
      </c>
      <c r="H931" s="19"/>
      <c r="I931" s="19"/>
      <c r="J931" s="19"/>
      <c r="K931" s="19"/>
      <c r="L931" s="14">
        <v>5160585</v>
      </c>
      <c r="M931" s="22">
        <v>44936</v>
      </c>
      <c r="N931" s="19" t="s">
        <v>196</v>
      </c>
      <c r="O931" s="19" t="s">
        <v>333</v>
      </c>
      <c r="P931" s="15">
        <v>2400000</v>
      </c>
      <c r="Q931" s="15">
        <v>86522.34</v>
      </c>
      <c r="R931" s="15">
        <v>87082900</v>
      </c>
      <c r="S931" s="15">
        <v>15</v>
      </c>
      <c r="T931" s="19" t="s">
        <v>265</v>
      </c>
      <c r="U931" s="19" t="s">
        <v>178</v>
      </c>
      <c r="V931" s="16">
        <f t="shared" si="177"/>
        <v>12978.350999999999</v>
      </c>
      <c r="W931" s="16">
        <f t="shared" si="178"/>
        <v>1297.8351</v>
      </c>
      <c r="X931" s="16">
        <f t="shared" si="179"/>
        <v>14276.186099999999</v>
      </c>
      <c r="Y931" s="16">
        <f t="shared" si="180"/>
        <v>5.9484108749999999E-3</v>
      </c>
      <c r="Z931" s="16">
        <f t="shared" si="181"/>
        <v>3.6050974999999999E-2</v>
      </c>
      <c r="AA931" s="17">
        <f t="shared" si="182"/>
        <v>2400000</v>
      </c>
      <c r="AB931" s="10">
        <v>8568</v>
      </c>
      <c r="AC931" s="18">
        <f t="shared" si="183"/>
        <v>50.965984376999998</v>
      </c>
      <c r="AD931" s="12">
        <f t="shared" si="175"/>
        <v>548546</v>
      </c>
      <c r="AE931" s="13">
        <f t="shared" si="184"/>
        <v>1851454</v>
      </c>
    </row>
    <row r="932" spans="1:31">
      <c r="A932" s="6">
        <v>3</v>
      </c>
      <c r="B932" s="6">
        <f t="shared" si="185"/>
        <v>22</v>
      </c>
      <c r="C932" s="6" t="str">
        <f t="shared" si="176"/>
        <v>560050622CCHANNEL, BUCKLE, K12 ROA K12A/AT, RIVET BUCKLE, S505596944994224000</v>
      </c>
      <c r="D932" s="7" t="s">
        <v>231</v>
      </c>
      <c r="E932" s="6" t="s">
        <v>72</v>
      </c>
      <c r="F932" s="6"/>
      <c r="G932" s="7" t="s">
        <v>32</v>
      </c>
      <c r="H932" s="19"/>
      <c r="I932" s="19"/>
      <c r="J932" s="19"/>
      <c r="K932" s="19"/>
      <c r="L932" s="14">
        <v>5055969</v>
      </c>
      <c r="M932" s="22">
        <v>44994</v>
      </c>
      <c r="N932" s="19" t="s">
        <v>197</v>
      </c>
      <c r="O932" s="19" t="s">
        <v>333</v>
      </c>
      <c r="P932" s="15">
        <v>224000</v>
      </c>
      <c r="Q932" s="15">
        <v>3980591.44</v>
      </c>
      <c r="R932" s="15">
        <v>87082900</v>
      </c>
      <c r="S932" s="15">
        <v>15</v>
      </c>
      <c r="T932" s="19" t="s">
        <v>318</v>
      </c>
      <c r="U932" s="19" t="s">
        <v>178</v>
      </c>
      <c r="V932" s="16">
        <f t="shared" si="177"/>
        <v>597088.71600000001</v>
      </c>
      <c r="W932" s="16">
        <f t="shared" si="178"/>
        <v>59708.871600000006</v>
      </c>
      <c r="X932" s="16">
        <f t="shared" si="179"/>
        <v>656797.58759999997</v>
      </c>
      <c r="Y932" s="16">
        <f t="shared" si="180"/>
        <v>2.9321320874999999</v>
      </c>
      <c r="Z932" s="16">
        <f t="shared" si="181"/>
        <v>17.770497500000001</v>
      </c>
      <c r="AA932" s="17">
        <f t="shared" si="182"/>
        <v>224000</v>
      </c>
      <c r="AB932" s="10">
        <v>4096</v>
      </c>
      <c r="AC932" s="18">
        <f t="shared" si="183"/>
        <v>12010.013030399999</v>
      </c>
      <c r="AD932" s="12">
        <f t="shared" si="175"/>
        <v>67232</v>
      </c>
      <c r="AE932" s="13">
        <f t="shared" si="184"/>
        <v>156768</v>
      </c>
    </row>
    <row r="933" spans="1:31">
      <c r="A933" s="6">
        <v>3</v>
      </c>
      <c r="B933" s="6">
        <f t="shared" si="185"/>
        <v>23</v>
      </c>
      <c r="C933" s="6" t="str">
        <f t="shared" si="176"/>
        <v>560130122ASPRING, WIRE, COMPRESSIO K12A/AT495151045028300000</v>
      </c>
      <c r="D933" s="7" t="s">
        <v>231</v>
      </c>
      <c r="E933" s="6" t="s">
        <v>73</v>
      </c>
      <c r="F933" s="6"/>
      <c r="G933" s="7" t="s">
        <v>33</v>
      </c>
      <c r="H933" s="19"/>
      <c r="I933" s="19"/>
      <c r="J933" s="19"/>
      <c r="K933" s="19"/>
      <c r="L933" s="14">
        <v>4951510</v>
      </c>
      <c r="M933" s="22">
        <v>45028</v>
      </c>
      <c r="N933" s="19" t="s">
        <v>199</v>
      </c>
      <c r="O933" s="19" t="s">
        <v>332</v>
      </c>
      <c r="P933" s="15">
        <v>300000</v>
      </c>
      <c r="Q933" s="15">
        <v>285155.93</v>
      </c>
      <c r="R933" s="15">
        <v>87082900</v>
      </c>
      <c r="S933" s="15">
        <v>15</v>
      </c>
      <c r="T933" s="19" t="s">
        <v>319</v>
      </c>
      <c r="U933" s="19" t="s">
        <v>178</v>
      </c>
      <c r="V933" s="16">
        <f t="shared" si="177"/>
        <v>42773.389499999997</v>
      </c>
      <c r="W933" s="16">
        <f t="shared" si="178"/>
        <v>4277.3389500000003</v>
      </c>
      <c r="X933" s="16">
        <f t="shared" si="179"/>
        <v>47050.728449999995</v>
      </c>
      <c r="Y933" s="16">
        <f t="shared" si="180"/>
        <v>0.15683576149999998</v>
      </c>
      <c r="Z933" s="16">
        <f t="shared" si="181"/>
        <v>0.9505197666666666</v>
      </c>
      <c r="AA933" s="17">
        <f t="shared" si="182"/>
        <v>300000</v>
      </c>
      <c r="AB933" s="10">
        <v>4096</v>
      </c>
      <c r="AC933" s="18">
        <f t="shared" si="183"/>
        <v>642.3992791039999</v>
      </c>
      <c r="AD933" s="12">
        <f t="shared" si="175"/>
        <v>94048</v>
      </c>
      <c r="AE933" s="13">
        <f t="shared" si="184"/>
        <v>205952</v>
      </c>
    </row>
    <row r="934" spans="1:31">
      <c r="A934" s="6">
        <v>3</v>
      </c>
      <c r="B934" s="6">
        <f t="shared" si="185"/>
        <v>24</v>
      </c>
      <c r="C934" s="6" t="str">
        <f t="shared" si="176"/>
        <v>560762022ALATCH, BUCKLE, K12 ROADM K12A/AT, SILVER, LATCH W54569304493980000</v>
      </c>
      <c r="D934" s="7" t="s">
        <v>231</v>
      </c>
      <c r="E934" s="6" t="s">
        <v>74</v>
      </c>
      <c r="F934" s="6"/>
      <c r="G934" s="7" t="s">
        <v>34</v>
      </c>
      <c r="H934" s="19"/>
      <c r="I934" s="19"/>
      <c r="J934" s="19"/>
      <c r="K934" s="19"/>
      <c r="L934" s="14">
        <v>5456930</v>
      </c>
      <c r="M934" s="22">
        <v>44939</v>
      </c>
      <c r="N934" s="19" t="s">
        <v>185</v>
      </c>
      <c r="O934" s="19" t="s">
        <v>332</v>
      </c>
      <c r="P934" s="15">
        <v>80000</v>
      </c>
      <c r="Q934" s="15">
        <v>680240</v>
      </c>
      <c r="R934" s="15">
        <v>87082900</v>
      </c>
      <c r="S934" s="15">
        <v>15</v>
      </c>
      <c r="T934" s="19" t="s">
        <v>320</v>
      </c>
      <c r="U934" s="19" t="s">
        <v>178</v>
      </c>
      <c r="V934" s="16">
        <f t="shared" si="177"/>
        <v>102036</v>
      </c>
      <c r="W934" s="16">
        <f t="shared" si="178"/>
        <v>10203.6</v>
      </c>
      <c r="X934" s="16">
        <f t="shared" si="179"/>
        <v>112239.6</v>
      </c>
      <c r="Y934" s="16">
        <f t="shared" si="180"/>
        <v>1.402995</v>
      </c>
      <c r="Z934" s="16">
        <f t="shared" si="181"/>
        <v>8.5030000000000001</v>
      </c>
      <c r="AA934" s="17">
        <f t="shared" si="182"/>
        <v>80000</v>
      </c>
      <c r="AB934" s="10">
        <v>4096</v>
      </c>
      <c r="AC934" s="18">
        <f t="shared" si="183"/>
        <v>5746.66752</v>
      </c>
      <c r="AD934" s="12">
        <f t="shared" ref="AD934:AD997" si="186">SUMIF($C$2:$C$2284,C934,$AB$2:$AB$2284)</f>
        <v>74976</v>
      </c>
      <c r="AE934" s="13">
        <f t="shared" si="184"/>
        <v>5024</v>
      </c>
    </row>
    <row r="935" spans="1:31">
      <c r="A935" s="6">
        <v>3</v>
      </c>
      <c r="B935" s="6">
        <f t="shared" si="185"/>
        <v>25</v>
      </c>
      <c r="C935" s="6" t="str">
        <f t="shared" si="176"/>
        <v>604213200ALOCKING BAR, BUCKLE, K12 K12A/AT, L=34.3, silver415111844909306000</v>
      </c>
      <c r="D935" s="7" t="s">
        <v>231</v>
      </c>
      <c r="E935" s="6" t="s">
        <v>75</v>
      </c>
      <c r="F935" s="6"/>
      <c r="G935" s="7" t="s">
        <v>35</v>
      </c>
      <c r="H935" s="19"/>
      <c r="I935" s="19"/>
      <c r="J935" s="19"/>
      <c r="K935" s="19"/>
      <c r="L935" s="14">
        <v>4151118</v>
      </c>
      <c r="M935" s="22">
        <v>44909</v>
      </c>
      <c r="N935" s="19" t="s">
        <v>199</v>
      </c>
      <c r="O935" s="19" t="s">
        <v>332</v>
      </c>
      <c r="P935" s="15">
        <v>306000</v>
      </c>
      <c r="Q935" s="15">
        <v>347494.89</v>
      </c>
      <c r="R935" s="15">
        <v>87082900</v>
      </c>
      <c r="S935" s="15">
        <v>15</v>
      </c>
      <c r="T935" s="19" t="s">
        <v>319</v>
      </c>
      <c r="U935" s="19" t="s">
        <v>178</v>
      </c>
      <c r="V935" s="16">
        <f t="shared" si="177"/>
        <v>52124.233500000002</v>
      </c>
      <c r="W935" s="16">
        <f t="shared" si="178"/>
        <v>5212.4233500000009</v>
      </c>
      <c r="X935" s="16">
        <f t="shared" si="179"/>
        <v>57336.656849999999</v>
      </c>
      <c r="Y935" s="16">
        <f t="shared" si="180"/>
        <v>0.1873746955882353</v>
      </c>
      <c r="Z935" s="16">
        <f t="shared" si="181"/>
        <v>1.1356042156862745</v>
      </c>
      <c r="AA935" s="17">
        <f t="shared" si="182"/>
        <v>306000</v>
      </c>
      <c r="AB935" s="10">
        <v>4096</v>
      </c>
      <c r="AC935" s="18">
        <f t="shared" si="183"/>
        <v>767.4867531294118</v>
      </c>
      <c r="AD935" s="12">
        <f t="shared" si="186"/>
        <v>94048</v>
      </c>
      <c r="AE935" s="13">
        <f t="shared" si="184"/>
        <v>211952</v>
      </c>
    </row>
    <row r="936" spans="1:31">
      <c r="A936" s="6">
        <v>3</v>
      </c>
      <c r="B936" s="6">
        <f t="shared" si="185"/>
        <v>26</v>
      </c>
      <c r="C936" s="6" t="str">
        <f t="shared" si="176"/>
        <v>NPB10271-ZKSCREW, SELF-TAPPING, MET OTHER, HEXALOBULAR INTER406701444998150000</v>
      </c>
      <c r="D936" s="7" t="s">
        <v>231</v>
      </c>
      <c r="E936" s="6" t="s">
        <v>76</v>
      </c>
      <c r="F936" s="6"/>
      <c r="G936" s="7" t="s">
        <v>36</v>
      </c>
      <c r="H936" s="19"/>
      <c r="I936" s="19"/>
      <c r="J936" s="19"/>
      <c r="K936" s="19"/>
      <c r="L936" s="14">
        <v>4067014</v>
      </c>
      <c r="M936" s="22">
        <v>44998</v>
      </c>
      <c r="N936" s="19" t="s">
        <v>196</v>
      </c>
      <c r="O936" s="19" t="s">
        <v>333</v>
      </c>
      <c r="P936" s="15">
        <v>150000</v>
      </c>
      <c r="Q936" s="15">
        <v>146157.25</v>
      </c>
      <c r="R936" s="15">
        <v>87082900</v>
      </c>
      <c r="S936" s="15">
        <v>15</v>
      </c>
      <c r="T936" s="19" t="s">
        <v>321</v>
      </c>
      <c r="U936" s="19" t="s">
        <v>178</v>
      </c>
      <c r="V936" s="16">
        <f t="shared" si="177"/>
        <v>21923.587499999998</v>
      </c>
      <c r="W936" s="16">
        <f t="shared" si="178"/>
        <v>2192.3587499999999</v>
      </c>
      <c r="X936" s="16">
        <f t="shared" si="179"/>
        <v>24115.946249999997</v>
      </c>
      <c r="Y936" s="16">
        <f t="shared" si="180"/>
        <v>0.16077297499999998</v>
      </c>
      <c r="Z936" s="16">
        <f t="shared" si="181"/>
        <v>0.9743816666666667</v>
      </c>
      <c r="AA936" s="17">
        <f t="shared" si="182"/>
        <v>150000</v>
      </c>
      <c r="AB936" s="10">
        <v>8192</v>
      </c>
      <c r="AC936" s="18">
        <f t="shared" si="183"/>
        <v>1317.0522111999999</v>
      </c>
      <c r="AD936" s="12">
        <f t="shared" si="186"/>
        <v>149952</v>
      </c>
      <c r="AE936" s="13">
        <f t="shared" si="184"/>
        <v>48</v>
      </c>
    </row>
    <row r="937" spans="1:31">
      <c r="A937" s="6">
        <v>3</v>
      </c>
      <c r="B937" s="6">
        <f t="shared" si="185"/>
        <v>27</v>
      </c>
      <c r="C937" s="6" t="str">
        <f t="shared" si="176"/>
        <v>NWB2834WASHER, WAVED 49935344494720000</v>
      </c>
      <c r="D937" s="7" t="s">
        <v>231</v>
      </c>
      <c r="E937" s="6" t="s">
        <v>77</v>
      </c>
      <c r="F937" s="6"/>
      <c r="G937" s="7" t="s">
        <v>37</v>
      </c>
      <c r="H937" s="19"/>
      <c r="I937" s="19"/>
      <c r="J937" s="19"/>
      <c r="K937" s="19"/>
      <c r="L937" s="14">
        <v>4993534</v>
      </c>
      <c r="M937" s="22">
        <v>44947</v>
      </c>
      <c r="N937" s="19" t="s">
        <v>196</v>
      </c>
      <c r="O937" s="19" t="s">
        <v>333</v>
      </c>
      <c r="P937" s="15">
        <v>20000</v>
      </c>
      <c r="Q937" s="15">
        <v>37407.879999999997</v>
      </c>
      <c r="R937" s="15">
        <v>87082900</v>
      </c>
      <c r="S937" s="15">
        <v>15</v>
      </c>
      <c r="T937" s="19" t="s">
        <v>207</v>
      </c>
      <c r="U937" s="19" t="s">
        <v>178</v>
      </c>
      <c r="V937" s="16">
        <f t="shared" si="177"/>
        <v>5611.1819999999998</v>
      </c>
      <c r="W937" s="16">
        <f t="shared" si="178"/>
        <v>561.1182</v>
      </c>
      <c r="X937" s="16">
        <f t="shared" si="179"/>
        <v>6172.3001999999997</v>
      </c>
      <c r="Y937" s="16">
        <f t="shared" si="180"/>
        <v>0.30861500999999997</v>
      </c>
      <c r="Z937" s="16">
        <f t="shared" si="181"/>
        <v>1.8703939999999999</v>
      </c>
      <c r="AA937" s="17">
        <f t="shared" si="182"/>
        <v>20000</v>
      </c>
      <c r="AB937" s="10">
        <v>4096</v>
      </c>
      <c r="AC937" s="18">
        <f t="shared" si="183"/>
        <v>1264.0870809599999</v>
      </c>
      <c r="AD937" s="12">
        <f t="shared" si="186"/>
        <v>20000</v>
      </c>
      <c r="AE937" s="13">
        <f t="shared" si="184"/>
        <v>0</v>
      </c>
    </row>
    <row r="938" spans="1:31">
      <c r="A938" s="6">
        <v>3</v>
      </c>
      <c r="B938" s="6">
        <f t="shared" si="185"/>
        <v>28</v>
      </c>
      <c r="C938" s="6" t="str">
        <f t="shared" si="176"/>
        <v>632154400AADHESIVE, PAD 44490894496120000</v>
      </c>
      <c r="D938" s="7" t="s">
        <v>231</v>
      </c>
      <c r="E938" s="6" t="s">
        <v>79</v>
      </c>
      <c r="F938" s="6"/>
      <c r="G938" s="7" t="s">
        <v>39</v>
      </c>
      <c r="H938" s="19"/>
      <c r="I938" s="19"/>
      <c r="J938" s="19"/>
      <c r="K938" s="19"/>
      <c r="L938" s="14">
        <v>4449089</v>
      </c>
      <c r="M938" s="22">
        <v>44961</v>
      </c>
      <c r="N938" s="19" t="s">
        <v>196</v>
      </c>
      <c r="O938" s="19" t="s">
        <v>333</v>
      </c>
      <c r="P938" s="15">
        <v>20000</v>
      </c>
      <c r="Q938" s="15">
        <v>71990.399999999994</v>
      </c>
      <c r="R938" s="15">
        <v>87082900</v>
      </c>
      <c r="S938" s="15">
        <v>15</v>
      </c>
      <c r="T938" s="19" t="s">
        <v>201</v>
      </c>
      <c r="U938" s="19" t="s">
        <v>178</v>
      </c>
      <c r="V938" s="16">
        <f t="shared" si="177"/>
        <v>10798.56</v>
      </c>
      <c r="W938" s="16">
        <f t="shared" si="178"/>
        <v>1079.856</v>
      </c>
      <c r="X938" s="16">
        <f t="shared" si="179"/>
        <v>11878.415999999999</v>
      </c>
      <c r="Y938" s="16">
        <f t="shared" si="180"/>
        <v>0.59392079999999992</v>
      </c>
      <c r="Z938" s="16">
        <f t="shared" si="181"/>
        <v>3.5995199999999996</v>
      </c>
      <c r="AA938" s="17">
        <f t="shared" si="182"/>
        <v>20000</v>
      </c>
      <c r="AB938" s="10">
        <v>2424</v>
      </c>
      <c r="AC938" s="18">
        <f t="shared" si="183"/>
        <v>1439.6640191999998</v>
      </c>
      <c r="AD938" s="12">
        <f t="shared" si="186"/>
        <v>20000</v>
      </c>
      <c r="AE938" s="13">
        <f t="shared" si="184"/>
        <v>0</v>
      </c>
    </row>
    <row r="939" spans="1:31">
      <c r="A939" s="6">
        <v>3</v>
      </c>
      <c r="B939" s="6">
        <f t="shared" si="185"/>
        <v>29</v>
      </c>
      <c r="C939" s="6" t="str">
        <f t="shared" si="176"/>
        <v>615795701BPILLAR LOOP, OVERMOULDED LIGHT GRAY, STD, WITH CA5272704450152000</v>
      </c>
      <c r="D939" s="7" t="s">
        <v>231</v>
      </c>
      <c r="E939" s="6" t="s">
        <v>67</v>
      </c>
      <c r="F939" s="6"/>
      <c r="G939" s="7" t="s">
        <v>27</v>
      </c>
      <c r="H939" s="19"/>
      <c r="I939" s="19"/>
      <c r="J939" s="19"/>
      <c r="K939" s="19"/>
      <c r="L939" s="14" t="s">
        <v>80</v>
      </c>
      <c r="M939" s="22">
        <v>45015</v>
      </c>
      <c r="N939" s="19" t="e">
        <v>#N/A</v>
      </c>
      <c r="O939" s="19" t="e">
        <v>#N/A</v>
      </c>
      <c r="P939" s="15">
        <v>2000</v>
      </c>
      <c r="Q939" s="15">
        <v>128578.2</v>
      </c>
      <c r="R939" s="15" t="e">
        <v>#N/A</v>
      </c>
      <c r="S939" s="15">
        <v>15</v>
      </c>
      <c r="T939" s="19" t="e">
        <v>#N/A</v>
      </c>
      <c r="U939" s="19" t="e">
        <v>#N/A</v>
      </c>
      <c r="V939" s="16">
        <f t="shared" si="177"/>
        <v>19286.73</v>
      </c>
      <c r="W939" s="16">
        <f t="shared" si="178"/>
        <v>1928.673</v>
      </c>
      <c r="X939" s="16">
        <f t="shared" si="179"/>
        <v>21215.402999999998</v>
      </c>
      <c r="Y939" s="16">
        <f t="shared" si="180"/>
        <v>10.607701499999999</v>
      </c>
      <c r="Z939" s="16">
        <f t="shared" si="181"/>
        <v>64.289100000000005</v>
      </c>
      <c r="AA939" s="17">
        <f t="shared" si="182"/>
        <v>2000</v>
      </c>
      <c r="AB939" s="10">
        <v>752</v>
      </c>
      <c r="AC939" s="18">
        <f t="shared" si="183"/>
        <v>7976.9915279999996</v>
      </c>
      <c r="AD939" s="12">
        <f t="shared" si="186"/>
        <v>2000</v>
      </c>
      <c r="AE939" s="13">
        <f t="shared" si="184"/>
        <v>0</v>
      </c>
    </row>
    <row r="940" spans="1:31">
      <c r="A940" s="6">
        <v>3</v>
      </c>
      <c r="B940" s="6">
        <f t="shared" si="185"/>
        <v>30</v>
      </c>
      <c r="C940" s="6" t="str">
        <f t="shared" si="176"/>
        <v>603171100BTAPE, ADHESIVE, TERAOKA TERAOKA NO.560S 292476094473550000</v>
      </c>
      <c r="D940" s="7" t="s">
        <v>231</v>
      </c>
      <c r="E940" s="6" t="s">
        <v>50</v>
      </c>
      <c r="F940" s="6"/>
      <c r="G940" s="7" t="s">
        <v>12</v>
      </c>
      <c r="H940" s="19"/>
      <c r="I940" s="19"/>
      <c r="J940" s="19"/>
      <c r="K940" s="19"/>
      <c r="L940" s="14">
        <v>9247609</v>
      </c>
      <c r="M940" s="22">
        <v>44735</v>
      </c>
      <c r="N940" s="19" t="s">
        <v>196</v>
      </c>
      <c r="O940" s="19" t="s">
        <v>333</v>
      </c>
      <c r="P940" s="15">
        <v>50000</v>
      </c>
      <c r="Q940" s="15">
        <v>313333.84000000003</v>
      </c>
      <c r="R940" s="15">
        <v>87082900</v>
      </c>
      <c r="S940" s="15">
        <v>15</v>
      </c>
      <c r="T940" s="19" t="s">
        <v>334</v>
      </c>
      <c r="U940" s="19" t="s">
        <v>178</v>
      </c>
      <c r="V940" s="16">
        <f t="shared" si="177"/>
        <v>47000.076000000001</v>
      </c>
      <c r="W940" s="16">
        <f t="shared" si="178"/>
        <v>4700.0075999999999</v>
      </c>
      <c r="X940" s="16">
        <f t="shared" si="179"/>
        <v>51700.083599999998</v>
      </c>
      <c r="Y940" s="16">
        <f t="shared" si="180"/>
        <v>1.034001672</v>
      </c>
      <c r="Z940" s="16">
        <f t="shared" si="181"/>
        <v>6.2666768000000008</v>
      </c>
      <c r="AA940" s="17">
        <f t="shared" si="182"/>
        <v>50000</v>
      </c>
      <c r="AB940" s="10">
        <v>306</v>
      </c>
      <c r="AC940" s="18">
        <f t="shared" si="183"/>
        <v>316.40451163200004</v>
      </c>
      <c r="AD940" s="12">
        <f t="shared" si="186"/>
        <v>960.4</v>
      </c>
      <c r="AE940" s="13">
        <f t="shared" si="184"/>
        <v>49039.6</v>
      </c>
    </row>
    <row r="941" spans="1:31">
      <c r="A941" s="6">
        <v>3</v>
      </c>
      <c r="B941" s="6">
        <f t="shared" si="185"/>
        <v>31</v>
      </c>
      <c r="C941" s="6" t="str">
        <f t="shared" si="176"/>
        <v>649421100AINFLATOR, ASP-5.1, P20, SRR, IMI, SERV, NO STUDS47575054497912096</v>
      </c>
      <c r="D941" s="7" t="s">
        <v>231</v>
      </c>
      <c r="E941" s="6" t="s">
        <v>469</v>
      </c>
      <c r="F941" s="6"/>
      <c r="G941" s="7" t="s">
        <v>16</v>
      </c>
      <c r="H941" s="19"/>
      <c r="I941" s="19"/>
      <c r="J941" s="19"/>
      <c r="K941" s="19"/>
      <c r="L941" s="14">
        <v>4757505</v>
      </c>
      <c r="M941" s="22">
        <v>44979</v>
      </c>
      <c r="N941" s="19" t="s">
        <v>185</v>
      </c>
      <c r="O941" s="19" t="s">
        <v>332</v>
      </c>
      <c r="P941" s="15">
        <v>12096</v>
      </c>
      <c r="Q941" s="15">
        <v>2418095.83</v>
      </c>
      <c r="R941" s="15">
        <v>87089500</v>
      </c>
      <c r="S941" s="15">
        <v>15</v>
      </c>
      <c r="T941" s="19" t="s">
        <v>203</v>
      </c>
      <c r="U941" s="19" t="s">
        <v>200</v>
      </c>
      <c r="V941" s="16">
        <f t="shared" si="177"/>
        <v>362714.37449999998</v>
      </c>
      <c r="W941" s="16">
        <f t="shared" si="178"/>
        <v>36271.437449999998</v>
      </c>
      <c r="X941" s="16">
        <f t="shared" si="179"/>
        <v>398985.81195</v>
      </c>
      <c r="Y941" s="16">
        <f t="shared" si="180"/>
        <v>32.984938157242063</v>
      </c>
      <c r="Z941" s="16">
        <f t="shared" si="181"/>
        <v>199.90871610449736</v>
      </c>
      <c r="AA941" s="17">
        <f t="shared" si="182"/>
        <v>12096</v>
      </c>
      <c r="AB941" s="10">
        <v>3312</v>
      </c>
      <c r="AC941" s="18">
        <f t="shared" si="183"/>
        <v>109246.11517678571</v>
      </c>
      <c r="AD941" s="12">
        <f t="shared" si="186"/>
        <v>11952</v>
      </c>
      <c r="AE941" s="13">
        <f t="shared" si="184"/>
        <v>144</v>
      </c>
    </row>
    <row r="942" spans="1:31">
      <c r="A942" s="6">
        <v>3</v>
      </c>
      <c r="B942" s="6">
        <f t="shared" si="185"/>
        <v>32</v>
      </c>
      <c r="C942" s="6" t="str">
        <f t="shared" si="176"/>
        <v>653328100ACUSHION, C AND S, SIDE, LH, BUTTON HOLE STYLE, S4379099449565760</v>
      </c>
      <c r="D942" s="7" t="s">
        <v>231</v>
      </c>
      <c r="E942" s="6" t="s">
        <v>53</v>
      </c>
      <c r="F942" s="6"/>
      <c r="G942" s="19" t="s">
        <v>13</v>
      </c>
      <c r="H942" s="19"/>
      <c r="I942" s="19"/>
      <c r="J942" s="19"/>
      <c r="K942" s="19"/>
      <c r="L942" s="14" t="s">
        <v>81</v>
      </c>
      <c r="M942" s="22">
        <v>44956</v>
      </c>
      <c r="N942" s="19" t="e">
        <v>#N/A</v>
      </c>
      <c r="O942" s="19" t="e">
        <v>#N/A</v>
      </c>
      <c r="P942" s="15">
        <v>5760</v>
      </c>
      <c r="Q942" s="15">
        <v>4892641.6500000004</v>
      </c>
      <c r="R942" s="15" t="e">
        <v>#N/A</v>
      </c>
      <c r="S942" s="15">
        <v>5</v>
      </c>
      <c r="T942" s="19" t="e">
        <v>#N/A</v>
      </c>
      <c r="U942" s="19" t="e">
        <v>#N/A</v>
      </c>
      <c r="V942" s="16">
        <f t="shared" si="177"/>
        <v>244632.08250000002</v>
      </c>
      <c r="W942" s="16">
        <f t="shared" si="178"/>
        <v>24463.208250000003</v>
      </c>
      <c r="X942" s="16">
        <f t="shared" si="179"/>
        <v>269095.29075000004</v>
      </c>
      <c r="Y942" s="16">
        <f t="shared" si="180"/>
        <v>46.717932421875005</v>
      </c>
      <c r="Z942" s="16">
        <f t="shared" si="181"/>
        <v>849.41695312500008</v>
      </c>
      <c r="AA942" s="17">
        <f t="shared" si="182"/>
        <v>5760</v>
      </c>
      <c r="AB942" s="10">
        <v>3152</v>
      </c>
      <c r="AC942" s="18">
        <f t="shared" si="183"/>
        <v>147254.92299375002</v>
      </c>
      <c r="AD942" s="12">
        <f t="shared" si="186"/>
        <v>5760</v>
      </c>
      <c r="AE942" s="13">
        <f t="shared" si="184"/>
        <v>0</v>
      </c>
    </row>
    <row r="943" spans="1:31">
      <c r="A943" s="6">
        <v>3</v>
      </c>
      <c r="B943" s="6">
        <f t="shared" si="185"/>
        <v>33</v>
      </c>
      <c r="C943" s="6" t="str">
        <f t="shared" si="176"/>
        <v>615795701BPILLAR LOOP, OVERMOULDED LIGHT GRAY, STD, WITH CA5569844450344000</v>
      </c>
      <c r="D943" s="7" t="s">
        <v>231</v>
      </c>
      <c r="E943" s="6" t="s">
        <v>67</v>
      </c>
      <c r="F943" s="6"/>
      <c r="G943" s="7" t="s">
        <v>27</v>
      </c>
      <c r="H943" s="19"/>
      <c r="I943" s="19"/>
      <c r="J943" s="19"/>
      <c r="K943" s="19"/>
      <c r="L943" s="14" t="s">
        <v>82</v>
      </c>
      <c r="M943" s="22">
        <v>45034</v>
      </c>
      <c r="N943" s="19" t="e">
        <v>#N/A</v>
      </c>
      <c r="O943" s="19" t="e">
        <v>#N/A</v>
      </c>
      <c r="P943" s="15">
        <v>4000</v>
      </c>
      <c r="Q943" s="15">
        <v>254544.89</v>
      </c>
      <c r="R943" s="15" t="e">
        <v>#N/A</v>
      </c>
      <c r="S943" s="15">
        <v>15</v>
      </c>
      <c r="T943" s="19" t="e">
        <v>#N/A</v>
      </c>
      <c r="U943" s="19" t="e">
        <v>#N/A</v>
      </c>
      <c r="V943" s="16">
        <f t="shared" si="177"/>
        <v>38181.733500000002</v>
      </c>
      <c r="W943" s="16">
        <f t="shared" si="178"/>
        <v>3818.1733500000005</v>
      </c>
      <c r="X943" s="16">
        <f t="shared" si="179"/>
        <v>41999.906849999999</v>
      </c>
      <c r="Y943" s="16">
        <f t="shared" si="180"/>
        <v>10.499976712500001</v>
      </c>
      <c r="Z943" s="16">
        <f t="shared" si="181"/>
        <v>63.636222500000002</v>
      </c>
      <c r="AA943" s="17">
        <f t="shared" si="182"/>
        <v>4000</v>
      </c>
      <c r="AB943" s="10">
        <v>1672</v>
      </c>
      <c r="AC943" s="18">
        <f t="shared" si="183"/>
        <v>17555.961063300001</v>
      </c>
      <c r="AD943" s="12">
        <f t="shared" si="186"/>
        <v>3264</v>
      </c>
      <c r="AE943" s="13">
        <f t="shared" si="184"/>
        <v>736</v>
      </c>
    </row>
    <row r="944" spans="1:31">
      <c r="A944" s="6">
        <v>3</v>
      </c>
      <c r="B944" s="6">
        <f t="shared" si="185"/>
        <v>34</v>
      </c>
      <c r="C944" s="6" t="str">
        <f t="shared" si="176"/>
        <v>603171100BTAPE, ADHESIVE, TERAOKA TERAOKA NO.560S 243225434494950000</v>
      </c>
      <c r="D944" s="7" t="s">
        <v>231</v>
      </c>
      <c r="E944" s="6" t="s">
        <v>50</v>
      </c>
      <c r="F944" s="6"/>
      <c r="G944" s="7" t="s">
        <v>12</v>
      </c>
      <c r="H944" s="19"/>
      <c r="I944" s="19"/>
      <c r="J944" s="19"/>
      <c r="K944" s="19"/>
      <c r="L944" s="14">
        <v>4322543</v>
      </c>
      <c r="M944" s="22">
        <v>44949</v>
      </c>
      <c r="N944" s="19" t="s">
        <v>196</v>
      </c>
      <c r="O944" s="19" t="s">
        <v>333</v>
      </c>
      <c r="P944" s="15">
        <v>50000</v>
      </c>
      <c r="Q944" s="15">
        <v>313478.62</v>
      </c>
      <c r="R944" s="15">
        <v>87082900</v>
      </c>
      <c r="S944" s="15">
        <v>15</v>
      </c>
      <c r="T944" s="19" t="s">
        <v>325</v>
      </c>
      <c r="U944" s="19" t="s">
        <v>178</v>
      </c>
      <c r="V944" s="16">
        <f t="shared" si="177"/>
        <v>47021.792999999998</v>
      </c>
      <c r="W944" s="16">
        <f t="shared" si="178"/>
        <v>4702.1792999999998</v>
      </c>
      <c r="X944" s="16">
        <f t="shared" si="179"/>
        <v>51723.972299999994</v>
      </c>
      <c r="Y944" s="16">
        <f t="shared" si="180"/>
        <v>1.034479446</v>
      </c>
      <c r="Z944" s="16">
        <f t="shared" si="181"/>
        <v>6.2695723999999995</v>
      </c>
      <c r="AA944" s="17">
        <f t="shared" si="182"/>
        <v>50000</v>
      </c>
      <c r="AB944" s="10">
        <v>1000</v>
      </c>
      <c r="AC944" s="18">
        <f t="shared" si="183"/>
        <v>1034.4794460000001</v>
      </c>
      <c r="AD944" s="12">
        <f t="shared" si="186"/>
        <v>1000</v>
      </c>
      <c r="AE944" s="13">
        <f t="shared" si="184"/>
        <v>49000</v>
      </c>
    </row>
    <row r="945" spans="1:31">
      <c r="A945" s="6">
        <v>3</v>
      </c>
      <c r="B945" s="6">
        <f t="shared" si="185"/>
        <v>35</v>
      </c>
      <c r="C945" s="6" t="str">
        <f t="shared" si="176"/>
        <v>603171100BTAPE, ADHESIVE, TERAOKA TERAOKA NO.560S 254873344502850000</v>
      </c>
      <c r="D945" s="7" t="s">
        <v>231</v>
      </c>
      <c r="E945" s="6" t="s">
        <v>50</v>
      </c>
      <c r="F945" s="6"/>
      <c r="G945" s="7" t="s">
        <v>12</v>
      </c>
      <c r="H945" s="19"/>
      <c r="I945" s="19"/>
      <c r="J945" s="19"/>
      <c r="K945" s="19"/>
      <c r="L945" s="14">
        <v>5487334</v>
      </c>
      <c r="M945" s="22">
        <v>45028</v>
      </c>
      <c r="N945" s="19" t="s">
        <v>196</v>
      </c>
      <c r="O945" s="19" t="s">
        <v>333</v>
      </c>
      <c r="P945" s="15">
        <v>50000</v>
      </c>
      <c r="Q945" s="15">
        <v>312855.31</v>
      </c>
      <c r="R945" s="15">
        <v>87089500</v>
      </c>
      <c r="S945" s="15">
        <v>15</v>
      </c>
      <c r="T945" s="19" t="s">
        <v>325</v>
      </c>
      <c r="U945" s="19" t="s">
        <v>178</v>
      </c>
      <c r="V945" s="16">
        <f t="shared" si="177"/>
        <v>46928.296499999997</v>
      </c>
      <c r="W945" s="16">
        <f t="shared" si="178"/>
        <v>4692.8296499999997</v>
      </c>
      <c r="X945" s="16">
        <f t="shared" si="179"/>
        <v>51621.126149999996</v>
      </c>
      <c r="Y945" s="16">
        <f t="shared" si="180"/>
        <v>1.0324225229999999</v>
      </c>
      <c r="Z945" s="16">
        <f t="shared" si="181"/>
        <v>6.2571062</v>
      </c>
      <c r="AA945" s="17">
        <f t="shared" si="182"/>
        <v>50000</v>
      </c>
      <c r="AB945" s="10">
        <v>422</v>
      </c>
      <c r="AC945" s="18">
        <f t="shared" si="183"/>
        <v>435.68230470599997</v>
      </c>
      <c r="AD945" s="12">
        <f t="shared" si="186"/>
        <v>1000.2</v>
      </c>
      <c r="AE945" s="13">
        <f t="shared" si="184"/>
        <v>48999.8</v>
      </c>
    </row>
    <row r="946" spans="1:31">
      <c r="A946" s="6">
        <v>3</v>
      </c>
      <c r="B946" s="6">
        <f t="shared" si="185"/>
        <v>36</v>
      </c>
      <c r="C946" s="6" t="str">
        <f t="shared" si="176"/>
        <v>649421100AINFLATOR, ASP-5.1, P20, SRR, IMI, SERV, NO STUDS4095144449283456</v>
      </c>
      <c r="D946" s="7" t="s">
        <v>231</v>
      </c>
      <c r="E946" s="6" t="s">
        <v>469</v>
      </c>
      <c r="F946" s="6"/>
      <c r="G946" s="7" t="s">
        <v>16</v>
      </c>
      <c r="H946" s="19"/>
      <c r="I946" s="19"/>
      <c r="J946" s="19"/>
      <c r="K946" s="19"/>
      <c r="L946" s="14">
        <v>4095144</v>
      </c>
      <c r="M946" s="22">
        <v>44928</v>
      </c>
      <c r="N946" s="19" t="s">
        <v>199</v>
      </c>
      <c r="O946" s="19" t="s">
        <v>333</v>
      </c>
      <c r="P946" s="15">
        <v>3456</v>
      </c>
      <c r="Q946" s="15">
        <v>672531.36</v>
      </c>
      <c r="R946" s="15">
        <v>87089500</v>
      </c>
      <c r="S946" s="15">
        <v>15</v>
      </c>
      <c r="T946" s="19" t="s">
        <v>202</v>
      </c>
      <c r="U946" s="19" t="s">
        <v>200</v>
      </c>
      <c r="V946" s="16">
        <f t="shared" si="177"/>
        <v>100879.704</v>
      </c>
      <c r="W946" s="16">
        <f t="shared" si="178"/>
        <v>10087.9704</v>
      </c>
      <c r="X946" s="16">
        <f t="shared" si="179"/>
        <v>110967.6744</v>
      </c>
      <c r="Y946" s="16">
        <f t="shared" si="180"/>
        <v>32.108702083333334</v>
      </c>
      <c r="Z946" s="16">
        <f t="shared" si="181"/>
        <v>194.59819444444443</v>
      </c>
      <c r="AA946" s="17">
        <f t="shared" si="182"/>
        <v>3456</v>
      </c>
      <c r="AB946" s="10">
        <v>2448</v>
      </c>
      <c r="AC946" s="18">
        <f t="shared" si="183"/>
        <v>78602.102700000003</v>
      </c>
      <c r="AD946" s="12">
        <f t="shared" si="186"/>
        <v>3456</v>
      </c>
      <c r="AE946" s="13">
        <f t="shared" si="184"/>
        <v>0</v>
      </c>
    </row>
    <row r="947" spans="1:31">
      <c r="A947" s="6">
        <v>3</v>
      </c>
      <c r="B947" s="6">
        <f t="shared" si="185"/>
        <v>37</v>
      </c>
      <c r="C947" s="6" t="str">
        <f t="shared" si="176"/>
        <v>653328100ACUSHION, C AND S, SIDE, LH, BUTTON HOLE STYLE, S4469811449605760</v>
      </c>
      <c r="D947" s="7" t="s">
        <v>231</v>
      </c>
      <c r="E947" s="6" t="s">
        <v>53</v>
      </c>
      <c r="F947" s="6"/>
      <c r="G947" s="19" t="s">
        <v>13</v>
      </c>
      <c r="H947" s="19"/>
      <c r="I947" s="19"/>
      <c r="J947" s="19"/>
      <c r="K947" s="19"/>
      <c r="L947" s="14" t="s">
        <v>84</v>
      </c>
      <c r="M947" s="22">
        <v>44960</v>
      </c>
      <c r="N947" s="19" t="e">
        <v>#N/A</v>
      </c>
      <c r="O947" s="19" t="e">
        <v>#N/A</v>
      </c>
      <c r="P947" s="15">
        <v>5760</v>
      </c>
      <c r="Q947" s="15">
        <v>4924515.53</v>
      </c>
      <c r="R947" s="15" t="e">
        <v>#N/A</v>
      </c>
      <c r="S947" s="15">
        <v>5</v>
      </c>
      <c r="T947" s="19" t="e">
        <v>#N/A</v>
      </c>
      <c r="U947" s="19" t="e">
        <v>#N/A</v>
      </c>
      <c r="V947" s="16">
        <f t="shared" si="177"/>
        <v>246225.77650000004</v>
      </c>
      <c r="W947" s="16">
        <f t="shared" si="178"/>
        <v>24622.577650000007</v>
      </c>
      <c r="X947" s="16">
        <f t="shared" si="179"/>
        <v>270848.35415000003</v>
      </c>
      <c r="Y947" s="16">
        <f t="shared" si="180"/>
        <v>47.022283706597229</v>
      </c>
      <c r="Z947" s="16">
        <f t="shared" si="181"/>
        <v>854.95061284722226</v>
      </c>
      <c r="AA947" s="17">
        <f t="shared" si="182"/>
        <v>5760</v>
      </c>
      <c r="AB947" s="10">
        <v>2608</v>
      </c>
      <c r="AC947" s="18">
        <f t="shared" si="183"/>
        <v>122634.11590680557</v>
      </c>
      <c r="AD947" s="12">
        <f t="shared" si="186"/>
        <v>5760</v>
      </c>
      <c r="AE947" s="13">
        <f t="shared" si="184"/>
        <v>0</v>
      </c>
    </row>
    <row r="948" spans="1:31">
      <c r="A948" s="6">
        <v>3</v>
      </c>
      <c r="B948" s="6">
        <f t="shared" si="185"/>
        <v>38</v>
      </c>
      <c r="C948" s="6" t="str">
        <f t="shared" si="176"/>
        <v>621343500CNUT, ISO, M5, NYLON INSE NYLON INSERT417070644928390000</v>
      </c>
      <c r="D948" s="7" t="s">
        <v>232</v>
      </c>
      <c r="E948" s="6" t="s">
        <v>45</v>
      </c>
      <c r="F948" s="6"/>
      <c r="G948" s="7" t="s">
        <v>7</v>
      </c>
      <c r="H948" s="19"/>
      <c r="I948" s="19"/>
      <c r="J948" s="19"/>
      <c r="K948" s="19"/>
      <c r="L948" s="14">
        <v>4170706</v>
      </c>
      <c r="M948" s="22">
        <v>44928</v>
      </c>
      <c r="N948" s="19" t="s">
        <v>196</v>
      </c>
      <c r="O948" s="19" t="s">
        <v>332</v>
      </c>
      <c r="P948" s="15">
        <v>390000</v>
      </c>
      <c r="Q948" s="15">
        <v>806536.88</v>
      </c>
      <c r="R948" s="15">
        <v>87089500</v>
      </c>
      <c r="S948" s="15">
        <v>15</v>
      </c>
      <c r="T948" s="19" t="s">
        <v>301</v>
      </c>
      <c r="U948" s="19" t="s">
        <v>178</v>
      </c>
      <c r="V948" s="16">
        <f t="shared" si="177"/>
        <v>120980.53199999999</v>
      </c>
      <c r="W948" s="16">
        <f t="shared" si="178"/>
        <v>12098.0532</v>
      </c>
      <c r="X948" s="16">
        <f t="shared" si="179"/>
        <v>133078.5852</v>
      </c>
      <c r="Y948" s="16">
        <f t="shared" si="180"/>
        <v>0.34122714153846156</v>
      </c>
      <c r="Z948" s="16">
        <f t="shared" si="181"/>
        <v>2.0680432820512822</v>
      </c>
      <c r="AA948" s="17">
        <f t="shared" si="182"/>
        <v>390000</v>
      </c>
      <c r="AB948" s="10">
        <v>10368</v>
      </c>
      <c r="AC948" s="18">
        <f t="shared" si="183"/>
        <v>3537.8430034707694</v>
      </c>
      <c r="AD948" s="12">
        <f t="shared" si="186"/>
        <v>385128</v>
      </c>
      <c r="AE948" s="13">
        <f t="shared" si="184"/>
        <v>4872</v>
      </c>
    </row>
    <row r="949" spans="1:31">
      <c r="A949" s="6">
        <v>4</v>
      </c>
      <c r="B949" s="6">
        <v>1</v>
      </c>
      <c r="C949" s="6" t="str">
        <f t="shared" si="176"/>
        <v>643302000AINFLATOR, ADP-1.3B, MP, MIB, SQUARE, NO STUD4946913449936912</v>
      </c>
      <c r="D949" s="7" t="s">
        <v>232</v>
      </c>
      <c r="E949" s="6" t="s">
        <v>46</v>
      </c>
      <c r="F949" s="6"/>
      <c r="G949" s="7" t="s">
        <v>8</v>
      </c>
      <c r="H949" s="19"/>
      <c r="I949" s="19"/>
      <c r="J949" s="19"/>
      <c r="K949" s="19"/>
      <c r="L949" s="14">
        <v>4946913</v>
      </c>
      <c r="M949" s="22">
        <v>44993</v>
      </c>
      <c r="N949" s="19" t="s">
        <v>199</v>
      </c>
      <c r="O949" s="19" t="s">
        <v>333</v>
      </c>
      <c r="P949" s="15">
        <v>6912</v>
      </c>
      <c r="Q949" s="15">
        <v>1466083.43</v>
      </c>
      <c r="R949" s="15">
        <v>87089500</v>
      </c>
      <c r="S949" s="15">
        <v>15</v>
      </c>
      <c r="T949" s="19" t="s">
        <v>202</v>
      </c>
      <c r="U949" s="19" t="s">
        <v>200</v>
      </c>
      <c r="V949" s="16">
        <f t="shared" si="177"/>
        <v>219912.51449999999</v>
      </c>
      <c r="W949" s="16">
        <f t="shared" si="178"/>
        <v>21991.25145</v>
      </c>
      <c r="X949" s="16">
        <f t="shared" si="179"/>
        <v>241903.76595</v>
      </c>
      <c r="Y949" s="16">
        <f t="shared" si="180"/>
        <v>34.997651323784723</v>
      </c>
      <c r="Z949" s="16">
        <f t="shared" si="181"/>
        <v>212.10697771990741</v>
      </c>
      <c r="AA949" s="17">
        <f t="shared" si="182"/>
        <v>6912</v>
      </c>
      <c r="AB949" s="10">
        <v>2592</v>
      </c>
      <c r="AC949" s="18">
        <f t="shared" si="183"/>
        <v>90713.912231249997</v>
      </c>
      <c r="AD949" s="12">
        <f t="shared" si="186"/>
        <v>6912</v>
      </c>
      <c r="AE949" s="13">
        <f t="shared" si="184"/>
        <v>0</v>
      </c>
    </row>
    <row r="950" spans="1:31">
      <c r="A950" s="6">
        <v>4</v>
      </c>
      <c r="B950" s="6">
        <f t="shared" si="185"/>
        <v>2</v>
      </c>
      <c r="C950" s="6" t="str">
        <f t="shared" si="176"/>
        <v>570028800FNUT, ISO, M5, LOCK, THRE LOCK, THREE SIDED TAMPER393103644928624000</v>
      </c>
      <c r="D950" s="7" t="s">
        <v>232</v>
      </c>
      <c r="E950" s="6" t="s">
        <v>47</v>
      </c>
      <c r="F950" s="6"/>
      <c r="G950" s="7" t="s">
        <v>9</v>
      </c>
      <c r="H950" s="19"/>
      <c r="I950" s="19"/>
      <c r="J950" s="19"/>
      <c r="K950" s="19"/>
      <c r="L950" s="14">
        <v>3931036</v>
      </c>
      <c r="M950" s="22">
        <v>44928</v>
      </c>
      <c r="N950" s="19" t="s">
        <v>185</v>
      </c>
      <c r="O950" s="19" t="s">
        <v>332</v>
      </c>
      <c r="P950" s="15">
        <v>624000</v>
      </c>
      <c r="Q950" s="15">
        <v>1155867.1000000001</v>
      </c>
      <c r="R950" s="15">
        <v>87089500</v>
      </c>
      <c r="S950" s="15">
        <v>15</v>
      </c>
      <c r="T950" s="19" t="s">
        <v>302</v>
      </c>
      <c r="U950" s="19" t="s">
        <v>178</v>
      </c>
      <c r="V950" s="16">
        <f t="shared" si="177"/>
        <v>173380.065</v>
      </c>
      <c r="W950" s="16">
        <f t="shared" si="178"/>
        <v>17338.0065</v>
      </c>
      <c r="X950" s="16">
        <f t="shared" si="179"/>
        <v>190718.07149999999</v>
      </c>
      <c r="Y950" s="16">
        <f t="shared" si="180"/>
        <v>0.30563793509615383</v>
      </c>
      <c r="Z950" s="16">
        <f t="shared" si="181"/>
        <v>1.852351121794872</v>
      </c>
      <c r="AA950" s="17">
        <f t="shared" si="182"/>
        <v>624000</v>
      </c>
      <c r="AB950" s="10">
        <v>6912</v>
      </c>
      <c r="AC950" s="18">
        <f t="shared" si="183"/>
        <v>2112.5694073846153</v>
      </c>
      <c r="AD950" s="12">
        <f t="shared" si="186"/>
        <v>227952</v>
      </c>
      <c r="AE950" s="13">
        <f t="shared" si="184"/>
        <v>396048</v>
      </c>
    </row>
    <row r="951" spans="1:31">
      <c r="A951" s="6">
        <v>4</v>
      </c>
      <c r="B951" s="6">
        <f t="shared" si="185"/>
        <v>3</v>
      </c>
      <c r="C951" s="6" t="str">
        <f t="shared" si="176"/>
        <v>632955901AINFLATORS, APP-4.6 38556944491719008</v>
      </c>
      <c r="D951" s="7" t="s">
        <v>232</v>
      </c>
      <c r="E951" s="6" t="s">
        <v>48</v>
      </c>
      <c r="F951" s="6"/>
      <c r="G951" s="7" t="s">
        <v>10</v>
      </c>
      <c r="H951" s="19"/>
      <c r="I951" s="19"/>
      <c r="J951" s="19"/>
      <c r="K951" s="19"/>
      <c r="L951" s="14">
        <v>3855694</v>
      </c>
      <c r="M951" s="22">
        <v>44917</v>
      </c>
      <c r="N951" s="19" t="s">
        <v>185</v>
      </c>
      <c r="O951" s="19" t="s">
        <v>332</v>
      </c>
      <c r="P951" s="15">
        <v>19008</v>
      </c>
      <c r="Q951" s="15">
        <v>7453543.8499999996</v>
      </c>
      <c r="R951" s="15">
        <v>87089500</v>
      </c>
      <c r="S951" s="15">
        <v>15</v>
      </c>
      <c r="T951" s="19" t="s">
        <v>203</v>
      </c>
      <c r="U951" s="19" t="s">
        <v>200</v>
      </c>
      <c r="V951" s="16">
        <f t="shared" si="177"/>
        <v>1118031.5774999999</v>
      </c>
      <c r="W951" s="16">
        <f t="shared" si="178"/>
        <v>111803.15775</v>
      </c>
      <c r="X951" s="16">
        <f t="shared" si="179"/>
        <v>1229834.7352499999</v>
      </c>
      <c r="Y951" s="16">
        <f t="shared" si="180"/>
        <v>64.700901475694437</v>
      </c>
      <c r="Z951" s="16">
        <f t="shared" si="181"/>
        <v>392.12667561026933</v>
      </c>
      <c r="AA951" s="17">
        <f t="shared" si="182"/>
        <v>19008</v>
      </c>
      <c r="AB951" s="10">
        <v>1728</v>
      </c>
      <c r="AC951" s="18">
        <f t="shared" si="183"/>
        <v>111803.15774999998</v>
      </c>
      <c r="AD951" s="12">
        <f t="shared" si="186"/>
        <v>19008</v>
      </c>
      <c r="AE951" s="13">
        <f t="shared" si="184"/>
        <v>0</v>
      </c>
    </row>
    <row r="952" spans="1:31">
      <c r="A952" s="6">
        <v>4</v>
      </c>
      <c r="B952" s="6">
        <f t="shared" si="185"/>
        <v>4</v>
      </c>
      <c r="C952" s="6" t="str">
        <f t="shared" si="176"/>
        <v>655116100ALABEL, BLANK, 50.0, 25.0  LABEL, BLANK, 2PCS, 50X42294544483145000</v>
      </c>
      <c r="D952" s="7" t="s">
        <v>232</v>
      </c>
      <c r="E952" s="6" t="s">
        <v>49</v>
      </c>
      <c r="F952" s="6"/>
      <c r="G952" s="7" t="s">
        <v>11</v>
      </c>
      <c r="H952" s="19"/>
      <c r="I952" s="19"/>
      <c r="J952" s="19"/>
      <c r="K952" s="19"/>
      <c r="L952" s="14">
        <v>4229454</v>
      </c>
      <c r="M952" s="22">
        <v>44831</v>
      </c>
      <c r="N952" s="19" t="s">
        <v>196</v>
      </c>
      <c r="O952" s="19" t="s">
        <v>333</v>
      </c>
      <c r="P952" s="15">
        <v>45000</v>
      </c>
      <c r="Q952" s="15">
        <v>127149.27</v>
      </c>
      <c r="R952" s="15">
        <v>87089500</v>
      </c>
      <c r="S952" s="15">
        <v>15</v>
      </c>
      <c r="T952" s="19" t="s">
        <v>303</v>
      </c>
      <c r="U952" s="19" t="s">
        <v>178</v>
      </c>
      <c r="V952" s="16">
        <f t="shared" si="177"/>
        <v>19072.390500000001</v>
      </c>
      <c r="W952" s="16">
        <f t="shared" si="178"/>
        <v>1907.2390500000001</v>
      </c>
      <c r="X952" s="16">
        <f t="shared" si="179"/>
        <v>20979.629550000001</v>
      </c>
      <c r="Y952" s="16">
        <f t="shared" si="180"/>
        <v>0.46621399000000002</v>
      </c>
      <c r="Z952" s="16">
        <f t="shared" si="181"/>
        <v>2.8255393333333334</v>
      </c>
      <c r="AA952" s="17">
        <f t="shared" si="182"/>
        <v>45000</v>
      </c>
      <c r="AB952" s="10">
        <v>1728</v>
      </c>
      <c r="AC952" s="18">
        <f t="shared" si="183"/>
        <v>805.61777472000006</v>
      </c>
      <c r="AD952" s="12">
        <f t="shared" si="186"/>
        <v>45000</v>
      </c>
      <c r="AE952" s="13">
        <f t="shared" si="184"/>
        <v>0</v>
      </c>
    </row>
    <row r="953" spans="1:31">
      <c r="A953" s="6">
        <v>4</v>
      </c>
      <c r="B953" s="6">
        <f t="shared" si="185"/>
        <v>5</v>
      </c>
      <c r="C953" s="6" t="str">
        <f t="shared" si="176"/>
        <v>609183701ASTUD, M6 X 1.0, 16.0561310344974140000</v>
      </c>
      <c r="D953" s="7" t="s">
        <v>232</v>
      </c>
      <c r="E953" s="6" t="s">
        <v>51</v>
      </c>
      <c r="F953" s="6"/>
      <c r="G953" s="7" t="s">
        <v>411</v>
      </c>
      <c r="H953" s="19"/>
      <c r="I953" s="19"/>
      <c r="J953" s="19"/>
      <c r="K953" s="19"/>
      <c r="L953" s="14">
        <v>5613103</v>
      </c>
      <c r="M953" s="22">
        <v>44974</v>
      </c>
      <c r="N953" s="19" t="s">
        <v>185</v>
      </c>
      <c r="O953" s="19" t="s">
        <v>332</v>
      </c>
      <c r="P953" s="15">
        <v>140000</v>
      </c>
      <c r="Q953" s="15">
        <v>402663.89</v>
      </c>
      <c r="R953" s="15">
        <v>87082900</v>
      </c>
      <c r="S953" s="15">
        <v>15</v>
      </c>
      <c r="T953" s="19" t="s">
        <v>304</v>
      </c>
      <c r="U953" s="19" t="s">
        <v>178</v>
      </c>
      <c r="V953" s="16">
        <f t="shared" si="177"/>
        <v>60399.583500000001</v>
      </c>
      <c r="W953" s="16">
        <f t="shared" si="178"/>
        <v>6039.9583500000008</v>
      </c>
      <c r="X953" s="16">
        <f t="shared" si="179"/>
        <v>66439.541850000009</v>
      </c>
      <c r="Y953" s="16">
        <f t="shared" si="180"/>
        <v>0.47456815607142866</v>
      </c>
      <c r="Z953" s="16">
        <f t="shared" si="181"/>
        <v>2.8761706428571427</v>
      </c>
      <c r="AA953" s="17">
        <f t="shared" si="182"/>
        <v>140000</v>
      </c>
      <c r="AB953" s="10">
        <v>4608</v>
      </c>
      <c r="AC953" s="18">
        <f t="shared" si="183"/>
        <v>2186.8100631771431</v>
      </c>
      <c r="AD953" s="12">
        <f t="shared" si="186"/>
        <v>140000</v>
      </c>
      <c r="AE953" s="13">
        <f t="shared" si="184"/>
        <v>0</v>
      </c>
    </row>
    <row r="954" spans="1:31">
      <c r="A954" s="6">
        <v>4</v>
      </c>
      <c r="B954" s="6">
        <f t="shared" si="185"/>
        <v>6</v>
      </c>
      <c r="C954" s="6" t="str">
        <f t="shared" si="176"/>
        <v>616531900ARING, CRIMP, CLAMP, BAND466647844973100000</v>
      </c>
      <c r="D954" s="7" t="s">
        <v>232</v>
      </c>
      <c r="E954" s="6" t="s">
        <v>52</v>
      </c>
      <c r="F954" s="6"/>
      <c r="G954" s="7" t="s">
        <v>410</v>
      </c>
      <c r="H954" s="19"/>
      <c r="I954" s="19"/>
      <c r="J954" s="19"/>
      <c r="K954" s="19"/>
      <c r="L954" s="14">
        <v>4666478</v>
      </c>
      <c r="M954" s="22">
        <v>44973</v>
      </c>
      <c r="N954" s="19" t="s">
        <v>199</v>
      </c>
      <c r="O954" s="19" t="s">
        <v>333</v>
      </c>
      <c r="P954" s="15">
        <v>100000</v>
      </c>
      <c r="Q954" s="15">
        <v>1733493.63</v>
      </c>
      <c r="R954" s="15">
        <v>87089500</v>
      </c>
      <c r="S954" s="15">
        <v>15</v>
      </c>
      <c r="T954" s="19" t="s">
        <v>305</v>
      </c>
      <c r="U954" s="19" t="s">
        <v>178</v>
      </c>
      <c r="V954" s="16">
        <f t="shared" si="177"/>
        <v>260024.04449999996</v>
      </c>
      <c r="W954" s="16">
        <f t="shared" si="178"/>
        <v>26002.404449999998</v>
      </c>
      <c r="X954" s="16">
        <f t="shared" si="179"/>
        <v>286026.44894999993</v>
      </c>
      <c r="Y954" s="16">
        <f t="shared" si="180"/>
        <v>2.8602644894999991</v>
      </c>
      <c r="Z954" s="16">
        <f t="shared" si="181"/>
        <v>17.334936299999999</v>
      </c>
      <c r="AA954" s="17">
        <f t="shared" si="182"/>
        <v>100000</v>
      </c>
      <c r="AB954" s="10">
        <v>4608</v>
      </c>
      <c r="AC954" s="18">
        <f t="shared" si="183"/>
        <v>13180.098767615997</v>
      </c>
      <c r="AD954" s="12">
        <f t="shared" si="186"/>
        <v>100000</v>
      </c>
      <c r="AE954" s="13">
        <f t="shared" si="184"/>
        <v>0</v>
      </c>
    </row>
    <row r="955" spans="1:31">
      <c r="A955" s="6">
        <v>4</v>
      </c>
      <c r="B955" s="6">
        <f t="shared" si="185"/>
        <v>7</v>
      </c>
      <c r="C955" s="6" t="str">
        <f t="shared" si="176"/>
        <v>PC47516-3810SNAP-IN-FASTENER, PUSH P PUSH PIN, BLACK43773094523742000</v>
      </c>
      <c r="D955" s="7" t="s">
        <v>232</v>
      </c>
      <c r="E955" s="6" t="s">
        <v>54</v>
      </c>
      <c r="F955" s="6"/>
      <c r="G955" s="7" t="s">
        <v>14</v>
      </c>
      <c r="H955" s="19"/>
      <c r="I955" s="19"/>
      <c r="J955" s="19"/>
      <c r="K955" s="19"/>
      <c r="L955" s="14">
        <v>4377309</v>
      </c>
      <c r="M955" s="22">
        <v>45237</v>
      </c>
      <c r="N955" s="19" t="s">
        <v>196</v>
      </c>
      <c r="O955" s="19" t="s">
        <v>333</v>
      </c>
      <c r="P955" s="15">
        <v>42000</v>
      </c>
      <c r="Q955" s="15">
        <v>48121.48</v>
      </c>
      <c r="R955" s="15">
        <v>87089500</v>
      </c>
      <c r="S955" s="15">
        <v>15</v>
      </c>
      <c r="T955" s="19" t="s">
        <v>306</v>
      </c>
      <c r="U955" s="19" t="s">
        <v>178</v>
      </c>
      <c r="V955" s="16">
        <f t="shared" si="177"/>
        <v>7218.2220000000007</v>
      </c>
      <c r="W955" s="16">
        <f t="shared" si="178"/>
        <v>721.82220000000007</v>
      </c>
      <c r="X955" s="16">
        <f t="shared" si="179"/>
        <v>7940.0442000000003</v>
      </c>
      <c r="Y955" s="16">
        <f t="shared" si="180"/>
        <v>0.18904867142857143</v>
      </c>
      <c r="Z955" s="16">
        <f t="shared" si="181"/>
        <v>1.1457495238095239</v>
      </c>
      <c r="AA955" s="17">
        <f t="shared" si="182"/>
        <v>42000</v>
      </c>
      <c r="AB955" s="10">
        <v>2304</v>
      </c>
      <c r="AC955" s="18">
        <f t="shared" si="183"/>
        <v>435.5681389714286</v>
      </c>
      <c r="AD955" s="12">
        <f t="shared" si="186"/>
        <v>41976</v>
      </c>
      <c r="AE955" s="13">
        <f t="shared" si="184"/>
        <v>24</v>
      </c>
    </row>
    <row r="956" spans="1:31">
      <c r="A956" s="6">
        <v>4</v>
      </c>
      <c r="B956" s="6">
        <f t="shared" si="185"/>
        <v>8</v>
      </c>
      <c r="C956" s="6" t="str">
        <f t="shared" si="176"/>
        <v>566098600CWEBBING PIN, RETRACTOR, AGB, AGB-95POM FARBE:SCH432749644950120000</v>
      </c>
      <c r="D956" s="7" t="s">
        <v>232</v>
      </c>
      <c r="E956" s="6" t="s">
        <v>57</v>
      </c>
      <c r="F956" s="6"/>
      <c r="G956" s="7" t="s">
        <v>17</v>
      </c>
      <c r="H956" s="19"/>
      <c r="I956" s="19"/>
      <c r="J956" s="19"/>
      <c r="K956" s="19"/>
      <c r="L956" s="14">
        <v>4327496</v>
      </c>
      <c r="M956" s="22">
        <v>44950</v>
      </c>
      <c r="N956" s="19" t="s">
        <v>199</v>
      </c>
      <c r="O956" s="19" t="s">
        <v>332</v>
      </c>
      <c r="P956" s="15">
        <v>120000</v>
      </c>
      <c r="Q956" s="15">
        <v>117311.7</v>
      </c>
      <c r="R956" s="15">
        <v>87082900</v>
      </c>
      <c r="S956" s="15">
        <v>15</v>
      </c>
      <c r="T956" s="19" t="s">
        <v>307</v>
      </c>
      <c r="U956" s="19" t="s">
        <v>178</v>
      </c>
      <c r="V956" s="16">
        <f t="shared" si="177"/>
        <v>17596.754999999997</v>
      </c>
      <c r="W956" s="16">
        <f t="shared" si="178"/>
        <v>1759.6754999999998</v>
      </c>
      <c r="X956" s="16">
        <f t="shared" si="179"/>
        <v>19356.430499999999</v>
      </c>
      <c r="Y956" s="16">
        <f t="shared" si="180"/>
        <v>0.16130358749999998</v>
      </c>
      <c r="Z956" s="16">
        <f t="shared" si="181"/>
        <v>0.97759750000000001</v>
      </c>
      <c r="AA956" s="17">
        <f t="shared" si="182"/>
        <v>120000</v>
      </c>
      <c r="AB956" s="10">
        <v>4560</v>
      </c>
      <c r="AC956" s="18">
        <f t="shared" si="183"/>
        <v>735.54435899999987</v>
      </c>
      <c r="AD956" s="12">
        <f t="shared" si="186"/>
        <v>86652</v>
      </c>
      <c r="AE956" s="13">
        <f t="shared" si="184"/>
        <v>33348</v>
      </c>
    </row>
    <row r="957" spans="1:31">
      <c r="A957" s="6">
        <v>4</v>
      </c>
      <c r="B957" s="6">
        <f t="shared" si="185"/>
        <v>9</v>
      </c>
      <c r="C957" s="6" t="str">
        <f t="shared" si="176"/>
        <v>566253211EADAPTER, CAR SENS, RETRA ALL VERSIONS390969644984216000</v>
      </c>
      <c r="D957" s="7" t="s">
        <v>232</v>
      </c>
      <c r="E957" s="6" t="s">
        <v>58</v>
      </c>
      <c r="F957" s="6"/>
      <c r="G957" s="7" t="s">
        <v>18</v>
      </c>
      <c r="H957" s="19"/>
      <c r="I957" s="19"/>
      <c r="J957" s="19"/>
      <c r="K957" s="19"/>
      <c r="L957" s="14">
        <v>3909696</v>
      </c>
      <c r="M957" s="22">
        <v>44984</v>
      </c>
      <c r="N957" s="19" t="s">
        <v>199</v>
      </c>
      <c r="O957" s="19" t="s">
        <v>332</v>
      </c>
      <c r="P957" s="15">
        <v>216000</v>
      </c>
      <c r="Q957" s="15">
        <v>549354.86</v>
      </c>
      <c r="R957" s="15">
        <v>87082900</v>
      </c>
      <c r="S957" s="15">
        <v>15</v>
      </c>
      <c r="T957" s="19" t="s">
        <v>308</v>
      </c>
      <c r="U957" s="19" t="s">
        <v>178</v>
      </c>
      <c r="V957" s="16">
        <f t="shared" si="177"/>
        <v>82403.228999999992</v>
      </c>
      <c r="W957" s="16">
        <f t="shared" si="178"/>
        <v>8240.3228999999992</v>
      </c>
      <c r="X957" s="16">
        <f t="shared" si="179"/>
        <v>90643.551899999991</v>
      </c>
      <c r="Y957" s="16">
        <f t="shared" si="180"/>
        <v>0.41964607361111106</v>
      </c>
      <c r="Z957" s="16">
        <f t="shared" si="181"/>
        <v>2.5433095370370369</v>
      </c>
      <c r="AA957" s="17">
        <f t="shared" si="182"/>
        <v>216000</v>
      </c>
      <c r="AB957" s="10">
        <v>4560</v>
      </c>
      <c r="AC957" s="18">
        <f t="shared" si="183"/>
        <v>1913.5860956666663</v>
      </c>
      <c r="AD957" s="12">
        <f t="shared" si="186"/>
        <v>86652</v>
      </c>
      <c r="AE957" s="13">
        <f t="shared" si="184"/>
        <v>129348</v>
      </c>
    </row>
    <row r="958" spans="1:31">
      <c r="A958" s="6">
        <v>4</v>
      </c>
      <c r="B958" s="6">
        <f t="shared" si="185"/>
        <v>10</v>
      </c>
      <c r="C958" s="6" t="str">
        <f t="shared" si="176"/>
        <v>566305721BSPRING, SHEET, LEAF, RET ALL VERSIONS, WS ECE4742807449445000</v>
      </c>
      <c r="D958" s="7" t="s">
        <v>232</v>
      </c>
      <c r="E958" s="6" t="s">
        <v>59</v>
      </c>
      <c r="F958" s="6"/>
      <c r="G958" s="7" t="s">
        <v>19</v>
      </c>
      <c r="H958" s="19"/>
      <c r="I958" s="19"/>
      <c r="J958" s="19"/>
      <c r="K958" s="19"/>
      <c r="L958" s="14">
        <v>4742807</v>
      </c>
      <c r="M958" s="22">
        <v>44944</v>
      </c>
      <c r="N958" s="19" t="s">
        <v>196</v>
      </c>
      <c r="O958" s="19" t="s">
        <v>337</v>
      </c>
      <c r="P958" s="15">
        <v>5000</v>
      </c>
      <c r="Q958" s="15">
        <v>143362.42000000001</v>
      </c>
      <c r="R958" s="15">
        <v>87082900</v>
      </c>
      <c r="S958" s="15">
        <v>15</v>
      </c>
      <c r="T958" s="19" t="s">
        <v>309</v>
      </c>
      <c r="U958" s="19" t="s">
        <v>178</v>
      </c>
      <c r="V958" s="16">
        <f t="shared" si="177"/>
        <v>21504.363000000001</v>
      </c>
      <c r="W958" s="16">
        <f t="shared" si="178"/>
        <v>2150.4363000000003</v>
      </c>
      <c r="X958" s="16">
        <f t="shared" si="179"/>
        <v>23654.799300000002</v>
      </c>
      <c r="Y958" s="16">
        <f t="shared" si="180"/>
        <v>4.7309598600000005</v>
      </c>
      <c r="Z958" s="16">
        <f t="shared" si="181"/>
        <v>28.672484000000004</v>
      </c>
      <c r="AA958" s="17">
        <f t="shared" si="182"/>
        <v>5000</v>
      </c>
      <c r="AB958" s="10">
        <v>77.52000000000001</v>
      </c>
      <c r="AC958" s="18">
        <f t="shared" si="183"/>
        <v>366.74400834720007</v>
      </c>
      <c r="AD958" s="12">
        <f t="shared" si="186"/>
        <v>1540.98</v>
      </c>
      <c r="AE958" s="13">
        <v>0</v>
      </c>
    </row>
    <row r="959" spans="1:31">
      <c r="A959" s="6">
        <v>4</v>
      </c>
      <c r="B959" s="6">
        <f t="shared" si="185"/>
        <v>11</v>
      </c>
      <c r="C959" s="6" t="str">
        <f t="shared" si="176"/>
        <v>600188700BLEVER, WEB SENS, RETRACT ALL VERSIONS421599144956270000</v>
      </c>
      <c r="D959" s="7" t="s">
        <v>232</v>
      </c>
      <c r="E959" s="6" t="s">
        <v>60</v>
      </c>
      <c r="F959" s="6"/>
      <c r="G959" s="7" t="s">
        <v>20</v>
      </c>
      <c r="H959" s="19"/>
      <c r="I959" s="19"/>
      <c r="J959" s="19"/>
      <c r="K959" s="19"/>
      <c r="L959" s="14">
        <v>4215991</v>
      </c>
      <c r="M959" s="22">
        <v>44956</v>
      </c>
      <c r="N959" s="19" t="s">
        <v>199</v>
      </c>
      <c r="O959" s="19" t="s">
        <v>332</v>
      </c>
      <c r="P959" s="15">
        <v>270000</v>
      </c>
      <c r="Q959" s="15">
        <v>1513733.76</v>
      </c>
      <c r="R959" s="15">
        <v>87082900</v>
      </c>
      <c r="S959" s="15">
        <v>15</v>
      </c>
      <c r="T959" s="19" t="s">
        <v>310</v>
      </c>
      <c r="U959" s="19" t="s">
        <v>178</v>
      </c>
      <c r="V959" s="16">
        <f t="shared" si="177"/>
        <v>227060.06399999998</v>
      </c>
      <c r="W959" s="16">
        <f t="shared" si="178"/>
        <v>22706.006399999998</v>
      </c>
      <c r="X959" s="16">
        <f t="shared" si="179"/>
        <v>249766.07039999997</v>
      </c>
      <c r="Y959" s="16">
        <f t="shared" si="180"/>
        <v>0.92505951999999991</v>
      </c>
      <c r="Z959" s="16">
        <f t="shared" si="181"/>
        <v>5.6064213333333335</v>
      </c>
      <c r="AA959" s="17">
        <f t="shared" si="182"/>
        <v>270000</v>
      </c>
      <c r="AB959" s="10">
        <v>4560</v>
      </c>
      <c r="AC959" s="18">
        <f t="shared" si="183"/>
        <v>4218.2714111999994</v>
      </c>
      <c r="AD959" s="12">
        <f t="shared" si="186"/>
        <v>86652</v>
      </c>
      <c r="AE959" s="13">
        <f t="shared" si="184"/>
        <v>183348</v>
      </c>
    </row>
    <row r="960" spans="1:31">
      <c r="A960" s="6">
        <v>4</v>
      </c>
      <c r="B960" s="6">
        <f t="shared" si="185"/>
        <v>12</v>
      </c>
      <c r="C960" s="6" t="str">
        <f t="shared" si="176"/>
        <v>601182600ASPINDLE, RETRACTOR, R27, STD43790984493343008</v>
      </c>
      <c r="D960" s="7" t="s">
        <v>232</v>
      </c>
      <c r="E960" s="6" t="s">
        <v>61</v>
      </c>
      <c r="F960" s="6"/>
      <c r="G960" s="7" t="s">
        <v>21</v>
      </c>
      <c r="H960" s="19"/>
      <c r="I960" s="19"/>
      <c r="J960" s="19"/>
      <c r="K960" s="19"/>
      <c r="L960" s="14">
        <v>4379098</v>
      </c>
      <c r="M960" s="22">
        <v>44933</v>
      </c>
      <c r="N960" s="19" t="s">
        <v>185</v>
      </c>
      <c r="O960" s="19" t="s">
        <v>332</v>
      </c>
      <c r="P960" s="15">
        <v>43008</v>
      </c>
      <c r="Q960" s="15">
        <v>1835488.61</v>
      </c>
      <c r="R960" s="15">
        <v>87082900</v>
      </c>
      <c r="S960" s="15">
        <v>15</v>
      </c>
      <c r="T960" s="19" t="s">
        <v>311</v>
      </c>
      <c r="U960" s="19" t="s">
        <v>178</v>
      </c>
      <c r="V960" s="16">
        <f t="shared" si="177"/>
        <v>275323.29149999999</v>
      </c>
      <c r="W960" s="16">
        <f t="shared" si="178"/>
        <v>27532.329150000001</v>
      </c>
      <c r="X960" s="16">
        <f t="shared" si="179"/>
        <v>302855.62065</v>
      </c>
      <c r="Y960" s="16">
        <f t="shared" si="180"/>
        <v>7.0418438581194192</v>
      </c>
      <c r="Z960" s="16">
        <f t="shared" si="181"/>
        <v>42.677841564360122</v>
      </c>
      <c r="AA960" s="17">
        <f t="shared" si="182"/>
        <v>43008</v>
      </c>
      <c r="AB960" s="10">
        <v>4560</v>
      </c>
      <c r="AC960" s="18">
        <f t="shared" si="183"/>
        <v>32110.807993024551</v>
      </c>
      <c r="AD960" s="12">
        <f t="shared" si="186"/>
        <v>43008</v>
      </c>
      <c r="AE960" s="13">
        <f t="shared" si="184"/>
        <v>0</v>
      </c>
    </row>
    <row r="961" spans="1:31">
      <c r="A961" s="6">
        <v>4</v>
      </c>
      <c r="B961" s="6">
        <f t="shared" si="185"/>
        <v>13</v>
      </c>
      <c r="C961" s="6" t="str">
        <f t="shared" si="176"/>
        <v>601256700GBUSH, RETRACTOR, R27, AL ALL VERSIONS405080544944160000</v>
      </c>
      <c r="D961" s="7" t="s">
        <v>232</v>
      </c>
      <c r="E961" s="6" t="s">
        <v>62</v>
      </c>
      <c r="F961" s="6"/>
      <c r="G961" s="7" t="s">
        <v>22</v>
      </c>
      <c r="H961" s="19"/>
      <c r="I961" s="19"/>
      <c r="J961" s="19"/>
      <c r="K961" s="19"/>
      <c r="L961" s="14">
        <v>4050805</v>
      </c>
      <c r="M961" s="22">
        <v>44944</v>
      </c>
      <c r="N961" s="19" t="s">
        <v>196</v>
      </c>
      <c r="O961" s="19" t="s">
        <v>333</v>
      </c>
      <c r="P961" s="15">
        <v>160000</v>
      </c>
      <c r="Q961" s="15">
        <v>278597.26</v>
      </c>
      <c r="R961" s="15">
        <v>87082900</v>
      </c>
      <c r="S961" s="15">
        <v>15</v>
      </c>
      <c r="T961" s="19" t="s">
        <v>312</v>
      </c>
      <c r="U961" s="19" t="s">
        <v>178</v>
      </c>
      <c r="V961" s="16">
        <f t="shared" si="177"/>
        <v>41789.589</v>
      </c>
      <c r="W961" s="16">
        <f t="shared" si="178"/>
        <v>4178.9589000000005</v>
      </c>
      <c r="X961" s="16">
        <f t="shared" si="179"/>
        <v>45968.547899999998</v>
      </c>
      <c r="Y961" s="16">
        <f t="shared" si="180"/>
        <v>0.287303424375</v>
      </c>
      <c r="Z961" s="16">
        <f t="shared" si="181"/>
        <v>1.7412328750000001</v>
      </c>
      <c r="AA961" s="17">
        <f t="shared" si="182"/>
        <v>160000</v>
      </c>
      <c r="AB961" s="10">
        <v>4560</v>
      </c>
      <c r="AC961" s="18">
        <f t="shared" si="183"/>
        <v>1310.10361515</v>
      </c>
      <c r="AD961" s="12">
        <f t="shared" si="186"/>
        <v>86652</v>
      </c>
      <c r="AE961" s="13">
        <f t="shared" si="184"/>
        <v>73348</v>
      </c>
    </row>
    <row r="962" spans="1:31">
      <c r="A962" s="6">
        <v>4</v>
      </c>
      <c r="B962" s="6">
        <f t="shared" si="185"/>
        <v>14</v>
      </c>
      <c r="C962" s="6" t="str">
        <f t="shared" ref="C962:C1025" si="187">E962&amp;G962&amp;L962&amp;M962&amp;P962</f>
        <v>601472600ALATCH, RETRACTOR, R27, A ALL VERSIONS421598844951162000</v>
      </c>
      <c r="D962" s="7" t="s">
        <v>232</v>
      </c>
      <c r="E962" s="6" t="s">
        <v>63</v>
      </c>
      <c r="F962" s="6"/>
      <c r="G962" s="7" t="s">
        <v>23</v>
      </c>
      <c r="H962" s="19"/>
      <c r="I962" s="19"/>
      <c r="J962" s="19"/>
      <c r="K962" s="19"/>
      <c r="L962" s="14">
        <v>4215988</v>
      </c>
      <c r="M962" s="22">
        <v>44951</v>
      </c>
      <c r="N962" s="19" t="s">
        <v>199</v>
      </c>
      <c r="O962" s="19" t="s">
        <v>332</v>
      </c>
      <c r="P962" s="15">
        <v>162000</v>
      </c>
      <c r="Q962" s="15">
        <v>1167023.94</v>
      </c>
      <c r="R962" s="15">
        <v>87082900</v>
      </c>
      <c r="S962" s="15">
        <v>15</v>
      </c>
      <c r="T962" s="19" t="s">
        <v>313</v>
      </c>
      <c r="U962" s="19" t="s">
        <v>178</v>
      </c>
      <c r="V962" s="16">
        <f t="shared" si="177"/>
        <v>175053.59099999999</v>
      </c>
      <c r="W962" s="16">
        <f t="shared" si="178"/>
        <v>17505.359099999998</v>
      </c>
      <c r="X962" s="16">
        <f t="shared" si="179"/>
        <v>192558.95009999999</v>
      </c>
      <c r="Y962" s="16">
        <f t="shared" si="180"/>
        <v>1.1886354944444444</v>
      </c>
      <c r="Z962" s="16">
        <f t="shared" si="181"/>
        <v>7.2038514814814816</v>
      </c>
      <c r="AA962" s="17">
        <f t="shared" si="182"/>
        <v>162000</v>
      </c>
      <c r="AB962" s="10">
        <v>4560</v>
      </c>
      <c r="AC962" s="18">
        <f t="shared" si="183"/>
        <v>5420.1778546666665</v>
      </c>
      <c r="AD962" s="12">
        <f t="shared" si="186"/>
        <v>86652</v>
      </c>
      <c r="AE962" s="13">
        <f t="shared" si="184"/>
        <v>75348</v>
      </c>
    </row>
    <row r="963" spans="1:31">
      <c r="A963" s="6">
        <v>4</v>
      </c>
      <c r="B963" s="6">
        <f t="shared" si="185"/>
        <v>15</v>
      </c>
      <c r="C963" s="6" t="str">
        <f t="shared" si="187"/>
        <v>601487200CCOVER, RETRACTOR, R27, S SYSTEMKAPPE DELRIN 100T43274964495048000</v>
      </c>
      <c r="D963" s="7" t="s">
        <v>232</v>
      </c>
      <c r="E963" s="6" t="s">
        <v>64</v>
      </c>
      <c r="F963" s="6"/>
      <c r="G963" s="7" t="s">
        <v>24</v>
      </c>
      <c r="H963" s="19"/>
      <c r="I963" s="19"/>
      <c r="J963" s="19"/>
      <c r="K963" s="19"/>
      <c r="L963" s="14">
        <v>4327496</v>
      </c>
      <c r="M963" s="22">
        <v>44950</v>
      </c>
      <c r="N963" s="19" t="s">
        <v>199</v>
      </c>
      <c r="O963" s="19" t="s">
        <v>332</v>
      </c>
      <c r="P963" s="15">
        <v>48000</v>
      </c>
      <c r="Q963" s="15">
        <v>514349.16</v>
      </c>
      <c r="R963" s="15">
        <v>87082900</v>
      </c>
      <c r="S963" s="15">
        <v>15</v>
      </c>
      <c r="T963" s="19" t="s">
        <v>307</v>
      </c>
      <c r="U963" s="19" t="s">
        <v>178</v>
      </c>
      <c r="V963" s="16">
        <f t="shared" si="177"/>
        <v>77152.373999999996</v>
      </c>
      <c r="W963" s="16">
        <f t="shared" si="178"/>
        <v>7715.2374</v>
      </c>
      <c r="X963" s="16">
        <f t="shared" si="179"/>
        <v>84867.611399999994</v>
      </c>
      <c r="Y963" s="16">
        <f t="shared" si="180"/>
        <v>1.7680752375</v>
      </c>
      <c r="Z963" s="16">
        <f t="shared" si="181"/>
        <v>10.715607499999999</v>
      </c>
      <c r="AA963" s="17">
        <f t="shared" si="182"/>
        <v>48000</v>
      </c>
      <c r="AB963" s="10">
        <v>4560</v>
      </c>
      <c r="AC963" s="18">
        <f t="shared" si="183"/>
        <v>8062.4230829999997</v>
      </c>
      <c r="AD963" s="12">
        <f t="shared" si="186"/>
        <v>47964</v>
      </c>
      <c r="AE963" s="13">
        <f t="shared" si="184"/>
        <v>36</v>
      </c>
    </row>
    <row r="964" spans="1:31">
      <c r="A964" s="6">
        <v>4</v>
      </c>
      <c r="B964" s="6">
        <f t="shared" si="185"/>
        <v>16</v>
      </c>
      <c r="C964" s="6" t="str">
        <f t="shared" si="187"/>
        <v>605151600ASPRING, SHEET, LEAF, RET ALL VERSIONS, WS US407852744933100000</v>
      </c>
      <c r="D964" s="7" t="s">
        <v>232</v>
      </c>
      <c r="E964" s="6" t="s">
        <v>65</v>
      </c>
      <c r="F964" s="6"/>
      <c r="G964" s="7" t="s">
        <v>25</v>
      </c>
      <c r="H964" s="19"/>
      <c r="I964" s="19"/>
      <c r="J964" s="19"/>
      <c r="K964" s="19"/>
      <c r="L964" s="14">
        <v>4078527</v>
      </c>
      <c r="M964" s="22">
        <v>44933</v>
      </c>
      <c r="N964" s="19" t="s">
        <v>196</v>
      </c>
      <c r="O964" s="19" t="s">
        <v>333</v>
      </c>
      <c r="P964" s="15">
        <v>100000</v>
      </c>
      <c r="Q964" s="15">
        <v>147318.03</v>
      </c>
      <c r="R964" s="15">
        <v>87082900</v>
      </c>
      <c r="S964" s="15">
        <v>15</v>
      </c>
      <c r="T964" s="19" t="s">
        <v>314</v>
      </c>
      <c r="U964" s="19" t="s">
        <v>178</v>
      </c>
      <c r="V964" s="16">
        <f t="shared" ref="V964:V1027" si="188">Q964*S964%</f>
        <v>22097.7045</v>
      </c>
      <c r="W964" s="16">
        <f t="shared" ref="W964:W1027" si="189">V964*0.1</f>
        <v>2209.77045</v>
      </c>
      <c r="X964" s="16">
        <f t="shared" ref="X964:X1027" si="190">V964+W964</f>
        <v>24307.47495</v>
      </c>
      <c r="Y964" s="16">
        <f t="shared" ref="Y964:Y1027" si="191">X964/P964</f>
        <v>0.24307474949999999</v>
      </c>
      <c r="Z964" s="16">
        <f t="shared" ref="Z964:Z1027" si="192">Q964/P964</f>
        <v>1.4731802999999999</v>
      </c>
      <c r="AA964" s="17">
        <f t="shared" ref="AA964:AA1027" si="193">P964</f>
        <v>100000</v>
      </c>
      <c r="AB964" s="10">
        <v>4560</v>
      </c>
      <c r="AC964" s="18">
        <f t="shared" ref="AC964:AC1027" si="194">AB964*Y964</f>
        <v>1108.42085772</v>
      </c>
      <c r="AD964" s="12">
        <f t="shared" si="186"/>
        <v>86652</v>
      </c>
      <c r="AE964" s="13">
        <f t="shared" ref="AE964:AE1027" si="195">AA964-AD964</f>
        <v>13348</v>
      </c>
    </row>
    <row r="965" spans="1:31">
      <c r="A965" s="6">
        <v>4</v>
      </c>
      <c r="B965" s="6">
        <f t="shared" ref="B965:B1028" si="196">B964+1</f>
        <v>17</v>
      </c>
      <c r="C965" s="6" t="str">
        <f t="shared" si="187"/>
        <v>605555507ESTEERING DISC NATURE WHITE717838944902100800</v>
      </c>
      <c r="D965" s="7" t="s">
        <v>232</v>
      </c>
      <c r="E965" s="6" t="s">
        <v>66</v>
      </c>
      <c r="F965" s="6"/>
      <c r="G965" s="7" t="s">
        <v>26</v>
      </c>
      <c r="H965" s="19"/>
      <c r="I965" s="19"/>
      <c r="J965" s="19"/>
      <c r="K965" s="19"/>
      <c r="L965" s="14">
        <v>7178389</v>
      </c>
      <c r="M965" s="22">
        <v>44902</v>
      </c>
      <c r="N965" s="19" t="s">
        <v>185</v>
      </c>
      <c r="O965" s="19" t="s">
        <v>332</v>
      </c>
      <c r="P965" s="15">
        <v>100800</v>
      </c>
      <c r="Q965" s="15">
        <v>397158.13</v>
      </c>
      <c r="R965" s="15">
        <v>87082900</v>
      </c>
      <c r="S965" s="15">
        <v>15</v>
      </c>
      <c r="T965" s="19" t="s">
        <v>315</v>
      </c>
      <c r="U965" s="19" t="s">
        <v>178</v>
      </c>
      <c r="V965" s="16">
        <f t="shared" si="188"/>
        <v>59573.719499999999</v>
      </c>
      <c r="W965" s="16">
        <f t="shared" si="189"/>
        <v>5957.3719500000007</v>
      </c>
      <c r="X965" s="16">
        <f t="shared" si="190"/>
        <v>65531.09145</v>
      </c>
      <c r="Y965" s="16">
        <f t="shared" si="191"/>
        <v>0.65011003422619051</v>
      </c>
      <c r="Z965" s="16">
        <f t="shared" si="192"/>
        <v>3.9400608134920634</v>
      </c>
      <c r="AA965" s="17">
        <f t="shared" si="193"/>
        <v>100800</v>
      </c>
      <c r="AB965" s="10">
        <v>4560</v>
      </c>
      <c r="AC965" s="18">
        <f t="shared" si="194"/>
        <v>2964.5017560714286</v>
      </c>
      <c r="AD965" s="12">
        <f t="shared" si="186"/>
        <v>80292</v>
      </c>
      <c r="AE965" s="13">
        <f t="shared" si="195"/>
        <v>20508</v>
      </c>
    </row>
    <row r="966" spans="1:31">
      <c r="A966" s="6">
        <v>4</v>
      </c>
      <c r="B966" s="6">
        <f t="shared" si="196"/>
        <v>18</v>
      </c>
      <c r="C966" s="6" t="str">
        <f t="shared" si="187"/>
        <v>618470500EBEARING, CAR SENS, RETRA All Versions, Noise redu408531144933170000</v>
      </c>
      <c r="D966" s="7" t="s">
        <v>232</v>
      </c>
      <c r="E966" s="6" t="s">
        <v>68</v>
      </c>
      <c r="F966" s="6"/>
      <c r="G966" s="7" t="s">
        <v>28</v>
      </c>
      <c r="H966" s="19"/>
      <c r="I966" s="19"/>
      <c r="J966" s="19"/>
      <c r="K966" s="19"/>
      <c r="L966" s="14">
        <v>4085311</v>
      </c>
      <c r="M966" s="22">
        <v>44933</v>
      </c>
      <c r="N966" s="19" t="s">
        <v>196</v>
      </c>
      <c r="O966" s="19" t="s">
        <v>333</v>
      </c>
      <c r="P966" s="15">
        <v>170000</v>
      </c>
      <c r="Q966" s="15">
        <v>305828.40000000002</v>
      </c>
      <c r="R966" s="15">
        <v>87082900</v>
      </c>
      <c r="S966" s="15">
        <v>15</v>
      </c>
      <c r="T966" s="19" t="s">
        <v>316</v>
      </c>
      <c r="U966" s="19" t="s">
        <v>178</v>
      </c>
      <c r="V966" s="16">
        <f t="shared" si="188"/>
        <v>45874.26</v>
      </c>
      <c r="W966" s="16">
        <f t="shared" si="189"/>
        <v>4587.4260000000004</v>
      </c>
      <c r="X966" s="16">
        <f t="shared" si="190"/>
        <v>50461.686000000002</v>
      </c>
      <c r="Y966" s="16">
        <f t="shared" si="191"/>
        <v>0.29683344705882353</v>
      </c>
      <c r="Z966" s="16">
        <f t="shared" si="192"/>
        <v>1.7989905882352943</v>
      </c>
      <c r="AA966" s="17">
        <f t="shared" si="193"/>
        <v>170000</v>
      </c>
      <c r="AB966" s="10">
        <v>4560</v>
      </c>
      <c r="AC966" s="18">
        <f t="shared" si="194"/>
        <v>1353.5605185882353</v>
      </c>
      <c r="AD966" s="12">
        <f t="shared" si="186"/>
        <v>61944</v>
      </c>
      <c r="AE966" s="13">
        <f t="shared" si="195"/>
        <v>108056</v>
      </c>
    </row>
    <row r="967" spans="1:31">
      <c r="A967" s="6">
        <v>4</v>
      </c>
      <c r="B967" s="6">
        <f t="shared" si="196"/>
        <v>19</v>
      </c>
      <c r="C967" s="6" t="str">
        <f t="shared" si="187"/>
        <v>618472000BLEVER, CAR SENS, RETRACT ALL VERSIONS, NOISE REDU408531144933170000</v>
      </c>
      <c r="D967" s="7" t="s">
        <v>232</v>
      </c>
      <c r="E967" s="6" t="s">
        <v>69</v>
      </c>
      <c r="F967" s="6"/>
      <c r="G967" s="7" t="s">
        <v>29</v>
      </c>
      <c r="H967" s="19"/>
      <c r="I967" s="19"/>
      <c r="J967" s="19"/>
      <c r="K967" s="19"/>
      <c r="L967" s="14">
        <v>4085311</v>
      </c>
      <c r="M967" s="22">
        <v>44933</v>
      </c>
      <c r="N967" s="19" t="s">
        <v>196</v>
      </c>
      <c r="O967" s="19" t="s">
        <v>333</v>
      </c>
      <c r="P967" s="15">
        <v>170000</v>
      </c>
      <c r="Q967" s="15">
        <v>247799.42</v>
      </c>
      <c r="R967" s="15">
        <v>87082900</v>
      </c>
      <c r="S967" s="15">
        <v>15</v>
      </c>
      <c r="T967" s="19" t="s">
        <v>316</v>
      </c>
      <c r="U967" s="19" t="s">
        <v>178</v>
      </c>
      <c r="V967" s="16">
        <f t="shared" si="188"/>
        <v>37169.913</v>
      </c>
      <c r="W967" s="16">
        <f t="shared" si="189"/>
        <v>3716.9913000000001</v>
      </c>
      <c r="X967" s="16">
        <f t="shared" si="190"/>
        <v>40886.904300000002</v>
      </c>
      <c r="Y967" s="16">
        <f t="shared" si="191"/>
        <v>0.24051120176470589</v>
      </c>
      <c r="Z967" s="16">
        <f t="shared" si="192"/>
        <v>1.4576436470588237</v>
      </c>
      <c r="AA967" s="17">
        <f t="shared" si="193"/>
        <v>170000</v>
      </c>
      <c r="AB967" s="10">
        <v>4560</v>
      </c>
      <c r="AC967" s="18">
        <f t="shared" si="194"/>
        <v>1096.7310800470589</v>
      </c>
      <c r="AD967" s="12">
        <f t="shared" si="186"/>
        <v>86652</v>
      </c>
      <c r="AE967" s="13">
        <f t="shared" si="195"/>
        <v>83348</v>
      </c>
    </row>
    <row r="968" spans="1:31">
      <c r="A968" s="6">
        <v>4</v>
      </c>
      <c r="B968" s="6">
        <f t="shared" si="196"/>
        <v>20</v>
      </c>
      <c r="C968" s="6" t="str">
        <f t="shared" si="187"/>
        <v>618472300CMASS, CAR SENS, RETRACTO ALL VERSIONS, CAR 2-PIN406183045012209560</v>
      </c>
      <c r="D968" s="7" t="s">
        <v>232</v>
      </c>
      <c r="E968" s="6" t="s">
        <v>70</v>
      </c>
      <c r="F968" s="6"/>
      <c r="G968" s="7" t="s">
        <v>30</v>
      </c>
      <c r="H968" s="19"/>
      <c r="I968" s="19"/>
      <c r="J968" s="19"/>
      <c r="K968" s="19"/>
      <c r="L968" s="14">
        <v>4061830</v>
      </c>
      <c r="M968" s="22">
        <v>45012</v>
      </c>
      <c r="N968" s="19" t="s">
        <v>196</v>
      </c>
      <c r="O968" s="19" t="s">
        <v>333</v>
      </c>
      <c r="P968" s="15">
        <v>209560</v>
      </c>
      <c r="Q968" s="15">
        <v>786307.66</v>
      </c>
      <c r="R968" s="15">
        <v>87082900</v>
      </c>
      <c r="S968" s="15">
        <v>15</v>
      </c>
      <c r="T968" s="19" t="s">
        <v>317</v>
      </c>
      <c r="U968" s="19" t="s">
        <v>178</v>
      </c>
      <c r="V968" s="16">
        <f t="shared" si="188"/>
        <v>117946.149</v>
      </c>
      <c r="W968" s="16">
        <f t="shared" si="189"/>
        <v>11794.6149</v>
      </c>
      <c r="X968" s="16">
        <f t="shared" si="190"/>
        <v>129740.76390000001</v>
      </c>
      <c r="Y968" s="16">
        <f t="shared" si="191"/>
        <v>0.61911034500858941</v>
      </c>
      <c r="Z968" s="16">
        <f t="shared" si="192"/>
        <v>3.7521839091429663</v>
      </c>
      <c r="AA968" s="17">
        <f t="shared" si="193"/>
        <v>209560</v>
      </c>
      <c r="AB968" s="10">
        <v>4560</v>
      </c>
      <c r="AC968" s="18">
        <f t="shared" si="194"/>
        <v>2823.1431732391679</v>
      </c>
      <c r="AD968" s="12">
        <f t="shared" si="186"/>
        <v>86652</v>
      </c>
      <c r="AE968" s="13">
        <f t="shared" si="195"/>
        <v>122908</v>
      </c>
    </row>
    <row r="969" spans="1:31">
      <c r="A969" s="6">
        <v>4</v>
      </c>
      <c r="B969" s="6">
        <f t="shared" si="196"/>
        <v>21</v>
      </c>
      <c r="C969" s="6" t="str">
        <f t="shared" si="187"/>
        <v>630580800ALABEL, RAW MATERIAL, BLA K12 TPC BUCKLE5160585449362400000</v>
      </c>
      <c r="D969" s="7" t="s">
        <v>232</v>
      </c>
      <c r="E969" s="6" t="s">
        <v>71</v>
      </c>
      <c r="F969" s="6"/>
      <c r="G969" s="7" t="s">
        <v>31</v>
      </c>
      <c r="H969" s="19"/>
      <c r="I969" s="19"/>
      <c r="J969" s="19"/>
      <c r="K969" s="19"/>
      <c r="L969" s="14">
        <v>5160585</v>
      </c>
      <c r="M969" s="22">
        <v>44936</v>
      </c>
      <c r="N969" s="19" t="s">
        <v>196</v>
      </c>
      <c r="O969" s="19" t="s">
        <v>333</v>
      </c>
      <c r="P969" s="15">
        <v>2400000</v>
      </c>
      <c r="Q969" s="15">
        <v>86522.34</v>
      </c>
      <c r="R969" s="15">
        <v>87082900</v>
      </c>
      <c r="S969" s="15">
        <v>15</v>
      </c>
      <c r="T969" s="19" t="s">
        <v>265</v>
      </c>
      <c r="U969" s="19" t="s">
        <v>178</v>
      </c>
      <c r="V969" s="16">
        <f t="shared" si="188"/>
        <v>12978.350999999999</v>
      </c>
      <c r="W969" s="16">
        <f t="shared" si="189"/>
        <v>1297.8351</v>
      </c>
      <c r="X969" s="16">
        <f t="shared" si="190"/>
        <v>14276.186099999999</v>
      </c>
      <c r="Y969" s="16">
        <f t="shared" si="191"/>
        <v>5.9484108749999999E-3</v>
      </c>
      <c r="Z969" s="16">
        <f t="shared" si="192"/>
        <v>3.6050974999999999E-2</v>
      </c>
      <c r="AA969" s="17">
        <f t="shared" si="193"/>
        <v>2400000</v>
      </c>
      <c r="AB969" s="10">
        <v>10512</v>
      </c>
      <c r="AC969" s="18">
        <f t="shared" si="194"/>
        <v>62.529695117999999</v>
      </c>
      <c r="AD969" s="12">
        <f t="shared" si="186"/>
        <v>548546</v>
      </c>
      <c r="AE969" s="13">
        <f t="shared" si="195"/>
        <v>1851454</v>
      </c>
    </row>
    <row r="970" spans="1:31">
      <c r="A970" s="6">
        <v>4</v>
      </c>
      <c r="B970" s="6">
        <f t="shared" si="196"/>
        <v>22</v>
      </c>
      <c r="C970" s="6" t="str">
        <f t="shared" si="187"/>
        <v>560050622CCHANNEL, BUCKLE, K12 ROA K12A/AT, RIVET BUCKLE, S505596944994224000</v>
      </c>
      <c r="D970" s="7" t="s">
        <v>232</v>
      </c>
      <c r="E970" s="6" t="s">
        <v>72</v>
      </c>
      <c r="F970" s="6"/>
      <c r="G970" s="7" t="s">
        <v>32</v>
      </c>
      <c r="H970" s="19"/>
      <c r="I970" s="19"/>
      <c r="J970" s="19"/>
      <c r="K970" s="19"/>
      <c r="L970" s="14">
        <v>5055969</v>
      </c>
      <c r="M970" s="22">
        <v>44994</v>
      </c>
      <c r="N970" s="19" t="s">
        <v>197</v>
      </c>
      <c r="O970" s="19" t="s">
        <v>333</v>
      </c>
      <c r="P970" s="15">
        <v>224000</v>
      </c>
      <c r="Q970" s="15">
        <v>3980591.44</v>
      </c>
      <c r="R970" s="15">
        <v>87082900</v>
      </c>
      <c r="S970" s="15">
        <v>15</v>
      </c>
      <c r="T970" s="19" t="s">
        <v>318</v>
      </c>
      <c r="U970" s="19" t="s">
        <v>178</v>
      </c>
      <c r="V970" s="16">
        <f t="shared" si="188"/>
        <v>597088.71600000001</v>
      </c>
      <c r="W970" s="16">
        <f t="shared" si="189"/>
        <v>59708.871600000006</v>
      </c>
      <c r="X970" s="16">
        <f t="shared" si="190"/>
        <v>656797.58759999997</v>
      </c>
      <c r="Y970" s="16">
        <f t="shared" si="191"/>
        <v>2.9321320874999999</v>
      </c>
      <c r="Z970" s="16">
        <f t="shared" si="192"/>
        <v>17.770497500000001</v>
      </c>
      <c r="AA970" s="17">
        <f t="shared" si="193"/>
        <v>224000</v>
      </c>
      <c r="AB970" s="10">
        <v>3968</v>
      </c>
      <c r="AC970" s="18">
        <f t="shared" si="194"/>
        <v>11634.7001232</v>
      </c>
      <c r="AD970" s="12">
        <f t="shared" si="186"/>
        <v>67232</v>
      </c>
      <c r="AE970" s="13">
        <f t="shared" si="195"/>
        <v>156768</v>
      </c>
    </row>
    <row r="971" spans="1:31">
      <c r="A971" s="6">
        <v>4</v>
      </c>
      <c r="B971" s="6">
        <f t="shared" si="196"/>
        <v>23</v>
      </c>
      <c r="C971" s="6" t="str">
        <f t="shared" si="187"/>
        <v>560130122ASPRING, WIRE, COMPRESSIO K12A/AT495151045028300000</v>
      </c>
      <c r="D971" s="7" t="s">
        <v>232</v>
      </c>
      <c r="E971" s="6" t="s">
        <v>73</v>
      </c>
      <c r="F971" s="6"/>
      <c r="G971" s="7" t="s">
        <v>33</v>
      </c>
      <c r="H971" s="19"/>
      <c r="I971" s="19"/>
      <c r="J971" s="19"/>
      <c r="K971" s="19"/>
      <c r="L971" s="14">
        <v>4951510</v>
      </c>
      <c r="M971" s="22">
        <v>45028</v>
      </c>
      <c r="N971" s="19" t="s">
        <v>199</v>
      </c>
      <c r="O971" s="19" t="s">
        <v>332</v>
      </c>
      <c r="P971" s="15">
        <v>300000</v>
      </c>
      <c r="Q971" s="15">
        <v>285155.93</v>
      </c>
      <c r="R971" s="15">
        <v>87082900</v>
      </c>
      <c r="S971" s="15">
        <v>15</v>
      </c>
      <c r="T971" s="19" t="s">
        <v>319</v>
      </c>
      <c r="U971" s="19" t="s">
        <v>178</v>
      </c>
      <c r="V971" s="16">
        <f t="shared" si="188"/>
        <v>42773.389499999997</v>
      </c>
      <c r="W971" s="16">
        <f t="shared" si="189"/>
        <v>4277.3389500000003</v>
      </c>
      <c r="X971" s="16">
        <f t="shared" si="190"/>
        <v>47050.728449999995</v>
      </c>
      <c r="Y971" s="16">
        <f t="shared" si="191"/>
        <v>0.15683576149999998</v>
      </c>
      <c r="Z971" s="16">
        <f t="shared" si="192"/>
        <v>0.9505197666666666</v>
      </c>
      <c r="AA971" s="17">
        <f t="shared" si="193"/>
        <v>300000</v>
      </c>
      <c r="AB971" s="10">
        <v>3968</v>
      </c>
      <c r="AC971" s="18">
        <f t="shared" si="194"/>
        <v>622.3243016319999</v>
      </c>
      <c r="AD971" s="12">
        <f t="shared" si="186"/>
        <v>94048</v>
      </c>
      <c r="AE971" s="13">
        <f t="shared" si="195"/>
        <v>205952</v>
      </c>
    </row>
    <row r="972" spans="1:31">
      <c r="A972" s="6">
        <v>4</v>
      </c>
      <c r="B972" s="6">
        <f t="shared" si="196"/>
        <v>24</v>
      </c>
      <c r="C972" s="6" t="str">
        <f t="shared" si="187"/>
        <v>560762022ALATCH, BUCKLE, K12 ROADM K12A/AT, SILVER, LATCH W54569304493980000</v>
      </c>
      <c r="D972" s="7" t="s">
        <v>232</v>
      </c>
      <c r="E972" s="6" t="s">
        <v>74</v>
      </c>
      <c r="F972" s="6"/>
      <c r="G972" s="7" t="s">
        <v>34</v>
      </c>
      <c r="H972" s="19"/>
      <c r="I972" s="19"/>
      <c r="J972" s="19"/>
      <c r="K972" s="19"/>
      <c r="L972" s="14">
        <v>5456930</v>
      </c>
      <c r="M972" s="22">
        <v>44939</v>
      </c>
      <c r="N972" s="19" t="s">
        <v>185</v>
      </c>
      <c r="O972" s="19" t="s">
        <v>332</v>
      </c>
      <c r="P972" s="15">
        <v>80000</v>
      </c>
      <c r="Q972" s="15">
        <v>680240</v>
      </c>
      <c r="R972" s="15">
        <v>87082900</v>
      </c>
      <c r="S972" s="15">
        <v>15</v>
      </c>
      <c r="T972" s="19" t="s">
        <v>320</v>
      </c>
      <c r="U972" s="19" t="s">
        <v>178</v>
      </c>
      <c r="V972" s="16">
        <f t="shared" si="188"/>
        <v>102036</v>
      </c>
      <c r="W972" s="16">
        <f t="shared" si="189"/>
        <v>10203.6</v>
      </c>
      <c r="X972" s="16">
        <f t="shared" si="190"/>
        <v>112239.6</v>
      </c>
      <c r="Y972" s="16">
        <f t="shared" si="191"/>
        <v>1.402995</v>
      </c>
      <c r="Z972" s="16">
        <f t="shared" si="192"/>
        <v>8.5030000000000001</v>
      </c>
      <c r="AA972" s="17">
        <f t="shared" si="193"/>
        <v>80000</v>
      </c>
      <c r="AB972" s="10">
        <v>3968</v>
      </c>
      <c r="AC972" s="18">
        <f t="shared" si="194"/>
        <v>5567.0841600000003</v>
      </c>
      <c r="AD972" s="12">
        <f t="shared" si="186"/>
        <v>74976</v>
      </c>
      <c r="AE972" s="13">
        <f t="shared" si="195"/>
        <v>5024</v>
      </c>
    </row>
    <row r="973" spans="1:31">
      <c r="A973" s="6">
        <v>4</v>
      </c>
      <c r="B973" s="6">
        <f t="shared" si="196"/>
        <v>25</v>
      </c>
      <c r="C973" s="6" t="str">
        <f t="shared" si="187"/>
        <v>604213200ALOCKING BAR, BUCKLE, K12 K12A/AT, L=34.3, silver415111844909306000</v>
      </c>
      <c r="D973" s="7" t="s">
        <v>232</v>
      </c>
      <c r="E973" s="6" t="s">
        <v>75</v>
      </c>
      <c r="F973" s="6"/>
      <c r="G973" s="7" t="s">
        <v>35</v>
      </c>
      <c r="H973" s="19"/>
      <c r="I973" s="19"/>
      <c r="J973" s="19"/>
      <c r="K973" s="19"/>
      <c r="L973" s="14">
        <v>4151118</v>
      </c>
      <c r="M973" s="22">
        <v>44909</v>
      </c>
      <c r="N973" s="19" t="s">
        <v>199</v>
      </c>
      <c r="O973" s="19" t="s">
        <v>332</v>
      </c>
      <c r="P973" s="15">
        <v>306000</v>
      </c>
      <c r="Q973" s="15">
        <v>347494.89</v>
      </c>
      <c r="R973" s="15">
        <v>87082900</v>
      </c>
      <c r="S973" s="15">
        <v>15</v>
      </c>
      <c r="T973" s="19" t="s">
        <v>319</v>
      </c>
      <c r="U973" s="19" t="s">
        <v>178</v>
      </c>
      <c r="V973" s="16">
        <f t="shared" si="188"/>
        <v>52124.233500000002</v>
      </c>
      <c r="W973" s="16">
        <f t="shared" si="189"/>
        <v>5212.4233500000009</v>
      </c>
      <c r="X973" s="16">
        <f t="shared" si="190"/>
        <v>57336.656849999999</v>
      </c>
      <c r="Y973" s="16">
        <f t="shared" si="191"/>
        <v>0.1873746955882353</v>
      </c>
      <c r="Z973" s="16">
        <f t="shared" si="192"/>
        <v>1.1356042156862745</v>
      </c>
      <c r="AA973" s="17">
        <f t="shared" si="193"/>
        <v>306000</v>
      </c>
      <c r="AB973" s="10">
        <v>3968</v>
      </c>
      <c r="AC973" s="18">
        <f t="shared" si="194"/>
        <v>743.50279209411769</v>
      </c>
      <c r="AD973" s="12">
        <f t="shared" si="186"/>
        <v>94048</v>
      </c>
      <c r="AE973" s="13">
        <f t="shared" si="195"/>
        <v>211952</v>
      </c>
    </row>
    <row r="974" spans="1:31">
      <c r="A974" s="6">
        <v>4</v>
      </c>
      <c r="B974" s="6">
        <f t="shared" si="196"/>
        <v>26</v>
      </c>
      <c r="C974" s="6" t="str">
        <f t="shared" si="187"/>
        <v>NPB10271-ZKSCREW, SELF-TAPPING, MET OTHER, HEXALOBULAR INTER406701444998150000</v>
      </c>
      <c r="D974" s="7" t="s">
        <v>232</v>
      </c>
      <c r="E974" s="6" t="s">
        <v>76</v>
      </c>
      <c r="F974" s="6"/>
      <c r="G974" s="7" t="s">
        <v>36</v>
      </c>
      <c r="H974" s="19"/>
      <c r="I974" s="19"/>
      <c r="J974" s="19"/>
      <c r="K974" s="19"/>
      <c r="L974" s="14">
        <v>4067014</v>
      </c>
      <c r="M974" s="22">
        <v>44998</v>
      </c>
      <c r="N974" s="19" t="s">
        <v>196</v>
      </c>
      <c r="O974" s="19" t="s">
        <v>333</v>
      </c>
      <c r="P974" s="15">
        <v>150000</v>
      </c>
      <c r="Q974" s="15">
        <v>146157.25</v>
      </c>
      <c r="R974" s="15">
        <v>87082900</v>
      </c>
      <c r="S974" s="15">
        <v>15</v>
      </c>
      <c r="T974" s="19" t="s">
        <v>321</v>
      </c>
      <c r="U974" s="19" t="s">
        <v>178</v>
      </c>
      <c r="V974" s="16">
        <f t="shared" si="188"/>
        <v>21923.587499999998</v>
      </c>
      <c r="W974" s="16">
        <f t="shared" si="189"/>
        <v>2192.3587499999999</v>
      </c>
      <c r="X974" s="16">
        <f t="shared" si="190"/>
        <v>24115.946249999997</v>
      </c>
      <c r="Y974" s="16">
        <f t="shared" si="191"/>
        <v>0.16077297499999998</v>
      </c>
      <c r="Z974" s="16">
        <f t="shared" si="192"/>
        <v>0.9743816666666667</v>
      </c>
      <c r="AA974" s="17">
        <f t="shared" si="193"/>
        <v>150000</v>
      </c>
      <c r="AB974" s="10">
        <v>7936</v>
      </c>
      <c r="AC974" s="18">
        <f t="shared" si="194"/>
        <v>1275.8943295999998</v>
      </c>
      <c r="AD974" s="12">
        <f t="shared" si="186"/>
        <v>149952</v>
      </c>
      <c r="AE974" s="13">
        <f t="shared" si="195"/>
        <v>48</v>
      </c>
    </row>
    <row r="975" spans="1:31">
      <c r="A975" s="6">
        <v>4</v>
      </c>
      <c r="B975" s="6">
        <f t="shared" si="196"/>
        <v>27</v>
      </c>
      <c r="C975" s="6" t="str">
        <f t="shared" si="187"/>
        <v>NWB2834WASHER, WAVED 49935344494720000</v>
      </c>
      <c r="D975" s="7" t="s">
        <v>232</v>
      </c>
      <c r="E975" s="6" t="s">
        <v>77</v>
      </c>
      <c r="F975" s="6"/>
      <c r="G975" s="7" t="s">
        <v>37</v>
      </c>
      <c r="H975" s="19"/>
      <c r="I975" s="19"/>
      <c r="J975" s="19"/>
      <c r="K975" s="19"/>
      <c r="L975" s="14">
        <v>4993534</v>
      </c>
      <c r="M975" s="22">
        <v>44947</v>
      </c>
      <c r="N975" s="19" t="s">
        <v>196</v>
      </c>
      <c r="O975" s="19" t="s">
        <v>333</v>
      </c>
      <c r="P975" s="15">
        <v>20000</v>
      </c>
      <c r="Q975" s="15">
        <v>37407.879999999997</v>
      </c>
      <c r="R975" s="15">
        <v>87082900</v>
      </c>
      <c r="S975" s="15">
        <v>15</v>
      </c>
      <c r="T975" s="19" t="s">
        <v>207</v>
      </c>
      <c r="U975" s="19" t="s">
        <v>178</v>
      </c>
      <c r="V975" s="16">
        <f t="shared" si="188"/>
        <v>5611.1819999999998</v>
      </c>
      <c r="W975" s="16">
        <f t="shared" si="189"/>
        <v>561.1182</v>
      </c>
      <c r="X975" s="16">
        <f t="shared" si="190"/>
        <v>6172.3001999999997</v>
      </c>
      <c r="Y975" s="16">
        <f t="shared" si="191"/>
        <v>0.30861500999999997</v>
      </c>
      <c r="Z975" s="16">
        <f t="shared" si="192"/>
        <v>1.8703939999999999</v>
      </c>
      <c r="AA975" s="17">
        <f t="shared" si="193"/>
        <v>20000</v>
      </c>
      <c r="AB975" s="10">
        <v>3968</v>
      </c>
      <c r="AC975" s="18">
        <f t="shared" si="194"/>
        <v>1224.5843596799998</v>
      </c>
      <c r="AD975" s="12">
        <f t="shared" si="186"/>
        <v>20000</v>
      </c>
      <c r="AE975" s="13">
        <f t="shared" si="195"/>
        <v>0</v>
      </c>
    </row>
    <row r="976" spans="1:31">
      <c r="A976" s="6">
        <v>4</v>
      </c>
      <c r="B976" s="6">
        <f t="shared" si="196"/>
        <v>28</v>
      </c>
      <c r="C976" s="6" t="str">
        <f t="shared" si="187"/>
        <v>632154400AADHESIVE, PAD 44490894496120000</v>
      </c>
      <c r="D976" s="7" t="s">
        <v>232</v>
      </c>
      <c r="E976" s="6" t="s">
        <v>79</v>
      </c>
      <c r="F976" s="6"/>
      <c r="G976" s="7" t="s">
        <v>39</v>
      </c>
      <c r="H976" s="19"/>
      <c r="I976" s="19"/>
      <c r="J976" s="19"/>
      <c r="K976" s="19"/>
      <c r="L976" s="14">
        <v>4449089</v>
      </c>
      <c r="M976" s="22">
        <v>44961</v>
      </c>
      <c r="N976" s="19" t="s">
        <v>196</v>
      </c>
      <c r="O976" s="19" t="s">
        <v>333</v>
      </c>
      <c r="P976" s="15">
        <v>20000</v>
      </c>
      <c r="Q976" s="15">
        <v>71990.399999999994</v>
      </c>
      <c r="R976" s="15">
        <v>87082900</v>
      </c>
      <c r="S976" s="15">
        <v>15</v>
      </c>
      <c r="T976" s="19" t="s">
        <v>201</v>
      </c>
      <c r="U976" s="19" t="s">
        <v>178</v>
      </c>
      <c r="V976" s="16">
        <f t="shared" si="188"/>
        <v>10798.56</v>
      </c>
      <c r="W976" s="16">
        <f t="shared" si="189"/>
        <v>1079.856</v>
      </c>
      <c r="X976" s="16">
        <f t="shared" si="190"/>
        <v>11878.415999999999</v>
      </c>
      <c r="Y976" s="16">
        <f t="shared" si="191"/>
        <v>0.59392079999999992</v>
      </c>
      <c r="Z976" s="16">
        <f t="shared" si="192"/>
        <v>3.5995199999999996</v>
      </c>
      <c r="AA976" s="17">
        <f t="shared" si="193"/>
        <v>20000</v>
      </c>
      <c r="AB976" s="10">
        <v>4560</v>
      </c>
      <c r="AC976" s="18">
        <f t="shared" si="194"/>
        <v>2708.2788479999995</v>
      </c>
      <c r="AD976" s="12">
        <f t="shared" si="186"/>
        <v>20000</v>
      </c>
      <c r="AE976" s="13">
        <f t="shared" si="195"/>
        <v>0</v>
      </c>
    </row>
    <row r="977" spans="1:31">
      <c r="A977" s="6">
        <v>4</v>
      </c>
      <c r="B977" s="6">
        <f t="shared" si="196"/>
        <v>29</v>
      </c>
      <c r="C977" s="6" t="str">
        <f t="shared" si="187"/>
        <v>615795701BPILLAR LOOP, OVERMOULDED LIGHT GRAY, STD, WITH CA7068910451344000</v>
      </c>
      <c r="D977" s="7" t="s">
        <v>232</v>
      </c>
      <c r="E977" s="6" t="s">
        <v>67</v>
      </c>
      <c r="F977" s="6"/>
      <c r="G977" s="7" t="s">
        <v>27</v>
      </c>
      <c r="H977" s="19"/>
      <c r="I977" s="19"/>
      <c r="J977" s="19"/>
      <c r="K977" s="19"/>
      <c r="L977" s="14">
        <v>7068910</v>
      </c>
      <c r="M977" s="22">
        <v>45134</v>
      </c>
      <c r="N977" s="19" t="s">
        <v>185</v>
      </c>
      <c r="O977" s="19" t="s">
        <v>332</v>
      </c>
      <c r="P977" s="15">
        <v>4000</v>
      </c>
      <c r="Q977" s="15">
        <v>232964.48000000001</v>
      </c>
      <c r="R977" s="15">
        <v>87082900</v>
      </c>
      <c r="S977" s="15">
        <v>15</v>
      </c>
      <c r="T977" s="19" t="s">
        <v>198</v>
      </c>
      <c r="U977" s="19" t="s">
        <v>178</v>
      </c>
      <c r="V977" s="16">
        <f t="shared" si="188"/>
        <v>34944.671999999999</v>
      </c>
      <c r="W977" s="16">
        <f t="shared" si="189"/>
        <v>3494.4672</v>
      </c>
      <c r="X977" s="16">
        <f t="shared" si="190"/>
        <v>38439.139199999998</v>
      </c>
      <c r="Y977" s="16">
        <f t="shared" si="191"/>
        <v>9.6097847999999999</v>
      </c>
      <c r="Z977" s="16">
        <f t="shared" si="192"/>
        <v>58.241120000000002</v>
      </c>
      <c r="AA977" s="17">
        <f t="shared" si="193"/>
        <v>4000</v>
      </c>
      <c r="AB977" s="10">
        <v>2328</v>
      </c>
      <c r="AC977" s="18">
        <f t="shared" si="194"/>
        <v>22371.579014399998</v>
      </c>
      <c r="AD977" s="12">
        <f t="shared" si="186"/>
        <v>4000</v>
      </c>
      <c r="AE977" s="13">
        <f t="shared" si="195"/>
        <v>0</v>
      </c>
    </row>
    <row r="978" spans="1:31">
      <c r="A978" s="6">
        <v>4</v>
      </c>
      <c r="B978" s="6">
        <f t="shared" si="196"/>
        <v>30</v>
      </c>
      <c r="C978" s="6" t="str">
        <f t="shared" si="187"/>
        <v>603171100BTAPE, ADHESIVE, TERAOKA TERAOKA NO.560S 287757944524550000</v>
      </c>
      <c r="D978" s="7" t="s">
        <v>232</v>
      </c>
      <c r="E978" s="6" t="s">
        <v>50</v>
      </c>
      <c r="F978" s="6"/>
      <c r="G978" s="7" t="s">
        <v>12</v>
      </c>
      <c r="H978" s="19"/>
      <c r="I978" s="19"/>
      <c r="J978" s="19"/>
      <c r="K978" s="19"/>
      <c r="L978" s="14">
        <v>8775794</v>
      </c>
      <c r="M978" s="22">
        <v>45245</v>
      </c>
      <c r="N978" s="19" t="s">
        <v>196</v>
      </c>
      <c r="O978" s="19" t="s">
        <v>333</v>
      </c>
      <c r="P978" s="15">
        <v>50000</v>
      </c>
      <c r="Q978" s="15">
        <v>281892.47999999998</v>
      </c>
      <c r="R978" s="15">
        <v>87082900</v>
      </c>
      <c r="S978" s="15">
        <v>15</v>
      </c>
      <c r="T978" s="19" t="s">
        <v>323</v>
      </c>
      <c r="U978" s="19" t="s">
        <v>178</v>
      </c>
      <c r="V978" s="16">
        <f t="shared" si="188"/>
        <v>42283.871999999996</v>
      </c>
      <c r="W978" s="16">
        <f t="shared" si="189"/>
        <v>4228.3872000000001</v>
      </c>
      <c r="X978" s="16">
        <f t="shared" si="190"/>
        <v>46512.259199999993</v>
      </c>
      <c r="Y978" s="16">
        <f t="shared" si="191"/>
        <v>0.93024518399999989</v>
      </c>
      <c r="Z978" s="16">
        <f t="shared" si="192"/>
        <v>5.6378496</v>
      </c>
      <c r="AA978" s="17">
        <f t="shared" si="193"/>
        <v>50000</v>
      </c>
      <c r="AB978" s="10">
        <v>306</v>
      </c>
      <c r="AC978" s="18">
        <f t="shared" si="194"/>
        <v>284.65502630399999</v>
      </c>
      <c r="AD978" s="12">
        <f t="shared" si="186"/>
        <v>1000</v>
      </c>
      <c r="AE978" s="13">
        <f t="shared" si="195"/>
        <v>49000</v>
      </c>
    </row>
    <row r="979" spans="1:31">
      <c r="A979" s="6">
        <v>4</v>
      </c>
      <c r="B979" s="6">
        <f t="shared" si="196"/>
        <v>31</v>
      </c>
      <c r="C979" s="6" t="str">
        <f t="shared" si="187"/>
        <v>653328100ACUSHION, C AND S, SIDE, LH, BUTTON HOLE STYLE, S4469811449605760</v>
      </c>
      <c r="D979" s="7" t="s">
        <v>232</v>
      </c>
      <c r="E979" s="6" t="s">
        <v>53</v>
      </c>
      <c r="F979" s="6"/>
      <c r="G979" s="19" t="s">
        <v>13</v>
      </c>
      <c r="H979" s="19"/>
      <c r="I979" s="19"/>
      <c r="J979" s="19"/>
      <c r="K979" s="19"/>
      <c r="L979" s="14" t="s">
        <v>84</v>
      </c>
      <c r="M979" s="22">
        <v>44960</v>
      </c>
      <c r="N979" s="19" t="e">
        <v>#N/A</v>
      </c>
      <c r="O979" s="19" t="e">
        <v>#N/A</v>
      </c>
      <c r="P979" s="15">
        <v>5760</v>
      </c>
      <c r="Q979" s="15">
        <v>4924515.53</v>
      </c>
      <c r="R979" s="15" t="e">
        <v>#N/A</v>
      </c>
      <c r="S979" s="15">
        <v>5</v>
      </c>
      <c r="T979" s="19" t="e">
        <v>#N/A</v>
      </c>
      <c r="U979" s="19" t="e">
        <v>#N/A</v>
      </c>
      <c r="V979" s="16">
        <f t="shared" si="188"/>
        <v>246225.77650000004</v>
      </c>
      <c r="W979" s="16">
        <f t="shared" si="189"/>
        <v>24622.577650000007</v>
      </c>
      <c r="X979" s="16">
        <f t="shared" si="190"/>
        <v>270848.35415000003</v>
      </c>
      <c r="Y979" s="16">
        <f t="shared" si="191"/>
        <v>47.022283706597229</v>
      </c>
      <c r="Z979" s="16">
        <f t="shared" si="192"/>
        <v>854.95061284722226</v>
      </c>
      <c r="AA979" s="17">
        <f t="shared" si="193"/>
        <v>5760</v>
      </c>
      <c r="AB979" s="10">
        <v>2304</v>
      </c>
      <c r="AC979" s="18">
        <f t="shared" si="194"/>
        <v>108339.34166000002</v>
      </c>
      <c r="AD979" s="12">
        <f t="shared" si="186"/>
        <v>5760</v>
      </c>
      <c r="AE979" s="13">
        <f t="shared" si="195"/>
        <v>0</v>
      </c>
    </row>
    <row r="980" spans="1:31">
      <c r="A980" s="6">
        <v>4</v>
      </c>
      <c r="B980" s="6">
        <f t="shared" si="196"/>
        <v>32</v>
      </c>
      <c r="C980" s="6" t="str">
        <f t="shared" si="187"/>
        <v>654590600ASU2ID STD CUSHION COMPON CVR NON-WOVEN RH2513010449248100</v>
      </c>
      <c r="D980" s="7" t="s">
        <v>232</v>
      </c>
      <c r="E980" s="6" t="s">
        <v>78</v>
      </c>
      <c r="F980" s="6"/>
      <c r="G980" s="7" t="s">
        <v>38</v>
      </c>
      <c r="H980" s="19"/>
      <c r="I980" s="19"/>
      <c r="J980" s="19"/>
      <c r="K980" s="19"/>
      <c r="L980" s="14">
        <v>2513010</v>
      </c>
      <c r="M980" s="22">
        <v>44924</v>
      </c>
      <c r="N980" s="19" t="s">
        <v>196</v>
      </c>
      <c r="O980" s="19" t="s">
        <v>333</v>
      </c>
      <c r="P980" s="15">
        <v>8100</v>
      </c>
      <c r="Q980" s="15">
        <v>118018.45</v>
      </c>
      <c r="R980" s="15">
        <v>87089500</v>
      </c>
      <c r="S980" s="15">
        <v>15</v>
      </c>
      <c r="T980" s="19" t="s">
        <v>338</v>
      </c>
      <c r="U980" s="19" t="s">
        <v>178</v>
      </c>
      <c r="V980" s="16">
        <f t="shared" si="188"/>
        <v>17702.767499999998</v>
      </c>
      <c r="W980" s="16">
        <f t="shared" si="189"/>
        <v>1770.27675</v>
      </c>
      <c r="X980" s="16">
        <f t="shared" si="190"/>
        <v>19473.044249999999</v>
      </c>
      <c r="Y980" s="16">
        <f t="shared" si="191"/>
        <v>2.4040795370370369</v>
      </c>
      <c r="Z980" s="16">
        <f t="shared" si="192"/>
        <v>14.570179012345678</v>
      </c>
      <c r="AA980" s="17">
        <f t="shared" si="193"/>
        <v>8100</v>
      </c>
      <c r="AB980" s="10">
        <v>4032</v>
      </c>
      <c r="AC980" s="18">
        <f t="shared" si="194"/>
        <v>9693.248693333333</v>
      </c>
      <c r="AD980" s="12">
        <f t="shared" si="186"/>
        <v>8100</v>
      </c>
      <c r="AE980" s="13">
        <f t="shared" si="195"/>
        <v>0</v>
      </c>
    </row>
    <row r="981" spans="1:31">
      <c r="A981" s="6">
        <v>4</v>
      </c>
      <c r="B981" s="6">
        <f t="shared" si="196"/>
        <v>33</v>
      </c>
      <c r="C981" s="6" t="str">
        <f t="shared" si="187"/>
        <v>615795701BPILLAR LOOP, OVERMOULDED LIGHT GRAY, STD, WITH CA5769560450484000</v>
      </c>
      <c r="D981" s="7" t="s">
        <v>232</v>
      </c>
      <c r="E981" s="6" t="s">
        <v>67</v>
      </c>
      <c r="F981" s="6"/>
      <c r="G981" s="7" t="s">
        <v>27</v>
      </c>
      <c r="H981" s="19"/>
      <c r="I981" s="19"/>
      <c r="J981" s="19"/>
      <c r="K981" s="19"/>
      <c r="L981" s="14" t="s">
        <v>85</v>
      </c>
      <c r="M981" s="22">
        <v>45048</v>
      </c>
      <c r="N981" s="19" t="e">
        <v>#N/A</v>
      </c>
      <c r="O981" s="19" t="e">
        <v>#N/A</v>
      </c>
      <c r="P981" s="15">
        <v>4000</v>
      </c>
      <c r="Q981" s="15">
        <v>255466.6</v>
      </c>
      <c r="R981" s="15" t="e">
        <v>#N/A</v>
      </c>
      <c r="S981" s="15">
        <v>15</v>
      </c>
      <c r="T981" s="19" t="e">
        <v>#N/A</v>
      </c>
      <c r="U981" s="19" t="e">
        <v>#N/A</v>
      </c>
      <c r="V981" s="16">
        <f t="shared" si="188"/>
        <v>38319.99</v>
      </c>
      <c r="W981" s="16">
        <f t="shared" si="189"/>
        <v>3831.9989999999998</v>
      </c>
      <c r="X981" s="16">
        <f t="shared" si="190"/>
        <v>42151.989000000001</v>
      </c>
      <c r="Y981" s="16">
        <f t="shared" si="191"/>
        <v>10.53799725</v>
      </c>
      <c r="Z981" s="16">
        <f t="shared" si="192"/>
        <v>63.86665</v>
      </c>
      <c r="AA981" s="17">
        <f t="shared" si="193"/>
        <v>4000</v>
      </c>
      <c r="AB981" s="10">
        <v>2232</v>
      </c>
      <c r="AC981" s="18">
        <f t="shared" si="194"/>
        <v>23520.809862000002</v>
      </c>
      <c r="AD981" s="12">
        <f t="shared" si="186"/>
        <v>4000</v>
      </c>
      <c r="AE981" s="13">
        <f t="shared" si="195"/>
        <v>0</v>
      </c>
    </row>
    <row r="982" spans="1:31">
      <c r="A982" s="6">
        <v>4</v>
      </c>
      <c r="B982" s="6">
        <f t="shared" si="196"/>
        <v>34</v>
      </c>
      <c r="C982" s="6" t="str">
        <f t="shared" si="187"/>
        <v>603171100BTAPE, ADHESIVE, TERAOKA TERAOKA NO.560S 254873344502850000</v>
      </c>
      <c r="D982" s="7" t="s">
        <v>232</v>
      </c>
      <c r="E982" s="6" t="s">
        <v>50</v>
      </c>
      <c r="F982" s="6"/>
      <c r="G982" s="7" t="s">
        <v>12</v>
      </c>
      <c r="H982" s="19"/>
      <c r="I982" s="19"/>
      <c r="J982" s="19"/>
      <c r="K982" s="19"/>
      <c r="L982" s="14">
        <v>5487334</v>
      </c>
      <c r="M982" s="22">
        <v>45028</v>
      </c>
      <c r="N982" s="19" t="s">
        <v>196</v>
      </c>
      <c r="O982" s="19" t="s">
        <v>333</v>
      </c>
      <c r="P982" s="15">
        <v>50000</v>
      </c>
      <c r="Q982" s="15">
        <v>312855.31</v>
      </c>
      <c r="R982" s="15">
        <v>87089500</v>
      </c>
      <c r="S982" s="15">
        <v>15</v>
      </c>
      <c r="T982" s="19" t="s">
        <v>325</v>
      </c>
      <c r="U982" s="19" t="s">
        <v>178</v>
      </c>
      <c r="V982" s="16">
        <f t="shared" si="188"/>
        <v>46928.296499999997</v>
      </c>
      <c r="W982" s="16">
        <f t="shared" si="189"/>
        <v>4692.8296499999997</v>
      </c>
      <c r="X982" s="16">
        <f t="shared" si="190"/>
        <v>51621.126149999996</v>
      </c>
      <c r="Y982" s="16">
        <f t="shared" si="191"/>
        <v>1.0324225229999999</v>
      </c>
      <c r="Z982" s="16">
        <f t="shared" si="192"/>
        <v>6.2571062</v>
      </c>
      <c r="AA982" s="17">
        <v>1000.2</v>
      </c>
      <c r="AB982" s="10">
        <v>385.2</v>
      </c>
      <c r="AC982" s="18">
        <f t="shared" si="194"/>
        <v>397.68915585959996</v>
      </c>
      <c r="AD982" s="12">
        <f t="shared" si="186"/>
        <v>1000.2</v>
      </c>
      <c r="AE982" s="13">
        <f t="shared" si="195"/>
        <v>0</v>
      </c>
    </row>
    <row r="983" spans="1:31">
      <c r="A983" s="6">
        <v>4</v>
      </c>
      <c r="B983" s="6">
        <f t="shared" si="196"/>
        <v>35</v>
      </c>
      <c r="C983" s="6" t="str">
        <f t="shared" si="187"/>
        <v>649421100AINFLATOR, ASP-5.1, P20, SRR, IMI, SERV, NO STUDS4557048449663456</v>
      </c>
      <c r="D983" s="7" t="s">
        <v>232</v>
      </c>
      <c r="E983" s="6" t="s">
        <v>469</v>
      </c>
      <c r="F983" s="6"/>
      <c r="G983" s="7" t="s">
        <v>16</v>
      </c>
      <c r="H983" s="19"/>
      <c r="I983" s="19"/>
      <c r="J983" s="19"/>
      <c r="K983" s="19"/>
      <c r="L983" s="14" t="s">
        <v>86</v>
      </c>
      <c r="M983" s="22">
        <v>44966</v>
      </c>
      <c r="N983" s="19" t="e">
        <v>#N/A</v>
      </c>
      <c r="O983" s="19" t="e">
        <v>#N/A</v>
      </c>
      <c r="P983" s="15">
        <v>3456</v>
      </c>
      <c r="Q983" s="15">
        <v>663871.65</v>
      </c>
      <c r="R983" s="15" t="e">
        <v>#N/A</v>
      </c>
      <c r="S983" s="15">
        <v>15</v>
      </c>
      <c r="T983" s="19" t="e">
        <v>#N/A</v>
      </c>
      <c r="U983" s="19" t="e">
        <v>#N/A</v>
      </c>
      <c r="V983" s="16">
        <f t="shared" si="188"/>
        <v>99580.747499999998</v>
      </c>
      <c r="W983" s="16">
        <f t="shared" si="189"/>
        <v>9958.0747499999998</v>
      </c>
      <c r="X983" s="16">
        <f t="shared" si="190"/>
        <v>109538.82225</v>
      </c>
      <c r="Y983" s="16">
        <f t="shared" si="191"/>
        <v>31.695261067708334</v>
      </c>
      <c r="Z983" s="16">
        <f t="shared" si="192"/>
        <v>192.09249131944446</v>
      </c>
      <c r="AA983" s="17">
        <f t="shared" si="193"/>
        <v>3456</v>
      </c>
      <c r="AB983" s="10">
        <v>2304</v>
      </c>
      <c r="AC983" s="18">
        <f t="shared" si="194"/>
        <v>73025.881500000003</v>
      </c>
      <c r="AD983" s="12">
        <f t="shared" si="186"/>
        <v>2736</v>
      </c>
      <c r="AE983" s="13">
        <f t="shared" si="195"/>
        <v>720</v>
      </c>
    </row>
    <row r="984" spans="1:31">
      <c r="A984" s="6">
        <v>4</v>
      </c>
      <c r="B984" s="6">
        <f t="shared" si="196"/>
        <v>36</v>
      </c>
      <c r="C984" s="6" t="str">
        <f t="shared" si="187"/>
        <v>619591801AINFLATOR, ASP-2, GEN15, MRR, STD COOL, UC, W STU4757505449795184</v>
      </c>
      <c r="D984" s="7" t="s">
        <v>232</v>
      </c>
      <c r="E984" s="6" t="s">
        <v>55</v>
      </c>
      <c r="F984" s="6"/>
      <c r="G984" s="19" t="s">
        <v>15</v>
      </c>
      <c r="H984" s="19"/>
      <c r="I984" s="19"/>
      <c r="J984" s="19"/>
      <c r="K984" s="19"/>
      <c r="L984" s="14" t="s">
        <v>87</v>
      </c>
      <c r="M984" s="22">
        <v>44979</v>
      </c>
      <c r="N984" s="19" t="e">
        <v>#N/A</v>
      </c>
      <c r="O984" s="19" t="e">
        <v>#N/A</v>
      </c>
      <c r="P984" s="15">
        <v>5184</v>
      </c>
      <c r="Q984" s="15">
        <v>1256252.56</v>
      </c>
      <c r="R984" s="15" t="e">
        <v>#N/A</v>
      </c>
      <c r="S984" s="15">
        <v>15</v>
      </c>
      <c r="T984" s="19" t="e">
        <v>#N/A</v>
      </c>
      <c r="U984" s="19" t="e">
        <v>#N/A</v>
      </c>
      <c r="V984" s="16">
        <f t="shared" si="188"/>
        <v>188437.88399999999</v>
      </c>
      <c r="W984" s="16">
        <f t="shared" si="189"/>
        <v>18843.788400000001</v>
      </c>
      <c r="X984" s="16">
        <f t="shared" si="190"/>
        <v>207281.67239999998</v>
      </c>
      <c r="Y984" s="16">
        <f t="shared" si="191"/>
        <v>39.984890509259259</v>
      </c>
      <c r="Z984" s="16">
        <f t="shared" si="192"/>
        <v>242.33266975308644</v>
      </c>
      <c r="AA984" s="17">
        <f t="shared" si="193"/>
        <v>5184</v>
      </c>
      <c r="AB984" s="10">
        <v>4032</v>
      </c>
      <c r="AC984" s="18">
        <f t="shared" si="194"/>
        <v>161219.07853333332</v>
      </c>
      <c r="AD984" s="12">
        <f t="shared" si="186"/>
        <v>4032</v>
      </c>
      <c r="AE984" s="13">
        <f t="shared" si="195"/>
        <v>1152</v>
      </c>
    </row>
    <row r="985" spans="1:31">
      <c r="A985" s="6">
        <v>4</v>
      </c>
      <c r="B985" s="6">
        <f t="shared" si="196"/>
        <v>37</v>
      </c>
      <c r="C985" s="6" t="str">
        <f t="shared" si="187"/>
        <v>643302000AINFLATOR, ADP-1.3B, MP, MIB, SQUARE, NO STUD48666694498725920</v>
      </c>
      <c r="D985" s="7" t="s">
        <v>232</v>
      </c>
      <c r="E985" s="6" t="s">
        <v>46</v>
      </c>
      <c r="F985" s="6"/>
      <c r="G985" s="7" t="s">
        <v>8</v>
      </c>
      <c r="H985" s="19"/>
      <c r="I985" s="19"/>
      <c r="J985" s="19"/>
      <c r="K985" s="19"/>
      <c r="L985" s="14">
        <v>4866669</v>
      </c>
      <c r="M985" s="22">
        <v>44987</v>
      </c>
      <c r="N985" s="19" t="s">
        <v>199</v>
      </c>
      <c r="O985" s="19" t="s">
        <v>333</v>
      </c>
      <c r="P985" s="15">
        <v>25920</v>
      </c>
      <c r="Q985" s="15">
        <v>9541861.9800000004</v>
      </c>
      <c r="R985" s="15">
        <v>87089500</v>
      </c>
      <c r="S985" s="15">
        <v>15</v>
      </c>
      <c r="T985" s="19" t="s">
        <v>202</v>
      </c>
      <c r="U985" s="19" t="s">
        <v>200</v>
      </c>
      <c r="V985" s="16">
        <f t="shared" si="188"/>
        <v>1431279.297</v>
      </c>
      <c r="W985" s="16">
        <f t="shared" si="189"/>
        <v>143127.92970000001</v>
      </c>
      <c r="X985" s="16">
        <f t="shared" si="190"/>
        <v>1574407.2267</v>
      </c>
      <c r="Y985" s="16">
        <f t="shared" si="191"/>
        <v>60.741019548611114</v>
      </c>
      <c r="Z985" s="16">
        <f t="shared" si="192"/>
        <v>368.12739120370372</v>
      </c>
      <c r="AA985" s="17">
        <f t="shared" si="193"/>
        <v>25920</v>
      </c>
      <c r="AB985" s="10">
        <v>0</v>
      </c>
      <c r="AC985" s="18">
        <f t="shared" si="194"/>
        <v>0</v>
      </c>
      <c r="AD985" s="12">
        <f t="shared" si="186"/>
        <v>25920</v>
      </c>
      <c r="AE985" s="13">
        <f t="shared" si="195"/>
        <v>0</v>
      </c>
    </row>
    <row r="986" spans="1:31">
      <c r="A986" s="6">
        <v>5</v>
      </c>
      <c r="B986" s="6">
        <v>1</v>
      </c>
      <c r="C986" s="6" t="str">
        <f t="shared" si="187"/>
        <v>649421100AINFLATOR, ASP-5.1, P20, SRR, IMI, SERV, NO STUDS4181950449405184</v>
      </c>
      <c r="D986" s="7" t="s">
        <v>233</v>
      </c>
      <c r="E986" s="6" t="s">
        <v>469</v>
      </c>
      <c r="F986" s="6"/>
      <c r="G986" s="7" t="s">
        <v>16</v>
      </c>
      <c r="H986" s="19"/>
      <c r="I986" s="19"/>
      <c r="J986" s="19"/>
      <c r="K986" s="19"/>
      <c r="L986" s="14">
        <v>4181950</v>
      </c>
      <c r="M986" s="22">
        <v>44940</v>
      </c>
      <c r="N986" s="19" t="s">
        <v>199</v>
      </c>
      <c r="O986" s="19" t="s">
        <v>333</v>
      </c>
      <c r="P986" s="15">
        <v>5184</v>
      </c>
      <c r="Q986" s="15">
        <v>1007689.04</v>
      </c>
      <c r="R986" s="15">
        <v>87089500</v>
      </c>
      <c r="S986" s="15">
        <v>15</v>
      </c>
      <c r="T986" s="19" t="s">
        <v>202</v>
      </c>
      <c r="U986" s="19" t="s">
        <v>200</v>
      </c>
      <c r="V986" s="16">
        <f t="shared" si="188"/>
        <v>151153.356</v>
      </c>
      <c r="W986" s="16">
        <f t="shared" si="189"/>
        <v>15115.3356</v>
      </c>
      <c r="X986" s="16">
        <f t="shared" si="190"/>
        <v>166268.69159999999</v>
      </c>
      <c r="Y986" s="16">
        <f t="shared" si="191"/>
        <v>32.073435879629628</v>
      </c>
      <c r="Z986" s="16">
        <f t="shared" si="192"/>
        <v>194.38445987654322</v>
      </c>
      <c r="AA986" s="17">
        <f t="shared" si="193"/>
        <v>5184</v>
      </c>
      <c r="AB986" s="10">
        <v>0</v>
      </c>
      <c r="AC986" s="18">
        <f t="shared" si="194"/>
        <v>0</v>
      </c>
      <c r="AD986" s="12">
        <f t="shared" si="186"/>
        <v>5184</v>
      </c>
      <c r="AE986" s="13">
        <f t="shared" si="195"/>
        <v>0</v>
      </c>
    </row>
    <row r="987" spans="1:31">
      <c r="A987" s="6">
        <v>5</v>
      </c>
      <c r="B987" s="6">
        <f t="shared" si="196"/>
        <v>2</v>
      </c>
      <c r="C987" s="6" t="str">
        <f t="shared" si="187"/>
        <v>570028800FNUT, ISO, M5, LOCK, THRE LOCK, THREE SIDED TAMPER393103644928624000</v>
      </c>
      <c r="D987" s="7" t="s">
        <v>233</v>
      </c>
      <c r="E987" s="6" t="s">
        <v>47</v>
      </c>
      <c r="F987" s="6"/>
      <c r="G987" s="7" t="s">
        <v>9</v>
      </c>
      <c r="H987" s="19"/>
      <c r="I987" s="19"/>
      <c r="J987" s="19"/>
      <c r="K987" s="19"/>
      <c r="L987" s="14">
        <v>3931036</v>
      </c>
      <c r="M987" s="22">
        <v>44928</v>
      </c>
      <c r="N987" s="19" t="s">
        <v>185</v>
      </c>
      <c r="O987" s="19" t="s">
        <v>332</v>
      </c>
      <c r="P987" s="15">
        <v>624000</v>
      </c>
      <c r="Q987" s="15">
        <v>1155867.1000000001</v>
      </c>
      <c r="R987" s="15">
        <v>87089500</v>
      </c>
      <c r="S987" s="15">
        <v>15</v>
      </c>
      <c r="T987" s="19" t="s">
        <v>302</v>
      </c>
      <c r="U987" s="19" t="s">
        <v>178</v>
      </c>
      <c r="V987" s="16">
        <f t="shared" si="188"/>
        <v>173380.065</v>
      </c>
      <c r="W987" s="16">
        <f t="shared" si="189"/>
        <v>17338.0065</v>
      </c>
      <c r="X987" s="16">
        <f t="shared" si="190"/>
        <v>190718.07149999999</v>
      </c>
      <c r="Y987" s="16">
        <f t="shared" si="191"/>
        <v>0.30563793509615383</v>
      </c>
      <c r="Z987" s="16">
        <f t="shared" si="192"/>
        <v>1.852351121794872</v>
      </c>
      <c r="AA987" s="17">
        <f t="shared" si="193"/>
        <v>624000</v>
      </c>
      <c r="AB987" s="10">
        <v>20448</v>
      </c>
      <c r="AC987" s="18">
        <f t="shared" si="194"/>
        <v>6249.6844968461537</v>
      </c>
      <c r="AD987" s="12">
        <f t="shared" si="186"/>
        <v>227952</v>
      </c>
      <c r="AE987" s="13">
        <f t="shared" si="195"/>
        <v>396048</v>
      </c>
    </row>
    <row r="988" spans="1:31">
      <c r="A988" s="6">
        <v>5</v>
      </c>
      <c r="B988" s="6">
        <f t="shared" si="196"/>
        <v>3</v>
      </c>
      <c r="C988" s="6" t="str">
        <f t="shared" si="187"/>
        <v>632955901AINFLATORS, APP-4.6 38556944491719008</v>
      </c>
      <c r="D988" s="7" t="s">
        <v>233</v>
      </c>
      <c r="E988" s="6" t="s">
        <v>48</v>
      </c>
      <c r="F988" s="6"/>
      <c r="G988" s="7" t="s">
        <v>10</v>
      </c>
      <c r="H988" s="19"/>
      <c r="I988" s="19"/>
      <c r="J988" s="19"/>
      <c r="K988" s="19"/>
      <c r="L988" s="14">
        <v>3855694</v>
      </c>
      <c r="M988" s="22">
        <v>44917</v>
      </c>
      <c r="N988" s="19" t="s">
        <v>185</v>
      </c>
      <c r="O988" s="19" t="s">
        <v>332</v>
      </c>
      <c r="P988" s="15">
        <v>19008</v>
      </c>
      <c r="Q988" s="15">
        <v>7453543.8499999996</v>
      </c>
      <c r="R988" s="15">
        <v>87089500</v>
      </c>
      <c r="S988" s="15">
        <v>15</v>
      </c>
      <c r="T988" s="19" t="s">
        <v>203</v>
      </c>
      <c r="U988" s="19" t="s">
        <v>200</v>
      </c>
      <c r="V988" s="16">
        <f t="shared" si="188"/>
        <v>1118031.5774999999</v>
      </c>
      <c r="W988" s="16">
        <f t="shared" si="189"/>
        <v>111803.15775</v>
      </c>
      <c r="X988" s="16">
        <f t="shared" si="190"/>
        <v>1229834.7352499999</v>
      </c>
      <c r="Y988" s="16">
        <f t="shared" si="191"/>
        <v>64.700901475694437</v>
      </c>
      <c r="Z988" s="16">
        <f t="shared" si="192"/>
        <v>392.12667561026933</v>
      </c>
      <c r="AA988" s="17">
        <f t="shared" si="193"/>
        <v>19008</v>
      </c>
      <c r="AB988" s="10">
        <v>3456</v>
      </c>
      <c r="AC988" s="18">
        <f t="shared" si="194"/>
        <v>223606.31549999997</v>
      </c>
      <c r="AD988" s="12">
        <f t="shared" si="186"/>
        <v>19008</v>
      </c>
      <c r="AE988" s="13">
        <f t="shared" si="195"/>
        <v>0</v>
      </c>
    </row>
    <row r="989" spans="1:31">
      <c r="A989" s="6">
        <v>5</v>
      </c>
      <c r="B989" s="6">
        <f t="shared" si="196"/>
        <v>4</v>
      </c>
      <c r="C989" s="6" t="str">
        <f t="shared" si="187"/>
        <v>655116100ALABEL, BLANK, 50.0, 25.0  LABEL, BLANK, 2PCS, 50X42294544483145000</v>
      </c>
      <c r="D989" s="7" t="s">
        <v>233</v>
      </c>
      <c r="E989" s="6" t="s">
        <v>49</v>
      </c>
      <c r="F989" s="6"/>
      <c r="G989" s="7" t="s">
        <v>11</v>
      </c>
      <c r="H989" s="19"/>
      <c r="I989" s="19"/>
      <c r="J989" s="19"/>
      <c r="K989" s="19"/>
      <c r="L989" s="14">
        <v>4229454</v>
      </c>
      <c r="M989" s="22">
        <v>44831</v>
      </c>
      <c r="N989" s="19" t="s">
        <v>196</v>
      </c>
      <c r="O989" s="19" t="s">
        <v>333</v>
      </c>
      <c r="P989" s="15">
        <v>45000</v>
      </c>
      <c r="Q989" s="15">
        <v>127149.27</v>
      </c>
      <c r="R989" s="15">
        <v>87089500</v>
      </c>
      <c r="S989" s="15">
        <v>15</v>
      </c>
      <c r="T989" s="19" t="s">
        <v>303</v>
      </c>
      <c r="U989" s="19" t="s">
        <v>178</v>
      </c>
      <c r="V989" s="16">
        <f t="shared" si="188"/>
        <v>19072.390500000001</v>
      </c>
      <c r="W989" s="16">
        <f t="shared" si="189"/>
        <v>1907.2390500000001</v>
      </c>
      <c r="X989" s="16">
        <f t="shared" si="190"/>
        <v>20979.629550000001</v>
      </c>
      <c r="Y989" s="16">
        <f t="shared" si="191"/>
        <v>0.46621399000000002</v>
      </c>
      <c r="Z989" s="16">
        <f t="shared" si="192"/>
        <v>2.8255393333333334</v>
      </c>
      <c r="AA989" s="17">
        <f t="shared" si="193"/>
        <v>45000</v>
      </c>
      <c r="AB989" s="10">
        <v>5112</v>
      </c>
      <c r="AC989" s="18">
        <f t="shared" si="194"/>
        <v>2383.2859168800001</v>
      </c>
      <c r="AD989" s="12">
        <f t="shared" si="186"/>
        <v>45000</v>
      </c>
      <c r="AE989" s="13">
        <f t="shared" si="195"/>
        <v>0</v>
      </c>
    </row>
    <row r="990" spans="1:31">
      <c r="A990" s="6">
        <v>5</v>
      </c>
      <c r="B990" s="6">
        <f t="shared" si="196"/>
        <v>5</v>
      </c>
      <c r="C990" s="6" t="str">
        <f t="shared" si="187"/>
        <v>609183701ASTUD, M6 X 1.0, 16.0561310344974140000</v>
      </c>
      <c r="D990" s="7" t="s">
        <v>233</v>
      </c>
      <c r="E990" s="6" t="s">
        <v>51</v>
      </c>
      <c r="F990" s="6"/>
      <c r="G990" s="7" t="s">
        <v>411</v>
      </c>
      <c r="H990" s="19"/>
      <c r="I990" s="19"/>
      <c r="J990" s="19"/>
      <c r="K990" s="19"/>
      <c r="L990" s="14">
        <v>5613103</v>
      </c>
      <c r="M990" s="22">
        <v>44974</v>
      </c>
      <c r="N990" s="19" t="s">
        <v>185</v>
      </c>
      <c r="O990" s="19" t="s">
        <v>332</v>
      </c>
      <c r="P990" s="15">
        <v>140000</v>
      </c>
      <c r="Q990" s="15">
        <v>402663.89</v>
      </c>
      <c r="R990" s="15">
        <v>87082900</v>
      </c>
      <c r="S990" s="15">
        <v>15</v>
      </c>
      <c r="T990" s="19" t="s">
        <v>304</v>
      </c>
      <c r="U990" s="19" t="s">
        <v>178</v>
      </c>
      <c r="V990" s="16">
        <f t="shared" si="188"/>
        <v>60399.583500000001</v>
      </c>
      <c r="W990" s="16">
        <f t="shared" si="189"/>
        <v>6039.9583500000008</v>
      </c>
      <c r="X990" s="16">
        <f t="shared" si="190"/>
        <v>66439.541850000009</v>
      </c>
      <c r="Y990" s="16">
        <f t="shared" si="191"/>
        <v>0.47456815607142866</v>
      </c>
      <c r="Z990" s="16">
        <f t="shared" si="192"/>
        <v>2.8761706428571427</v>
      </c>
      <c r="AA990" s="17">
        <f t="shared" si="193"/>
        <v>140000</v>
      </c>
      <c r="AB990" s="10">
        <v>9216</v>
      </c>
      <c r="AC990" s="18">
        <f t="shared" si="194"/>
        <v>4373.6201263542862</v>
      </c>
      <c r="AD990" s="12">
        <f t="shared" si="186"/>
        <v>140000</v>
      </c>
      <c r="AE990" s="13">
        <f t="shared" si="195"/>
        <v>0</v>
      </c>
    </row>
    <row r="991" spans="1:31">
      <c r="A991" s="6">
        <v>5</v>
      </c>
      <c r="B991" s="6">
        <f t="shared" si="196"/>
        <v>6</v>
      </c>
      <c r="C991" s="6" t="str">
        <f t="shared" si="187"/>
        <v>616531900ARING, CRIMP, CLAMP, BAND466647844973100000</v>
      </c>
      <c r="D991" s="7" t="s">
        <v>233</v>
      </c>
      <c r="E991" s="6" t="s">
        <v>52</v>
      </c>
      <c r="F991" s="6"/>
      <c r="G991" s="7" t="s">
        <v>410</v>
      </c>
      <c r="H991" s="19"/>
      <c r="I991" s="19"/>
      <c r="J991" s="19"/>
      <c r="K991" s="19"/>
      <c r="L991" s="14">
        <v>4666478</v>
      </c>
      <c r="M991" s="22">
        <v>44973</v>
      </c>
      <c r="N991" s="19" t="s">
        <v>199</v>
      </c>
      <c r="O991" s="19" t="s">
        <v>333</v>
      </c>
      <c r="P991" s="15">
        <v>100000</v>
      </c>
      <c r="Q991" s="15">
        <v>1733493.63</v>
      </c>
      <c r="R991" s="15">
        <v>87089500</v>
      </c>
      <c r="S991" s="15">
        <v>15</v>
      </c>
      <c r="T991" s="19" t="s">
        <v>305</v>
      </c>
      <c r="U991" s="19" t="s">
        <v>178</v>
      </c>
      <c r="V991" s="16">
        <f t="shared" si="188"/>
        <v>260024.04449999996</v>
      </c>
      <c r="W991" s="16">
        <f t="shared" si="189"/>
        <v>26002.404449999998</v>
      </c>
      <c r="X991" s="16">
        <f t="shared" si="190"/>
        <v>286026.44894999993</v>
      </c>
      <c r="Y991" s="16">
        <f t="shared" si="191"/>
        <v>2.8602644894999991</v>
      </c>
      <c r="Z991" s="16">
        <f t="shared" si="192"/>
        <v>17.334936299999999</v>
      </c>
      <c r="AA991" s="17">
        <f t="shared" si="193"/>
        <v>100000</v>
      </c>
      <c r="AB991" s="10">
        <v>9216</v>
      </c>
      <c r="AC991" s="18">
        <f t="shared" si="194"/>
        <v>26360.197535231993</v>
      </c>
      <c r="AD991" s="12">
        <f t="shared" si="186"/>
        <v>100000</v>
      </c>
      <c r="AE991" s="13">
        <f t="shared" si="195"/>
        <v>0</v>
      </c>
    </row>
    <row r="992" spans="1:31">
      <c r="A992" s="6">
        <v>5</v>
      </c>
      <c r="B992" s="6">
        <f t="shared" si="196"/>
        <v>7</v>
      </c>
      <c r="C992" s="6" t="str">
        <f t="shared" si="187"/>
        <v>PC47516-3810SNAP-IN-FASTENER, PUSH P PUSH PIN, BLACK43773094523742000</v>
      </c>
      <c r="D992" s="7" t="s">
        <v>233</v>
      </c>
      <c r="E992" s="6" t="s">
        <v>54</v>
      </c>
      <c r="F992" s="6"/>
      <c r="G992" s="7" t="s">
        <v>14</v>
      </c>
      <c r="H992" s="19"/>
      <c r="I992" s="19"/>
      <c r="J992" s="19"/>
      <c r="K992" s="19"/>
      <c r="L992" s="14">
        <v>4377309</v>
      </c>
      <c r="M992" s="22">
        <v>45237</v>
      </c>
      <c r="N992" s="19" t="s">
        <v>196</v>
      </c>
      <c r="O992" s="19" t="s">
        <v>333</v>
      </c>
      <c r="P992" s="15">
        <v>42000</v>
      </c>
      <c r="Q992" s="15">
        <v>48121.48</v>
      </c>
      <c r="R992" s="15">
        <v>87089500</v>
      </c>
      <c r="S992" s="15">
        <v>15</v>
      </c>
      <c r="T992" s="19" t="s">
        <v>306</v>
      </c>
      <c r="U992" s="19" t="s">
        <v>178</v>
      </c>
      <c r="V992" s="16">
        <f t="shared" si="188"/>
        <v>7218.2220000000007</v>
      </c>
      <c r="W992" s="16">
        <f t="shared" si="189"/>
        <v>721.82220000000007</v>
      </c>
      <c r="X992" s="16">
        <f t="shared" si="190"/>
        <v>7940.0442000000003</v>
      </c>
      <c r="Y992" s="16">
        <f t="shared" si="191"/>
        <v>0.18904867142857143</v>
      </c>
      <c r="Z992" s="16">
        <f t="shared" si="192"/>
        <v>1.1457495238095239</v>
      </c>
      <c r="AA992" s="17">
        <f t="shared" si="193"/>
        <v>42000</v>
      </c>
      <c r="AB992" s="10">
        <v>4608</v>
      </c>
      <c r="AC992" s="18">
        <f t="shared" si="194"/>
        <v>871.13627794285719</v>
      </c>
      <c r="AD992" s="12">
        <f t="shared" si="186"/>
        <v>41976</v>
      </c>
      <c r="AE992" s="13">
        <f t="shared" si="195"/>
        <v>24</v>
      </c>
    </row>
    <row r="993" spans="1:31">
      <c r="A993" s="6">
        <v>5</v>
      </c>
      <c r="B993" s="6">
        <f t="shared" si="196"/>
        <v>8</v>
      </c>
      <c r="C993" s="6" t="str">
        <f t="shared" si="187"/>
        <v>566098600CWEBBING PIN, RETRACTOR, AGB, AGB-95POM FARBE:SCH432749644950120000</v>
      </c>
      <c r="D993" s="7" t="s">
        <v>233</v>
      </c>
      <c r="E993" s="6" t="s">
        <v>57</v>
      </c>
      <c r="F993" s="6"/>
      <c r="G993" s="7" t="s">
        <v>17</v>
      </c>
      <c r="H993" s="19"/>
      <c r="I993" s="19"/>
      <c r="J993" s="19"/>
      <c r="K993" s="19"/>
      <c r="L993" s="14">
        <v>4327496</v>
      </c>
      <c r="M993" s="22">
        <v>44950</v>
      </c>
      <c r="N993" s="19" t="s">
        <v>199</v>
      </c>
      <c r="O993" s="19" t="s">
        <v>332</v>
      </c>
      <c r="P993" s="15">
        <v>120000</v>
      </c>
      <c r="Q993" s="15">
        <v>117311.7</v>
      </c>
      <c r="R993" s="15">
        <v>87082900</v>
      </c>
      <c r="S993" s="15">
        <v>15</v>
      </c>
      <c r="T993" s="19" t="s">
        <v>307</v>
      </c>
      <c r="U993" s="19" t="s">
        <v>178</v>
      </c>
      <c r="V993" s="16">
        <f t="shared" si="188"/>
        <v>17596.754999999997</v>
      </c>
      <c r="W993" s="16">
        <f t="shared" si="189"/>
        <v>1759.6754999999998</v>
      </c>
      <c r="X993" s="16">
        <f t="shared" si="190"/>
        <v>19356.430499999999</v>
      </c>
      <c r="Y993" s="16">
        <f t="shared" si="191"/>
        <v>0.16130358749999998</v>
      </c>
      <c r="Z993" s="16">
        <f t="shared" si="192"/>
        <v>0.97759750000000001</v>
      </c>
      <c r="AA993" s="17">
        <f t="shared" si="193"/>
        <v>120000</v>
      </c>
      <c r="AB993" s="10">
        <v>6876</v>
      </c>
      <c r="AC993" s="18">
        <f t="shared" si="194"/>
        <v>1109.1234676499998</v>
      </c>
      <c r="AD993" s="12">
        <f t="shared" si="186"/>
        <v>86652</v>
      </c>
      <c r="AE993" s="13">
        <f t="shared" si="195"/>
        <v>33348</v>
      </c>
    </row>
    <row r="994" spans="1:31">
      <c r="A994" s="6">
        <v>5</v>
      </c>
      <c r="B994" s="6">
        <f t="shared" si="196"/>
        <v>9</v>
      </c>
      <c r="C994" s="6" t="str">
        <f t="shared" si="187"/>
        <v>566253211EADAPTER, CAR SENS, RETRA ALL VERSIONS390969644984216000</v>
      </c>
      <c r="D994" s="7" t="s">
        <v>233</v>
      </c>
      <c r="E994" s="6" t="s">
        <v>58</v>
      </c>
      <c r="F994" s="6"/>
      <c r="G994" s="7" t="s">
        <v>18</v>
      </c>
      <c r="H994" s="19"/>
      <c r="I994" s="19"/>
      <c r="J994" s="19"/>
      <c r="K994" s="19"/>
      <c r="L994" s="14">
        <v>3909696</v>
      </c>
      <c r="M994" s="22">
        <v>44984</v>
      </c>
      <c r="N994" s="19" t="s">
        <v>199</v>
      </c>
      <c r="O994" s="19" t="s">
        <v>332</v>
      </c>
      <c r="P994" s="15">
        <v>216000</v>
      </c>
      <c r="Q994" s="15">
        <v>549354.86</v>
      </c>
      <c r="R994" s="15">
        <v>87082900</v>
      </c>
      <c r="S994" s="15">
        <v>15</v>
      </c>
      <c r="T994" s="19" t="s">
        <v>308</v>
      </c>
      <c r="U994" s="19" t="s">
        <v>178</v>
      </c>
      <c r="V994" s="16">
        <f t="shared" si="188"/>
        <v>82403.228999999992</v>
      </c>
      <c r="W994" s="16">
        <f t="shared" si="189"/>
        <v>8240.3228999999992</v>
      </c>
      <c r="X994" s="16">
        <f t="shared" si="190"/>
        <v>90643.551899999991</v>
      </c>
      <c r="Y994" s="16">
        <f t="shared" si="191"/>
        <v>0.41964607361111106</v>
      </c>
      <c r="Z994" s="16">
        <f t="shared" si="192"/>
        <v>2.5433095370370369</v>
      </c>
      <c r="AA994" s="17">
        <f t="shared" si="193"/>
        <v>216000</v>
      </c>
      <c r="AB994" s="10">
        <v>6876</v>
      </c>
      <c r="AC994" s="18">
        <f t="shared" si="194"/>
        <v>2885.4864021499998</v>
      </c>
      <c r="AD994" s="12">
        <f t="shared" si="186"/>
        <v>86652</v>
      </c>
      <c r="AE994" s="13">
        <f t="shared" si="195"/>
        <v>129348</v>
      </c>
    </row>
    <row r="995" spans="1:31">
      <c r="A995" s="6">
        <v>5</v>
      </c>
      <c r="B995" s="6">
        <f t="shared" si="196"/>
        <v>10</v>
      </c>
      <c r="C995" s="6" t="str">
        <f t="shared" si="187"/>
        <v>566305721BSPRING, SHEET, LEAF, RET ALL VERSIONS, WS ECE4742807449445000</v>
      </c>
      <c r="D995" s="7" t="s">
        <v>233</v>
      </c>
      <c r="E995" s="6" t="s">
        <v>59</v>
      </c>
      <c r="F995" s="6"/>
      <c r="G995" s="7" t="s">
        <v>19</v>
      </c>
      <c r="H995" s="19"/>
      <c r="I995" s="19"/>
      <c r="J995" s="19"/>
      <c r="K995" s="19"/>
      <c r="L995" s="14">
        <v>4742807</v>
      </c>
      <c r="M995" s="22">
        <v>44944</v>
      </c>
      <c r="N995" s="19" t="s">
        <v>196</v>
      </c>
      <c r="O995" s="19" t="s">
        <v>337</v>
      </c>
      <c r="P995" s="15">
        <v>5000</v>
      </c>
      <c r="Q995" s="15">
        <v>143362.42000000001</v>
      </c>
      <c r="R995" s="15">
        <v>87082900</v>
      </c>
      <c r="S995" s="15">
        <v>15</v>
      </c>
      <c r="T995" s="19" t="s">
        <v>309</v>
      </c>
      <c r="U995" s="19" t="s">
        <v>178</v>
      </c>
      <c r="V995" s="16">
        <f t="shared" si="188"/>
        <v>21504.363000000001</v>
      </c>
      <c r="W995" s="16">
        <f t="shared" si="189"/>
        <v>2150.4363000000003</v>
      </c>
      <c r="X995" s="16">
        <f t="shared" si="190"/>
        <v>23654.799300000002</v>
      </c>
      <c r="Y995" s="16">
        <f t="shared" si="191"/>
        <v>4.7309598600000005</v>
      </c>
      <c r="Z995" s="16">
        <f t="shared" si="192"/>
        <v>28.672484000000004</v>
      </c>
      <c r="AA995" s="17">
        <f t="shared" si="193"/>
        <v>5000</v>
      </c>
      <c r="AB995" s="10">
        <v>116.89200000000001</v>
      </c>
      <c r="AC995" s="18">
        <f t="shared" si="194"/>
        <v>553.01135995512016</v>
      </c>
      <c r="AD995" s="12">
        <f t="shared" si="186"/>
        <v>1540.98</v>
      </c>
      <c r="AE995" s="13">
        <v>0</v>
      </c>
    </row>
    <row r="996" spans="1:31">
      <c r="A996" s="6">
        <v>5</v>
      </c>
      <c r="B996" s="6">
        <f t="shared" si="196"/>
        <v>11</v>
      </c>
      <c r="C996" s="6" t="str">
        <f t="shared" si="187"/>
        <v>600188700BLEVER, WEB SENS, RETRACT ALL VERSIONS421599144956270000</v>
      </c>
      <c r="D996" s="7" t="s">
        <v>233</v>
      </c>
      <c r="E996" s="6" t="s">
        <v>60</v>
      </c>
      <c r="F996" s="6"/>
      <c r="G996" s="7" t="s">
        <v>20</v>
      </c>
      <c r="H996" s="19"/>
      <c r="I996" s="19"/>
      <c r="J996" s="19"/>
      <c r="K996" s="19"/>
      <c r="L996" s="14">
        <v>4215991</v>
      </c>
      <c r="M996" s="22">
        <v>44956</v>
      </c>
      <c r="N996" s="19" t="s">
        <v>199</v>
      </c>
      <c r="O996" s="19" t="s">
        <v>332</v>
      </c>
      <c r="P996" s="15">
        <v>270000</v>
      </c>
      <c r="Q996" s="15">
        <v>1513733.76</v>
      </c>
      <c r="R996" s="15">
        <v>87082900</v>
      </c>
      <c r="S996" s="15">
        <v>15</v>
      </c>
      <c r="T996" s="19" t="s">
        <v>310</v>
      </c>
      <c r="U996" s="19" t="s">
        <v>178</v>
      </c>
      <c r="V996" s="16">
        <f t="shared" si="188"/>
        <v>227060.06399999998</v>
      </c>
      <c r="W996" s="16">
        <f t="shared" si="189"/>
        <v>22706.006399999998</v>
      </c>
      <c r="X996" s="16">
        <f t="shared" si="190"/>
        <v>249766.07039999997</v>
      </c>
      <c r="Y996" s="16">
        <f t="shared" si="191"/>
        <v>0.92505951999999991</v>
      </c>
      <c r="Z996" s="16">
        <f t="shared" si="192"/>
        <v>5.6064213333333335</v>
      </c>
      <c r="AA996" s="17">
        <f t="shared" si="193"/>
        <v>270000</v>
      </c>
      <c r="AB996" s="10">
        <v>6876</v>
      </c>
      <c r="AC996" s="18">
        <f t="shared" si="194"/>
        <v>6360.7092595199993</v>
      </c>
      <c r="AD996" s="12">
        <f t="shared" si="186"/>
        <v>86652</v>
      </c>
      <c r="AE996" s="13">
        <f t="shared" si="195"/>
        <v>183348</v>
      </c>
    </row>
    <row r="997" spans="1:31">
      <c r="A997" s="6">
        <v>5</v>
      </c>
      <c r="B997" s="6">
        <f t="shared" si="196"/>
        <v>12</v>
      </c>
      <c r="C997" s="6" t="str">
        <f t="shared" si="187"/>
        <v>601182600ASPINDLE, RETRACTOR, R27, STD43790984493343008</v>
      </c>
      <c r="D997" s="7" t="s">
        <v>233</v>
      </c>
      <c r="E997" s="6" t="s">
        <v>61</v>
      </c>
      <c r="F997" s="6"/>
      <c r="G997" s="7" t="s">
        <v>21</v>
      </c>
      <c r="H997" s="19"/>
      <c r="I997" s="19"/>
      <c r="J997" s="19"/>
      <c r="K997" s="19"/>
      <c r="L997" s="14">
        <v>4379098</v>
      </c>
      <c r="M997" s="22">
        <v>44933</v>
      </c>
      <c r="N997" s="19" t="s">
        <v>185</v>
      </c>
      <c r="O997" s="19" t="s">
        <v>332</v>
      </c>
      <c r="P997" s="15">
        <v>43008</v>
      </c>
      <c r="Q997" s="15">
        <v>1835488.61</v>
      </c>
      <c r="R997" s="15">
        <v>87082900</v>
      </c>
      <c r="S997" s="15">
        <v>15</v>
      </c>
      <c r="T997" s="19" t="s">
        <v>311</v>
      </c>
      <c r="U997" s="19" t="s">
        <v>178</v>
      </c>
      <c r="V997" s="16">
        <f t="shared" si="188"/>
        <v>275323.29149999999</v>
      </c>
      <c r="W997" s="16">
        <f t="shared" si="189"/>
        <v>27532.329150000001</v>
      </c>
      <c r="X997" s="16">
        <f t="shared" si="190"/>
        <v>302855.62065</v>
      </c>
      <c r="Y997" s="16">
        <f t="shared" si="191"/>
        <v>7.0418438581194192</v>
      </c>
      <c r="Z997" s="16">
        <f t="shared" si="192"/>
        <v>42.677841564360122</v>
      </c>
      <c r="AA997" s="17">
        <f t="shared" si="193"/>
        <v>43008</v>
      </c>
      <c r="AB997" s="10">
        <v>6876</v>
      </c>
      <c r="AC997" s="18">
        <f t="shared" si="194"/>
        <v>48419.718368429123</v>
      </c>
      <c r="AD997" s="12">
        <f t="shared" si="186"/>
        <v>43008</v>
      </c>
      <c r="AE997" s="13">
        <f t="shared" si="195"/>
        <v>0</v>
      </c>
    </row>
    <row r="998" spans="1:31">
      <c r="A998" s="6">
        <v>5</v>
      </c>
      <c r="B998" s="6">
        <f t="shared" si="196"/>
        <v>13</v>
      </c>
      <c r="C998" s="6" t="str">
        <f t="shared" si="187"/>
        <v>601256700GBUSH, RETRACTOR, R27, AL ALL VERSIONS405080544944160000</v>
      </c>
      <c r="D998" s="7" t="s">
        <v>233</v>
      </c>
      <c r="E998" s="6" t="s">
        <v>62</v>
      </c>
      <c r="F998" s="6"/>
      <c r="G998" s="7" t="s">
        <v>22</v>
      </c>
      <c r="H998" s="19"/>
      <c r="I998" s="19"/>
      <c r="J998" s="19"/>
      <c r="K998" s="19"/>
      <c r="L998" s="14">
        <v>4050805</v>
      </c>
      <c r="M998" s="22">
        <v>44944</v>
      </c>
      <c r="N998" s="19" t="s">
        <v>196</v>
      </c>
      <c r="O998" s="19" t="s">
        <v>333</v>
      </c>
      <c r="P998" s="15">
        <v>160000</v>
      </c>
      <c r="Q998" s="15">
        <v>278597.26</v>
      </c>
      <c r="R998" s="15">
        <v>87082900</v>
      </c>
      <c r="S998" s="15">
        <v>15</v>
      </c>
      <c r="T998" s="19" t="s">
        <v>312</v>
      </c>
      <c r="U998" s="19" t="s">
        <v>178</v>
      </c>
      <c r="V998" s="16">
        <f t="shared" si="188"/>
        <v>41789.589</v>
      </c>
      <c r="W998" s="16">
        <f t="shared" si="189"/>
        <v>4178.9589000000005</v>
      </c>
      <c r="X998" s="16">
        <f t="shared" si="190"/>
        <v>45968.547899999998</v>
      </c>
      <c r="Y998" s="16">
        <f t="shared" si="191"/>
        <v>0.287303424375</v>
      </c>
      <c r="Z998" s="16">
        <f t="shared" si="192"/>
        <v>1.7412328750000001</v>
      </c>
      <c r="AA998" s="17">
        <f t="shared" si="193"/>
        <v>160000</v>
      </c>
      <c r="AB998" s="10">
        <v>6876</v>
      </c>
      <c r="AC998" s="18">
        <f t="shared" si="194"/>
        <v>1975.4983460025001</v>
      </c>
      <c r="AD998" s="12">
        <f t="shared" ref="AD998:AD1037" si="197">SUMIF($C$2:$C$2284,C998,$AB$2:$AB$2284)</f>
        <v>86652</v>
      </c>
      <c r="AE998" s="13">
        <f t="shared" si="195"/>
        <v>73348</v>
      </c>
    </row>
    <row r="999" spans="1:31">
      <c r="A999" s="6">
        <v>5</v>
      </c>
      <c r="B999" s="6">
        <f t="shared" si="196"/>
        <v>14</v>
      </c>
      <c r="C999" s="6" t="str">
        <f t="shared" si="187"/>
        <v>601472600ALATCH, RETRACTOR, R27, A ALL VERSIONS421598844951162000</v>
      </c>
      <c r="D999" s="7" t="s">
        <v>233</v>
      </c>
      <c r="E999" s="6" t="s">
        <v>63</v>
      </c>
      <c r="F999" s="6"/>
      <c r="G999" s="7" t="s">
        <v>23</v>
      </c>
      <c r="H999" s="19"/>
      <c r="I999" s="19"/>
      <c r="J999" s="19"/>
      <c r="K999" s="19"/>
      <c r="L999" s="14">
        <v>4215988</v>
      </c>
      <c r="M999" s="22">
        <v>44951</v>
      </c>
      <c r="N999" s="19" t="s">
        <v>199</v>
      </c>
      <c r="O999" s="19" t="s">
        <v>332</v>
      </c>
      <c r="P999" s="15">
        <v>162000</v>
      </c>
      <c r="Q999" s="15">
        <v>1167023.94</v>
      </c>
      <c r="R999" s="15">
        <v>87082900</v>
      </c>
      <c r="S999" s="15">
        <v>15</v>
      </c>
      <c r="T999" s="19" t="s">
        <v>313</v>
      </c>
      <c r="U999" s="19" t="s">
        <v>178</v>
      </c>
      <c r="V999" s="16">
        <f t="shared" si="188"/>
        <v>175053.59099999999</v>
      </c>
      <c r="W999" s="16">
        <f t="shared" si="189"/>
        <v>17505.359099999998</v>
      </c>
      <c r="X999" s="16">
        <f t="shared" si="190"/>
        <v>192558.95009999999</v>
      </c>
      <c r="Y999" s="16">
        <f t="shared" si="191"/>
        <v>1.1886354944444444</v>
      </c>
      <c r="Z999" s="16">
        <f t="shared" si="192"/>
        <v>7.2038514814814816</v>
      </c>
      <c r="AA999" s="17">
        <f t="shared" si="193"/>
        <v>162000</v>
      </c>
      <c r="AB999" s="10">
        <v>6876</v>
      </c>
      <c r="AC999" s="18">
        <f t="shared" si="194"/>
        <v>8173.0576597999998</v>
      </c>
      <c r="AD999" s="12">
        <f t="shared" si="197"/>
        <v>86652</v>
      </c>
      <c r="AE999" s="13">
        <f t="shared" si="195"/>
        <v>75348</v>
      </c>
    </row>
    <row r="1000" spans="1:31">
      <c r="A1000" s="6">
        <v>5</v>
      </c>
      <c r="B1000" s="6">
        <f t="shared" si="196"/>
        <v>15</v>
      </c>
      <c r="C1000" s="6" t="str">
        <f t="shared" si="187"/>
        <v>601487200CCOVER, RETRACTOR, R27, S SYSTEMKAPPE DELRIN 100T43274964495048000</v>
      </c>
      <c r="D1000" s="7" t="s">
        <v>233</v>
      </c>
      <c r="E1000" s="6" t="s">
        <v>64</v>
      </c>
      <c r="F1000" s="6"/>
      <c r="G1000" s="7" t="s">
        <v>24</v>
      </c>
      <c r="H1000" s="19"/>
      <c r="I1000" s="19"/>
      <c r="J1000" s="19"/>
      <c r="K1000" s="19"/>
      <c r="L1000" s="14">
        <v>4327496</v>
      </c>
      <c r="M1000" s="22">
        <v>44950</v>
      </c>
      <c r="N1000" s="19" t="s">
        <v>199</v>
      </c>
      <c r="O1000" s="19" t="s">
        <v>332</v>
      </c>
      <c r="P1000" s="15">
        <v>48000</v>
      </c>
      <c r="Q1000" s="15">
        <v>514349.16</v>
      </c>
      <c r="R1000" s="15">
        <v>87082900</v>
      </c>
      <c r="S1000" s="15">
        <v>15</v>
      </c>
      <c r="T1000" s="19" t="s">
        <v>307</v>
      </c>
      <c r="U1000" s="19" t="s">
        <v>178</v>
      </c>
      <c r="V1000" s="16">
        <f t="shared" si="188"/>
        <v>77152.373999999996</v>
      </c>
      <c r="W1000" s="16">
        <f t="shared" si="189"/>
        <v>7715.2374</v>
      </c>
      <c r="X1000" s="16">
        <f t="shared" si="190"/>
        <v>84867.611399999994</v>
      </c>
      <c r="Y1000" s="16">
        <f t="shared" si="191"/>
        <v>1.7680752375</v>
      </c>
      <c r="Z1000" s="16">
        <f t="shared" si="192"/>
        <v>10.715607499999999</v>
      </c>
      <c r="AA1000" s="17">
        <f t="shared" si="193"/>
        <v>48000</v>
      </c>
      <c r="AB1000" s="10">
        <v>6876</v>
      </c>
      <c r="AC1000" s="18">
        <f t="shared" si="194"/>
        <v>12157.28533305</v>
      </c>
      <c r="AD1000" s="12">
        <f t="shared" si="197"/>
        <v>47964</v>
      </c>
      <c r="AE1000" s="13">
        <f t="shared" si="195"/>
        <v>36</v>
      </c>
    </row>
    <row r="1001" spans="1:31">
      <c r="A1001" s="6">
        <v>5</v>
      </c>
      <c r="B1001" s="6">
        <f t="shared" si="196"/>
        <v>16</v>
      </c>
      <c r="C1001" s="6" t="str">
        <f t="shared" si="187"/>
        <v>605151600ASPRING, SHEET, LEAF, RET ALL VERSIONS, WS US407852744933100000</v>
      </c>
      <c r="D1001" s="7" t="s">
        <v>233</v>
      </c>
      <c r="E1001" s="6" t="s">
        <v>65</v>
      </c>
      <c r="F1001" s="6"/>
      <c r="G1001" s="7" t="s">
        <v>25</v>
      </c>
      <c r="H1001" s="19"/>
      <c r="I1001" s="19"/>
      <c r="J1001" s="19"/>
      <c r="K1001" s="19"/>
      <c r="L1001" s="14">
        <v>4078527</v>
      </c>
      <c r="M1001" s="22">
        <v>44933</v>
      </c>
      <c r="N1001" s="19" t="s">
        <v>196</v>
      </c>
      <c r="O1001" s="19" t="s">
        <v>333</v>
      </c>
      <c r="P1001" s="15">
        <v>100000</v>
      </c>
      <c r="Q1001" s="15">
        <v>147318.03</v>
      </c>
      <c r="R1001" s="15">
        <v>87082900</v>
      </c>
      <c r="S1001" s="15">
        <v>15</v>
      </c>
      <c r="T1001" s="19" t="s">
        <v>314</v>
      </c>
      <c r="U1001" s="19" t="s">
        <v>178</v>
      </c>
      <c r="V1001" s="16">
        <f t="shared" si="188"/>
        <v>22097.7045</v>
      </c>
      <c r="W1001" s="16">
        <f t="shared" si="189"/>
        <v>2209.77045</v>
      </c>
      <c r="X1001" s="16">
        <f t="shared" si="190"/>
        <v>24307.47495</v>
      </c>
      <c r="Y1001" s="16">
        <f t="shared" si="191"/>
        <v>0.24307474949999999</v>
      </c>
      <c r="Z1001" s="16">
        <f t="shared" si="192"/>
        <v>1.4731802999999999</v>
      </c>
      <c r="AA1001" s="17">
        <f t="shared" si="193"/>
        <v>100000</v>
      </c>
      <c r="AB1001" s="10">
        <v>6876</v>
      </c>
      <c r="AC1001" s="18">
        <f t="shared" si="194"/>
        <v>1671.381977562</v>
      </c>
      <c r="AD1001" s="12">
        <f t="shared" si="197"/>
        <v>86652</v>
      </c>
      <c r="AE1001" s="13">
        <f t="shared" si="195"/>
        <v>13348</v>
      </c>
    </row>
    <row r="1002" spans="1:31">
      <c r="A1002" s="6">
        <v>5</v>
      </c>
      <c r="B1002" s="6">
        <f t="shared" si="196"/>
        <v>17</v>
      </c>
      <c r="C1002" s="6" t="str">
        <f t="shared" si="187"/>
        <v>605555507ESTEERING DISC NATURE WHITE717838944902100800</v>
      </c>
      <c r="D1002" s="7" t="s">
        <v>233</v>
      </c>
      <c r="E1002" s="6" t="s">
        <v>66</v>
      </c>
      <c r="F1002" s="6"/>
      <c r="G1002" s="7" t="s">
        <v>26</v>
      </c>
      <c r="H1002" s="19"/>
      <c r="I1002" s="19"/>
      <c r="J1002" s="19"/>
      <c r="K1002" s="19"/>
      <c r="L1002" s="14">
        <v>7178389</v>
      </c>
      <c r="M1002" s="22">
        <v>44902</v>
      </c>
      <c r="N1002" s="19" t="s">
        <v>185</v>
      </c>
      <c r="O1002" s="19" t="s">
        <v>332</v>
      </c>
      <c r="P1002" s="15">
        <v>100800</v>
      </c>
      <c r="Q1002" s="15">
        <v>397158.13</v>
      </c>
      <c r="R1002" s="15">
        <v>87082900</v>
      </c>
      <c r="S1002" s="15">
        <v>15</v>
      </c>
      <c r="T1002" s="19" t="s">
        <v>315</v>
      </c>
      <c r="U1002" s="19" t="s">
        <v>178</v>
      </c>
      <c r="V1002" s="16">
        <f t="shared" si="188"/>
        <v>59573.719499999999</v>
      </c>
      <c r="W1002" s="16">
        <f t="shared" si="189"/>
        <v>5957.3719500000007</v>
      </c>
      <c r="X1002" s="16">
        <f t="shared" si="190"/>
        <v>65531.09145</v>
      </c>
      <c r="Y1002" s="16">
        <f t="shared" si="191"/>
        <v>0.65011003422619051</v>
      </c>
      <c r="Z1002" s="16">
        <f t="shared" si="192"/>
        <v>3.9400608134920634</v>
      </c>
      <c r="AA1002" s="17">
        <f t="shared" si="193"/>
        <v>100800</v>
      </c>
      <c r="AB1002" s="10">
        <v>6876</v>
      </c>
      <c r="AC1002" s="18">
        <f t="shared" si="194"/>
        <v>4470.1565953392856</v>
      </c>
      <c r="AD1002" s="12">
        <f t="shared" si="197"/>
        <v>80292</v>
      </c>
      <c r="AE1002" s="13">
        <f t="shared" si="195"/>
        <v>20508</v>
      </c>
    </row>
    <row r="1003" spans="1:31">
      <c r="A1003" s="6">
        <v>5</v>
      </c>
      <c r="B1003" s="6">
        <f t="shared" si="196"/>
        <v>18</v>
      </c>
      <c r="C1003" s="6" t="str">
        <f t="shared" si="187"/>
        <v>618470500EBEARING, CAR SENS, RETRA All Versions, Noise redu408531144933170000</v>
      </c>
      <c r="D1003" s="7" t="s">
        <v>233</v>
      </c>
      <c r="E1003" s="6" t="s">
        <v>68</v>
      </c>
      <c r="F1003" s="6"/>
      <c r="G1003" s="7" t="s">
        <v>28</v>
      </c>
      <c r="H1003" s="19"/>
      <c r="I1003" s="19"/>
      <c r="J1003" s="19"/>
      <c r="K1003" s="19"/>
      <c r="L1003" s="14">
        <v>4085311</v>
      </c>
      <c r="M1003" s="22">
        <v>44933</v>
      </c>
      <c r="N1003" s="19" t="s">
        <v>196</v>
      </c>
      <c r="O1003" s="19" t="s">
        <v>333</v>
      </c>
      <c r="P1003" s="15">
        <v>170000</v>
      </c>
      <c r="Q1003" s="15">
        <v>305828.40000000002</v>
      </c>
      <c r="R1003" s="15">
        <v>87082900</v>
      </c>
      <c r="S1003" s="15">
        <v>15</v>
      </c>
      <c r="T1003" s="19" t="s">
        <v>316</v>
      </c>
      <c r="U1003" s="19" t="s">
        <v>178</v>
      </c>
      <c r="V1003" s="16">
        <f t="shared" si="188"/>
        <v>45874.26</v>
      </c>
      <c r="W1003" s="16">
        <f t="shared" si="189"/>
        <v>4587.4260000000004</v>
      </c>
      <c r="X1003" s="16">
        <f t="shared" si="190"/>
        <v>50461.686000000002</v>
      </c>
      <c r="Y1003" s="16">
        <f t="shared" si="191"/>
        <v>0.29683344705882353</v>
      </c>
      <c r="Z1003" s="16">
        <f t="shared" si="192"/>
        <v>1.7989905882352943</v>
      </c>
      <c r="AA1003" s="17">
        <f t="shared" si="193"/>
        <v>170000</v>
      </c>
      <c r="AB1003" s="10">
        <v>6876</v>
      </c>
      <c r="AC1003" s="18">
        <f t="shared" si="194"/>
        <v>2041.0267819764706</v>
      </c>
      <c r="AD1003" s="12">
        <f t="shared" si="197"/>
        <v>61944</v>
      </c>
      <c r="AE1003" s="13">
        <f t="shared" si="195"/>
        <v>108056</v>
      </c>
    </row>
    <row r="1004" spans="1:31">
      <c r="A1004" s="6">
        <v>5</v>
      </c>
      <c r="B1004" s="6">
        <f t="shared" si="196"/>
        <v>19</v>
      </c>
      <c r="C1004" s="6" t="str">
        <f t="shared" si="187"/>
        <v>618472000BLEVER, CAR SENS, RETRACT ALL VERSIONS, NOISE REDU408531144933170000</v>
      </c>
      <c r="D1004" s="7" t="s">
        <v>233</v>
      </c>
      <c r="E1004" s="6" t="s">
        <v>69</v>
      </c>
      <c r="F1004" s="6"/>
      <c r="G1004" s="7" t="s">
        <v>29</v>
      </c>
      <c r="H1004" s="19"/>
      <c r="I1004" s="19"/>
      <c r="J1004" s="19"/>
      <c r="K1004" s="19"/>
      <c r="L1004" s="14">
        <v>4085311</v>
      </c>
      <c r="M1004" s="22">
        <v>44933</v>
      </c>
      <c r="N1004" s="19" t="s">
        <v>196</v>
      </c>
      <c r="O1004" s="19" t="s">
        <v>333</v>
      </c>
      <c r="P1004" s="15">
        <v>170000</v>
      </c>
      <c r="Q1004" s="15">
        <v>247799.42</v>
      </c>
      <c r="R1004" s="15">
        <v>87082900</v>
      </c>
      <c r="S1004" s="15">
        <v>15</v>
      </c>
      <c r="T1004" s="19" t="s">
        <v>316</v>
      </c>
      <c r="U1004" s="19" t="s">
        <v>178</v>
      </c>
      <c r="V1004" s="16">
        <f t="shared" si="188"/>
        <v>37169.913</v>
      </c>
      <c r="W1004" s="16">
        <f t="shared" si="189"/>
        <v>3716.9913000000001</v>
      </c>
      <c r="X1004" s="16">
        <f t="shared" si="190"/>
        <v>40886.904300000002</v>
      </c>
      <c r="Y1004" s="16">
        <f t="shared" si="191"/>
        <v>0.24051120176470589</v>
      </c>
      <c r="Z1004" s="16">
        <f t="shared" si="192"/>
        <v>1.4576436470588237</v>
      </c>
      <c r="AA1004" s="17">
        <f t="shared" si="193"/>
        <v>170000</v>
      </c>
      <c r="AB1004" s="10">
        <v>6876</v>
      </c>
      <c r="AC1004" s="18">
        <f t="shared" si="194"/>
        <v>1653.7550233341176</v>
      </c>
      <c r="AD1004" s="12">
        <f t="shared" si="197"/>
        <v>86652</v>
      </c>
      <c r="AE1004" s="13">
        <f t="shared" si="195"/>
        <v>83348</v>
      </c>
    </row>
    <row r="1005" spans="1:31">
      <c r="A1005" s="6">
        <v>5</v>
      </c>
      <c r="B1005" s="6">
        <f t="shared" si="196"/>
        <v>20</v>
      </c>
      <c r="C1005" s="6" t="str">
        <f t="shared" si="187"/>
        <v>618472300CMASS, CAR SENS, RETRACTO ALL VERSIONS, CAR 2-PIN406183045012209560</v>
      </c>
      <c r="D1005" s="7" t="s">
        <v>233</v>
      </c>
      <c r="E1005" s="6" t="s">
        <v>70</v>
      </c>
      <c r="F1005" s="6"/>
      <c r="G1005" s="7" t="s">
        <v>30</v>
      </c>
      <c r="H1005" s="19"/>
      <c r="I1005" s="19"/>
      <c r="J1005" s="19"/>
      <c r="K1005" s="19"/>
      <c r="L1005" s="14">
        <v>4061830</v>
      </c>
      <c r="M1005" s="22">
        <v>45012</v>
      </c>
      <c r="N1005" s="19" t="s">
        <v>196</v>
      </c>
      <c r="O1005" s="19" t="s">
        <v>333</v>
      </c>
      <c r="P1005" s="15">
        <v>209560</v>
      </c>
      <c r="Q1005" s="15">
        <v>786307.66</v>
      </c>
      <c r="R1005" s="15">
        <v>87082900</v>
      </c>
      <c r="S1005" s="15">
        <v>15</v>
      </c>
      <c r="T1005" s="19" t="s">
        <v>317</v>
      </c>
      <c r="U1005" s="19" t="s">
        <v>178</v>
      </c>
      <c r="V1005" s="16">
        <f t="shared" si="188"/>
        <v>117946.149</v>
      </c>
      <c r="W1005" s="16">
        <f t="shared" si="189"/>
        <v>11794.6149</v>
      </c>
      <c r="X1005" s="16">
        <f t="shared" si="190"/>
        <v>129740.76390000001</v>
      </c>
      <c r="Y1005" s="16">
        <f t="shared" si="191"/>
        <v>0.61911034500858941</v>
      </c>
      <c r="Z1005" s="16">
        <f t="shared" si="192"/>
        <v>3.7521839091429663</v>
      </c>
      <c r="AA1005" s="17">
        <f t="shared" si="193"/>
        <v>209560</v>
      </c>
      <c r="AB1005" s="10">
        <v>6876</v>
      </c>
      <c r="AC1005" s="18">
        <f t="shared" si="194"/>
        <v>4257.0027322790611</v>
      </c>
      <c r="AD1005" s="12">
        <f t="shared" si="197"/>
        <v>86652</v>
      </c>
      <c r="AE1005" s="13">
        <f t="shared" si="195"/>
        <v>122908</v>
      </c>
    </row>
    <row r="1006" spans="1:31">
      <c r="A1006" s="6">
        <v>5</v>
      </c>
      <c r="B1006" s="6">
        <f t="shared" si="196"/>
        <v>21</v>
      </c>
      <c r="C1006" s="6" t="str">
        <f t="shared" si="187"/>
        <v>630580800ALABEL, RAW MATERIAL, BLA K12 TPC BUCKLE5160585449362400000</v>
      </c>
      <c r="D1006" s="7" t="s">
        <v>233</v>
      </c>
      <c r="E1006" s="6" t="s">
        <v>71</v>
      </c>
      <c r="F1006" s="6"/>
      <c r="G1006" s="7" t="s">
        <v>31</v>
      </c>
      <c r="H1006" s="19"/>
      <c r="I1006" s="19"/>
      <c r="J1006" s="19"/>
      <c r="K1006" s="19"/>
      <c r="L1006" s="14">
        <v>5160585</v>
      </c>
      <c r="M1006" s="22">
        <v>44936</v>
      </c>
      <c r="N1006" s="19" t="s">
        <v>196</v>
      </c>
      <c r="O1006" s="19" t="s">
        <v>333</v>
      </c>
      <c r="P1006" s="15">
        <v>2400000</v>
      </c>
      <c r="Q1006" s="15">
        <v>86522.34</v>
      </c>
      <c r="R1006" s="15">
        <v>87082900</v>
      </c>
      <c r="S1006" s="15">
        <v>15</v>
      </c>
      <c r="T1006" s="19" t="s">
        <v>265</v>
      </c>
      <c r="U1006" s="19" t="s">
        <v>178</v>
      </c>
      <c r="V1006" s="16">
        <f t="shared" si="188"/>
        <v>12978.350999999999</v>
      </c>
      <c r="W1006" s="16">
        <f t="shared" si="189"/>
        <v>1297.8351</v>
      </c>
      <c r="X1006" s="16">
        <f t="shared" si="190"/>
        <v>14276.186099999999</v>
      </c>
      <c r="Y1006" s="16">
        <f t="shared" si="191"/>
        <v>5.9484108749999999E-3</v>
      </c>
      <c r="Z1006" s="16">
        <f t="shared" si="192"/>
        <v>3.6050974999999999E-2</v>
      </c>
      <c r="AA1006" s="17">
        <f t="shared" si="193"/>
        <v>2400000</v>
      </c>
      <c r="AB1006" s="10">
        <v>21324</v>
      </c>
      <c r="AC1006" s="18">
        <f t="shared" si="194"/>
        <v>126.8439134985</v>
      </c>
      <c r="AD1006" s="12">
        <f t="shared" si="197"/>
        <v>548546</v>
      </c>
      <c r="AE1006" s="13">
        <f t="shared" si="195"/>
        <v>1851454</v>
      </c>
    </row>
    <row r="1007" spans="1:31">
      <c r="A1007" s="6">
        <v>5</v>
      </c>
      <c r="B1007" s="6">
        <f t="shared" si="196"/>
        <v>22</v>
      </c>
      <c r="C1007" s="6" t="str">
        <f t="shared" si="187"/>
        <v>560050622CCHANNEL, BUCKLE, K12 ROA K12A/AT, RIVET BUCKLE, S505596944994224000</v>
      </c>
      <c r="D1007" s="7" t="s">
        <v>233</v>
      </c>
      <c r="E1007" s="6" t="s">
        <v>72</v>
      </c>
      <c r="F1007" s="6"/>
      <c r="G1007" s="7" t="s">
        <v>32</v>
      </c>
      <c r="H1007" s="19"/>
      <c r="I1007" s="19"/>
      <c r="J1007" s="19"/>
      <c r="K1007" s="19"/>
      <c r="L1007" s="14">
        <v>5055969</v>
      </c>
      <c r="M1007" s="22">
        <v>44994</v>
      </c>
      <c r="N1007" s="19" t="s">
        <v>197</v>
      </c>
      <c r="O1007" s="19" t="s">
        <v>333</v>
      </c>
      <c r="P1007" s="15">
        <v>224000</v>
      </c>
      <c r="Q1007" s="15">
        <v>3980591.44</v>
      </c>
      <c r="R1007" s="15">
        <v>87082900</v>
      </c>
      <c r="S1007" s="15">
        <v>15</v>
      </c>
      <c r="T1007" s="19" t="s">
        <v>318</v>
      </c>
      <c r="U1007" s="19" t="s">
        <v>178</v>
      </c>
      <c r="V1007" s="16">
        <f t="shared" si="188"/>
        <v>597088.71600000001</v>
      </c>
      <c r="W1007" s="16">
        <f t="shared" si="189"/>
        <v>59708.871600000006</v>
      </c>
      <c r="X1007" s="16">
        <f t="shared" si="190"/>
        <v>656797.58759999997</v>
      </c>
      <c r="Y1007" s="16">
        <f t="shared" si="191"/>
        <v>2.9321320874999999</v>
      </c>
      <c r="Z1007" s="16">
        <f t="shared" si="192"/>
        <v>17.770497500000001</v>
      </c>
      <c r="AA1007" s="17">
        <f t="shared" si="193"/>
        <v>224000</v>
      </c>
      <c r="AB1007" s="10">
        <v>9632</v>
      </c>
      <c r="AC1007" s="18">
        <f t="shared" si="194"/>
        <v>28242.2962668</v>
      </c>
      <c r="AD1007" s="12">
        <f t="shared" si="197"/>
        <v>67232</v>
      </c>
      <c r="AE1007" s="13">
        <f t="shared" si="195"/>
        <v>156768</v>
      </c>
    </row>
    <row r="1008" spans="1:31">
      <c r="A1008" s="6">
        <v>5</v>
      </c>
      <c r="B1008" s="6">
        <f t="shared" si="196"/>
        <v>23</v>
      </c>
      <c r="C1008" s="6" t="str">
        <f t="shared" si="187"/>
        <v>560130122ASPRING, WIRE, COMPRESSIO K12A/AT495151045028300000</v>
      </c>
      <c r="D1008" s="7" t="s">
        <v>233</v>
      </c>
      <c r="E1008" s="6" t="s">
        <v>73</v>
      </c>
      <c r="F1008" s="6"/>
      <c r="G1008" s="7" t="s">
        <v>33</v>
      </c>
      <c r="H1008" s="19"/>
      <c r="I1008" s="19"/>
      <c r="J1008" s="19"/>
      <c r="K1008" s="19"/>
      <c r="L1008" s="14">
        <v>4951510</v>
      </c>
      <c r="M1008" s="22">
        <v>45028</v>
      </c>
      <c r="N1008" s="19" t="s">
        <v>199</v>
      </c>
      <c r="O1008" s="19" t="s">
        <v>332</v>
      </c>
      <c r="P1008" s="15">
        <v>300000</v>
      </c>
      <c r="Q1008" s="15">
        <v>285155.93</v>
      </c>
      <c r="R1008" s="15">
        <v>87082900</v>
      </c>
      <c r="S1008" s="15">
        <v>15</v>
      </c>
      <c r="T1008" s="19" t="s">
        <v>319</v>
      </c>
      <c r="U1008" s="19" t="s">
        <v>178</v>
      </c>
      <c r="V1008" s="16">
        <f t="shared" si="188"/>
        <v>42773.389499999997</v>
      </c>
      <c r="W1008" s="16">
        <f t="shared" si="189"/>
        <v>4277.3389500000003</v>
      </c>
      <c r="X1008" s="16">
        <f t="shared" si="190"/>
        <v>47050.728449999995</v>
      </c>
      <c r="Y1008" s="16">
        <f t="shared" si="191"/>
        <v>0.15683576149999998</v>
      </c>
      <c r="Z1008" s="16">
        <f t="shared" si="192"/>
        <v>0.9505197666666666</v>
      </c>
      <c r="AA1008" s="17">
        <f t="shared" si="193"/>
        <v>300000</v>
      </c>
      <c r="AB1008" s="10">
        <v>9632</v>
      </c>
      <c r="AC1008" s="18">
        <f t="shared" si="194"/>
        <v>1510.6420547679998</v>
      </c>
      <c r="AD1008" s="12">
        <f t="shared" si="197"/>
        <v>94048</v>
      </c>
      <c r="AE1008" s="13">
        <f t="shared" si="195"/>
        <v>205952</v>
      </c>
    </row>
    <row r="1009" spans="1:31">
      <c r="A1009" s="6">
        <v>5</v>
      </c>
      <c r="B1009" s="6">
        <f t="shared" si="196"/>
        <v>24</v>
      </c>
      <c r="C1009" s="6" t="str">
        <f t="shared" si="187"/>
        <v>560762022ALATCH, BUCKLE, K12 ROADM K12A/AT, SILVER, LATCH W54569304493980000</v>
      </c>
      <c r="D1009" s="7" t="s">
        <v>233</v>
      </c>
      <c r="E1009" s="6" t="s">
        <v>74</v>
      </c>
      <c r="F1009" s="6"/>
      <c r="G1009" s="7" t="s">
        <v>34</v>
      </c>
      <c r="H1009" s="19"/>
      <c r="I1009" s="19"/>
      <c r="J1009" s="19"/>
      <c r="K1009" s="19"/>
      <c r="L1009" s="14">
        <v>5456930</v>
      </c>
      <c r="M1009" s="22">
        <v>44939</v>
      </c>
      <c r="N1009" s="19" t="s">
        <v>185</v>
      </c>
      <c r="O1009" s="19" t="s">
        <v>332</v>
      </c>
      <c r="P1009" s="15">
        <v>80000</v>
      </c>
      <c r="Q1009" s="15">
        <v>680240</v>
      </c>
      <c r="R1009" s="15">
        <v>87082900</v>
      </c>
      <c r="S1009" s="15">
        <v>15</v>
      </c>
      <c r="T1009" s="19" t="s">
        <v>320</v>
      </c>
      <c r="U1009" s="19" t="s">
        <v>178</v>
      </c>
      <c r="V1009" s="16">
        <f t="shared" si="188"/>
        <v>102036</v>
      </c>
      <c r="W1009" s="16">
        <f t="shared" si="189"/>
        <v>10203.6</v>
      </c>
      <c r="X1009" s="16">
        <f t="shared" si="190"/>
        <v>112239.6</v>
      </c>
      <c r="Y1009" s="16">
        <f t="shared" si="191"/>
        <v>1.402995</v>
      </c>
      <c r="Z1009" s="16">
        <f t="shared" si="192"/>
        <v>8.5030000000000001</v>
      </c>
      <c r="AA1009" s="17">
        <f t="shared" si="193"/>
        <v>80000</v>
      </c>
      <c r="AB1009" s="10">
        <v>9632</v>
      </c>
      <c r="AC1009" s="18">
        <f t="shared" si="194"/>
        <v>13513.64784</v>
      </c>
      <c r="AD1009" s="12">
        <f t="shared" si="197"/>
        <v>74976</v>
      </c>
      <c r="AE1009" s="13">
        <f t="shared" si="195"/>
        <v>5024</v>
      </c>
    </row>
    <row r="1010" spans="1:31">
      <c r="A1010" s="6">
        <v>5</v>
      </c>
      <c r="B1010" s="6">
        <f t="shared" si="196"/>
        <v>25</v>
      </c>
      <c r="C1010" s="6" t="str">
        <f t="shared" si="187"/>
        <v>604213200ALOCKING BAR, BUCKLE, K12 K12A/AT, L=34.3, silver415111844909306000</v>
      </c>
      <c r="D1010" s="7" t="s">
        <v>233</v>
      </c>
      <c r="E1010" s="6" t="s">
        <v>75</v>
      </c>
      <c r="F1010" s="6"/>
      <c r="G1010" s="7" t="s">
        <v>35</v>
      </c>
      <c r="H1010" s="19"/>
      <c r="I1010" s="19"/>
      <c r="J1010" s="19"/>
      <c r="K1010" s="19"/>
      <c r="L1010" s="14">
        <v>4151118</v>
      </c>
      <c r="M1010" s="22">
        <v>44909</v>
      </c>
      <c r="N1010" s="19" t="s">
        <v>199</v>
      </c>
      <c r="O1010" s="19" t="s">
        <v>332</v>
      </c>
      <c r="P1010" s="15">
        <v>306000</v>
      </c>
      <c r="Q1010" s="15">
        <v>347494.89</v>
      </c>
      <c r="R1010" s="15">
        <v>87082900</v>
      </c>
      <c r="S1010" s="15">
        <v>15</v>
      </c>
      <c r="T1010" s="19" t="s">
        <v>319</v>
      </c>
      <c r="U1010" s="19" t="s">
        <v>178</v>
      </c>
      <c r="V1010" s="16">
        <f t="shared" si="188"/>
        <v>52124.233500000002</v>
      </c>
      <c r="W1010" s="16">
        <f t="shared" si="189"/>
        <v>5212.4233500000009</v>
      </c>
      <c r="X1010" s="16">
        <f t="shared" si="190"/>
        <v>57336.656849999999</v>
      </c>
      <c r="Y1010" s="16">
        <f t="shared" si="191"/>
        <v>0.1873746955882353</v>
      </c>
      <c r="Z1010" s="16">
        <f t="shared" si="192"/>
        <v>1.1356042156862745</v>
      </c>
      <c r="AA1010" s="17">
        <f t="shared" si="193"/>
        <v>306000</v>
      </c>
      <c r="AB1010" s="10">
        <v>9632</v>
      </c>
      <c r="AC1010" s="18">
        <f t="shared" si="194"/>
        <v>1804.7930679058825</v>
      </c>
      <c r="AD1010" s="12">
        <f t="shared" si="197"/>
        <v>94048</v>
      </c>
      <c r="AE1010" s="13">
        <f t="shared" si="195"/>
        <v>211952</v>
      </c>
    </row>
    <row r="1011" spans="1:31">
      <c r="A1011" s="6">
        <v>5</v>
      </c>
      <c r="B1011" s="6">
        <f t="shared" si="196"/>
        <v>26</v>
      </c>
      <c r="C1011" s="6" t="str">
        <f t="shared" si="187"/>
        <v>NPB10271-ZKSCREW, SELF-TAPPING, MET OTHER, HEXALOBULAR INTER406701444998150000</v>
      </c>
      <c r="D1011" s="7" t="s">
        <v>233</v>
      </c>
      <c r="E1011" s="6" t="s">
        <v>76</v>
      </c>
      <c r="F1011" s="6"/>
      <c r="G1011" s="7" t="s">
        <v>36</v>
      </c>
      <c r="H1011" s="19"/>
      <c r="I1011" s="19"/>
      <c r="J1011" s="19"/>
      <c r="K1011" s="19"/>
      <c r="L1011" s="14">
        <v>4067014</v>
      </c>
      <c r="M1011" s="22">
        <v>44998</v>
      </c>
      <c r="N1011" s="19" t="s">
        <v>196</v>
      </c>
      <c r="O1011" s="19" t="s">
        <v>333</v>
      </c>
      <c r="P1011" s="15">
        <v>150000</v>
      </c>
      <c r="Q1011" s="15">
        <v>146157.25</v>
      </c>
      <c r="R1011" s="15">
        <v>87082900</v>
      </c>
      <c r="S1011" s="15">
        <v>15</v>
      </c>
      <c r="T1011" s="19" t="s">
        <v>321</v>
      </c>
      <c r="U1011" s="19" t="s">
        <v>178</v>
      </c>
      <c r="V1011" s="16">
        <f t="shared" si="188"/>
        <v>21923.587499999998</v>
      </c>
      <c r="W1011" s="16">
        <f t="shared" si="189"/>
        <v>2192.3587499999999</v>
      </c>
      <c r="X1011" s="16">
        <f t="shared" si="190"/>
        <v>24115.946249999997</v>
      </c>
      <c r="Y1011" s="16">
        <f t="shared" si="191"/>
        <v>0.16077297499999998</v>
      </c>
      <c r="Z1011" s="16">
        <f t="shared" si="192"/>
        <v>0.9743816666666667</v>
      </c>
      <c r="AA1011" s="17">
        <f t="shared" si="193"/>
        <v>150000</v>
      </c>
      <c r="AB1011" s="10">
        <v>19264</v>
      </c>
      <c r="AC1011" s="18">
        <f t="shared" si="194"/>
        <v>3097.1305903999996</v>
      </c>
      <c r="AD1011" s="12">
        <f t="shared" si="197"/>
        <v>149952</v>
      </c>
      <c r="AE1011" s="13">
        <f t="shared" si="195"/>
        <v>48</v>
      </c>
    </row>
    <row r="1012" spans="1:31">
      <c r="A1012" s="6">
        <v>5</v>
      </c>
      <c r="B1012" s="6">
        <f t="shared" si="196"/>
        <v>27</v>
      </c>
      <c r="C1012" s="6" t="str">
        <f t="shared" si="187"/>
        <v>NWB2834WASHER, WAVED 49935344494720000</v>
      </c>
      <c r="D1012" s="7" t="s">
        <v>233</v>
      </c>
      <c r="E1012" s="6" t="s">
        <v>77</v>
      </c>
      <c r="F1012" s="6"/>
      <c r="G1012" s="7" t="s">
        <v>37</v>
      </c>
      <c r="H1012" s="19"/>
      <c r="I1012" s="19"/>
      <c r="J1012" s="19"/>
      <c r="K1012" s="19"/>
      <c r="L1012" s="14">
        <v>4993534</v>
      </c>
      <c r="M1012" s="22">
        <v>44947</v>
      </c>
      <c r="N1012" s="19" t="s">
        <v>196</v>
      </c>
      <c r="O1012" s="19" t="s">
        <v>333</v>
      </c>
      <c r="P1012" s="15">
        <v>20000</v>
      </c>
      <c r="Q1012" s="15">
        <v>37407.879999999997</v>
      </c>
      <c r="R1012" s="15">
        <v>87082900</v>
      </c>
      <c r="S1012" s="15">
        <v>15</v>
      </c>
      <c r="T1012" s="19" t="s">
        <v>207</v>
      </c>
      <c r="U1012" s="19" t="s">
        <v>178</v>
      </c>
      <c r="V1012" s="16">
        <f t="shared" si="188"/>
        <v>5611.1819999999998</v>
      </c>
      <c r="W1012" s="16">
        <f t="shared" si="189"/>
        <v>561.1182</v>
      </c>
      <c r="X1012" s="16">
        <f t="shared" si="190"/>
        <v>6172.3001999999997</v>
      </c>
      <c r="Y1012" s="16">
        <f t="shared" si="191"/>
        <v>0.30861500999999997</v>
      </c>
      <c r="Z1012" s="16">
        <f t="shared" si="192"/>
        <v>1.8703939999999999</v>
      </c>
      <c r="AA1012" s="17">
        <f t="shared" si="193"/>
        <v>20000</v>
      </c>
      <c r="AB1012" s="10">
        <v>3808</v>
      </c>
      <c r="AC1012" s="18">
        <f t="shared" si="194"/>
        <v>1175.2059580799998</v>
      </c>
      <c r="AD1012" s="12">
        <f t="shared" si="197"/>
        <v>20000</v>
      </c>
      <c r="AE1012" s="13">
        <f t="shared" si="195"/>
        <v>0</v>
      </c>
    </row>
    <row r="1013" spans="1:31">
      <c r="A1013" s="6">
        <v>5</v>
      </c>
      <c r="B1013" s="6">
        <f t="shared" si="196"/>
        <v>28</v>
      </c>
      <c r="C1013" s="6" t="str">
        <f t="shared" si="187"/>
        <v>632154400AADHESIVE, PAD 44490894496120000</v>
      </c>
      <c r="D1013" s="7" t="s">
        <v>233</v>
      </c>
      <c r="E1013" s="6" t="s">
        <v>79</v>
      </c>
      <c r="F1013" s="6"/>
      <c r="G1013" s="7" t="s">
        <v>39</v>
      </c>
      <c r="H1013" s="19"/>
      <c r="I1013" s="19"/>
      <c r="J1013" s="19"/>
      <c r="K1013" s="19"/>
      <c r="L1013" s="14">
        <v>4449089</v>
      </c>
      <c r="M1013" s="22">
        <v>44961</v>
      </c>
      <c r="N1013" s="19" t="s">
        <v>196</v>
      </c>
      <c r="O1013" s="19" t="s">
        <v>333</v>
      </c>
      <c r="P1013" s="15">
        <v>20000</v>
      </c>
      <c r="Q1013" s="15">
        <v>71990.399999999994</v>
      </c>
      <c r="R1013" s="15">
        <v>87082900</v>
      </c>
      <c r="S1013" s="15">
        <v>15</v>
      </c>
      <c r="T1013" s="19" t="s">
        <v>201</v>
      </c>
      <c r="U1013" s="19" t="s">
        <v>178</v>
      </c>
      <c r="V1013" s="16">
        <f t="shared" si="188"/>
        <v>10798.56</v>
      </c>
      <c r="W1013" s="16">
        <f t="shared" si="189"/>
        <v>1079.856</v>
      </c>
      <c r="X1013" s="16">
        <f t="shared" si="190"/>
        <v>11878.415999999999</v>
      </c>
      <c r="Y1013" s="16">
        <f t="shared" si="191"/>
        <v>0.59392079999999992</v>
      </c>
      <c r="Z1013" s="16">
        <f t="shared" si="192"/>
        <v>3.5995199999999996</v>
      </c>
      <c r="AA1013" s="17">
        <f t="shared" si="193"/>
        <v>20000</v>
      </c>
      <c r="AB1013" s="10">
        <v>5768</v>
      </c>
      <c r="AC1013" s="18">
        <f t="shared" si="194"/>
        <v>3425.7351743999993</v>
      </c>
      <c r="AD1013" s="12">
        <f t="shared" si="197"/>
        <v>20000</v>
      </c>
      <c r="AE1013" s="13">
        <f t="shared" si="195"/>
        <v>0</v>
      </c>
    </row>
    <row r="1014" spans="1:31">
      <c r="A1014" s="6">
        <v>5</v>
      </c>
      <c r="B1014" s="6">
        <f>B1013+1</f>
        <v>29</v>
      </c>
      <c r="C1014" s="6" t="str">
        <f t="shared" si="187"/>
        <v>653328100ACUSHION, C AND S, SIDE, LH, BUTTON HOLE STYLE, S4469811449605760</v>
      </c>
      <c r="D1014" s="7" t="s">
        <v>233</v>
      </c>
      <c r="E1014" s="6" t="s">
        <v>53</v>
      </c>
      <c r="F1014" s="6"/>
      <c r="G1014" s="19" t="s">
        <v>13</v>
      </c>
      <c r="H1014" s="19"/>
      <c r="I1014" s="19"/>
      <c r="J1014" s="19"/>
      <c r="K1014" s="19"/>
      <c r="L1014" s="14" t="s">
        <v>84</v>
      </c>
      <c r="M1014" s="22">
        <v>44960</v>
      </c>
      <c r="N1014" s="19" t="e">
        <v>#N/A</v>
      </c>
      <c r="O1014" s="19" t="e">
        <v>#N/A</v>
      </c>
      <c r="P1014" s="15">
        <v>5760</v>
      </c>
      <c r="Q1014" s="15">
        <v>4892641.6500000004</v>
      </c>
      <c r="R1014" s="15" t="e">
        <v>#N/A</v>
      </c>
      <c r="S1014" s="15">
        <v>5</v>
      </c>
      <c r="T1014" s="19" t="e">
        <v>#N/A</v>
      </c>
      <c r="U1014" s="19" t="e">
        <v>#N/A</v>
      </c>
      <c r="V1014" s="16">
        <f t="shared" si="188"/>
        <v>244632.08250000002</v>
      </c>
      <c r="W1014" s="16">
        <f t="shared" si="189"/>
        <v>24463.208250000003</v>
      </c>
      <c r="X1014" s="16">
        <f t="shared" si="190"/>
        <v>269095.29075000004</v>
      </c>
      <c r="Y1014" s="16">
        <f t="shared" si="191"/>
        <v>46.717932421875005</v>
      </c>
      <c r="Z1014" s="16">
        <f t="shared" si="192"/>
        <v>849.41695312500008</v>
      </c>
      <c r="AA1014" s="17">
        <f t="shared" si="193"/>
        <v>5760</v>
      </c>
      <c r="AB1014" s="10">
        <v>848</v>
      </c>
      <c r="AC1014" s="18">
        <f t="shared" si="194"/>
        <v>39616.806693750004</v>
      </c>
      <c r="AD1014" s="12">
        <f t="shared" si="197"/>
        <v>5760</v>
      </c>
      <c r="AE1014" s="13">
        <f t="shared" si="195"/>
        <v>0</v>
      </c>
    </row>
    <row r="1015" spans="1:31">
      <c r="A1015" s="6">
        <v>5</v>
      </c>
      <c r="B1015" s="6">
        <f t="shared" si="196"/>
        <v>30</v>
      </c>
      <c r="C1015" s="6" t="str">
        <f t="shared" si="187"/>
        <v>654590600ASU2ID STD CUSHION COMPON CVR NON-WOVEN RH2513010449248100</v>
      </c>
      <c r="D1015" s="7" t="s">
        <v>233</v>
      </c>
      <c r="E1015" s="6" t="s">
        <v>78</v>
      </c>
      <c r="F1015" s="6"/>
      <c r="G1015" s="7" t="s">
        <v>38</v>
      </c>
      <c r="H1015" s="19"/>
      <c r="I1015" s="19"/>
      <c r="J1015" s="19"/>
      <c r="K1015" s="19"/>
      <c r="L1015" s="14">
        <v>2513010</v>
      </c>
      <c r="M1015" s="22">
        <v>44924</v>
      </c>
      <c r="N1015" s="19" t="s">
        <v>196</v>
      </c>
      <c r="O1015" s="19" t="s">
        <v>333</v>
      </c>
      <c r="P1015" s="15">
        <v>8100</v>
      </c>
      <c r="Q1015" s="15">
        <v>118018.45</v>
      </c>
      <c r="R1015" s="15">
        <v>87089500</v>
      </c>
      <c r="S1015" s="15">
        <v>15</v>
      </c>
      <c r="T1015" s="19" t="s">
        <v>338</v>
      </c>
      <c r="U1015" s="19" t="s">
        <v>178</v>
      </c>
      <c r="V1015" s="16">
        <f t="shared" si="188"/>
        <v>17702.767499999998</v>
      </c>
      <c r="W1015" s="16">
        <f t="shared" si="189"/>
        <v>1770.27675</v>
      </c>
      <c r="X1015" s="16">
        <f t="shared" si="190"/>
        <v>19473.044249999999</v>
      </c>
      <c r="Y1015" s="16">
        <f t="shared" si="191"/>
        <v>2.4040795370370369</v>
      </c>
      <c r="Z1015" s="16">
        <f t="shared" si="192"/>
        <v>14.570179012345678</v>
      </c>
      <c r="AA1015" s="17">
        <f t="shared" si="193"/>
        <v>8100</v>
      </c>
      <c r="AB1015" s="10">
        <v>612</v>
      </c>
      <c r="AC1015" s="18">
        <f t="shared" si="194"/>
        <v>1471.2966766666666</v>
      </c>
      <c r="AD1015" s="12">
        <f t="shared" si="197"/>
        <v>8100</v>
      </c>
      <c r="AE1015" s="13">
        <f t="shared" si="195"/>
        <v>0</v>
      </c>
    </row>
    <row r="1016" spans="1:31">
      <c r="A1016" s="6">
        <v>5</v>
      </c>
      <c r="B1016" s="6">
        <f t="shared" si="196"/>
        <v>31</v>
      </c>
      <c r="C1016" s="6" t="str">
        <f t="shared" si="187"/>
        <v>615795701BPILLAR LOOP, OVERMOULDED LIGHT GRAY, STD, WITH CA5769560450484000</v>
      </c>
      <c r="D1016" s="7" t="s">
        <v>233</v>
      </c>
      <c r="E1016" s="6" t="s">
        <v>67</v>
      </c>
      <c r="F1016" s="6"/>
      <c r="G1016" s="7" t="s">
        <v>27</v>
      </c>
      <c r="H1016" s="19"/>
      <c r="I1016" s="19"/>
      <c r="J1016" s="19"/>
      <c r="K1016" s="19"/>
      <c r="L1016" s="14" t="s">
        <v>85</v>
      </c>
      <c r="M1016" s="22">
        <v>45048</v>
      </c>
      <c r="N1016" s="19" t="e">
        <v>#N/A</v>
      </c>
      <c r="O1016" s="19" t="e">
        <v>#N/A</v>
      </c>
      <c r="P1016" s="15">
        <v>4000</v>
      </c>
      <c r="Q1016" s="15">
        <v>255466.6</v>
      </c>
      <c r="R1016" s="15" t="e">
        <v>#N/A</v>
      </c>
      <c r="S1016" s="15">
        <v>15</v>
      </c>
      <c r="T1016" s="19" t="e">
        <v>#N/A</v>
      </c>
      <c r="U1016" s="19" t="e">
        <v>#N/A</v>
      </c>
      <c r="V1016" s="16">
        <f t="shared" si="188"/>
        <v>38319.99</v>
      </c>
      <c r="W1016" s="16">
        <f t="shared" si="189"/>
        <v>3831.9989999999998</v>
      </c>
      <c r="X1016" s="16">
        <f t="shared" si="190"/>
        <v>42151.989000000001</v>
      </c>
      <c r="Y1016" s="16">
        <f t="shared" si="191"/>
        <v>10.53799725</v>
      </c>
      <c r="Z1016" s="16">
        <f t="shared" si="192"/>
        <v>63.86665</v>
      </c>
      <c r="AA1016" s="17">
        <f t="shared" si="193"/>
        <v>4000</v>
      </c>
      <c r="AB1016" s="10">
        <v>1768</v>
      </c>
      <c r="AC1016" s="18">
        <f t="shared" si="194"/>
        <v>18631.179138</v>
      </c>
      <c r="AD1016" s="12">
        <f t="shared" si="197"/>
        <v>4000</v>
      </c>
      <c r="AE1016" s="13">
        <f t="shared" si="195"/>
        <v>0</v>
      </c>
    </row>
    <row r="1017" spans="1:31">
      <c r="A1017" s="6">
        <v>5</v>
      </c>
      <c r="B1017" s="6">
        <f t="shared" si="196"/>
        <v>32</v>
      </c>
      <c r="C1017" s="6" t="str">
        <f t="shared" si="187"/>
        <v>603171100BTAPE, ADHESIVE, TERAOKA TERAOKA NO.560S 254873344502850000</v>
      </c>
      <c r="D1017" s="7" t="s">
        <v>233</v>
      </c>
      <c r="E1017" s="6" t="s">
        <v>50</v>
      </c>
      <c r="F1017" s="6"/>
      <c r="G1017" s="7" t="s">
        <v>12</v>
      </c>
      <c r="H1017" s="19"/>
      <c r="I1017" s="19"/>
      <c r="J1017" s="19"/>
      <c r="K1017" s="19"/>
      <c r="L1017" s="14">
        <v>5487334</v>
      </c>
      <c r="M1017" s="22">
        <v>45028</v>
      </c>
      <c r="N1017" s="19" t="s">
        <v>196</v>
      </c>
      <c r="O1017" s="19" t="s">
        <v>333</v>
      </c>
      <c r="P1017" s="15">
        <v>50000</v>
      </c>
      <c r="Q1017" s="15">
        <v>312855.31</v>
      </c>
      <c r="R1017" s="15">
        <v>87089500</v>
      </c>
      <c r="S1017" s="15">
        <v>15</v>
      </c>
      <c r="T1017" s="19" t="s">
        <v>325</v>
      </c>
      <c r="U1017" s="19" t="s">
        <v>178</v>
      </c>
      <c r="V1017" s="16">
        <f t="shared" si="188"/>
        <v>46928.296499999997</v>
      </c>
      <c r="W1017" s="16">
        <f t="shared" si="189"/>
        <v>4692.8296499999997</v>
      </c>
      <c r="X1017" s="16">
        <f t="shared" si="190"/>
        <v>51621.126149999996</v>
      </c>
      <c r="Y1017" s="16">
        <f t="shared" si="191"/>
        <v>1.0324225229999999</v>
      </c>
      <c r="Z1017" s="16">
        <f t="shared" si="192"/>
        <v>6.2571062</v>
      </c>
      <c r="AA1017" s="17">
        <v>1000.2</v>
      </c>
      <c r="AB1017" s="10">
        <v>193</v>
      </c>
      <c r="AC1017" s="18">
        <f t="shared" si="194"/>
        <v>199.25754693899998</v>
      </c>
      <c r="AD1017" s="12">
        <f t="shared" si="197"/>
        <v>1000.2</v>
      </c>
      <c r="AE1017" s="13">
        <f t="shared" si="195"/>
        <v>0</v>
      </c>
    </row>
    <row r="1018" spans="1:31">
      <c r="A1018" s="6">
        <v>5</v>
      </c>
      <c r="B1018" s="6">
        <f t="shared" si="196"/>
        <v>33</v>
      </c>
      <c r="C1018" s="6" t="str">
        <f t="shared" si="187"/>
        <v>649421100AINFLATOR, ASP-5.1, P20, SRR, IMI, SERV, NO STUDS4557048449663456</v>
      </c>
      <c r="D1018" s="7" t="s">
        <v>233</v>
      </c>
      <c r="E1018" s="6" t="s">
        <v>469</v>
      </c>
      <c r="F1018" s="6"/>
      <c r="G1018" s="7" t="s">
        <v>16</v>
      </c>
      <c r="H1018" s="19"/>
      <c r="I1018" s="19"/>
      <c r="J1018" s="19"/>
      <c r="K1018" s="19"/>
      <c r="L1018" s="14" t="s">
        <v>86</v>
      </c>
      <c r="M1018" s="22">
        <v>44966</v>
      </c>
      <c r="N1018" s="19" t="e">
        <v>#N/A</v>
      </c>
      <c r="O1018" s="19" t="e">
        <v>#N/A</v>
      </c>
      <c r="P1018" s="15">
        <v>3456</v>
      </c>
      <c r="Q1018" s="15">
        <v>663871.65</v>
      </c>
      <c r="R1018" s="15" t="e">
        <v>#N/A</v>
      </c>
      <c r="S1018" s="15">
        <v>15</v>
      </c>
      <c r="T1018" s="19" t="e">
        <v>#N/A</v>
      </c>
      <c r="U1018" s="19" t="e">
        <v>#N/A</v>
      </c>
      <c r="V1018" s="16">
        <f t="shared" si="188"/>
        <v>99580.747499999998</v>
      </c>
      <c r="W1018" s="16">
        <f t="shared" si="189"/>
        <v>9958.0747499999998</v>
      </c>
      <c r="X1018" s="16">
        <f t="shared" si="190"/>
        <v>109538.82225</v>
      </c>
      <c r="Y1018" s="16">
        <f t="shared" si="191"/>
        <v>31.695261067708334</v>
      </c>
      <c r="Z1018" s="16">
        <f t="shared" si="192"/>
        <v>192.09249131944446</v>
      </c>
      <c r="AA1018" s="17">
        <f t="shared" si="193"/>
        <v>3456</v>
      </c>
      <c r="AB1018" s="10">
        <v>432</v>
      </c>
      <c r="AC1018" s="18">
        <f t="shared" si="194"/>
        <v>13692.35278125</v>
      </c>
      <c r="AD1018" s="12">
        <f t="shared" si="197"/>
        <v>2736</v>
      </c>
      <c r="AE1018" s="13">
        <f t="shared" si="195"/>
        <v>720</v>
      </c>
    </row>
    <row r="1019" spans="1:31">
      <c r="A1019" s="6">
        <v>5</v>
      </c>
      <c r="B1019" s="6">
        <f t="shared" si="196"/>
        <v>34</v>
      </c>
      <c r="C1019" s="6" t="str">
        <f t="shared" si="187"/>
        <v>619591801AINFLATOR, ASP-2, GEN15, MRR, STD COOL, UC, W STU47575054497912096</v>
      </c>
      <c r="D1019" s="7" t="s">
        <v>233</v>
      </c>
      <c r="E1019" s="6" t="s">
        <v>55</v>
      </c>
      <c r="F1019" s="6"/>
      <c r="G1019" s="19" t="s">
        <v>15</v>
      </c>
      <c r="H1019" s="19"/>
      <c r="I1019" s="19"/>
      <c r="J1019" s="19"/>
      <c r="K1019" s="19"/>
      <c r="L1019" s="14">
        <v>4757505</v>
      </c>
      <c r="M1019" s="22">
        <v>44979</v>
      </c>
      <c r="N1019" s="19" t="s">
        <v>185</v>
      </c>
      <c r="O1019" s="19" t="s">
        <v>332</v>
      </c>
      <c r="P1019" s="15">
        <v>12096</v>
      </c>
      <c r="Q1019" s="15">
        <v>2418095.83</v>
      </c>
      <c r="R1019" s="15">
        <v>87089500</v>
      </c>
      <c r="S1019" s="15">
        <v>15</v>
      </c>
      <c r="T1019" s="19" t="s">
        <v>203</v>
      </c>
      <c r="U1019" s="19" t="s">
        <v>200</v>
      </c>
      <c r="V1019" s="16">
        <f t="shared" si="188"/>
        <v>362714.37449999998</v>
      </c>
      <c r="W1019" s="16">
        <f t="shared" si="189"/>
        <v>36271.437449999998</v>
      </c>
      <c r="X1019" s="16">
        <f t="shared" si="190"/>
        <v>398985.81195</v>
      </c>
      <c r="Y1019" s="16">
        <f t="shared" si="191"/>
        <v>32.984938157242063</v>
      </c>
      <c r="Z1019" s="16">
        <f t="shared" si="192"/>
        <v>199.90871610449736</v>
      </c>
      <c r="AA1019" s="17">
        <f t="shared" si="193"/>
        <v>12096</v>
      </c>
      <c r="AB1019" s="10">
        <v>1152</v>
      </c>
      <c r="AC1019" s="18">
        <f t="shared" si="194"/>
        <v>37998.648757142859</v>
      </c>
      <c r="AD1019" s="12">
        <f t="shared" si="197"/>
        <v>1152</v>
      </c>
      <c r="AE1019" s="13">
        <f t="shared" si="195"/>
        <v>10944</v>
      </c>
    </row>
    <row r="1020" spans="1:31">
      <c r="A1020" s="6">
        <v>5</v>
      </c>
      <c r="B1020" s="6">
        <f t="shared" si="196"/>
        <v>35</v>
      </c>
      <c r="C1020" s="6" t="str">
        <f t="shared" si="187"/>
        <v>653328100ACUSHION, C AND S, SIDE, LH, BUTTON HOLE STYLE, S4745482449794160</v>
      </c>
      <c r="D1020" s="7" t="s">
        <v>233</v>
      </c>
      <c r="E1020" s="6" t="s">
        <v>53</v>
      </c>
      <c r="F1020" s="6"/>
      <c r="G1020" s="19" t="s">
        <v>13</v>
      </c>
      <c r="H1020" s="19"/>
      <c r="I1020" s="19"/>
      <c r="J1020" s="19"/>
      <c r="K1020" s="19"/>
      <c r="L1020" s="14" t="s">
        <v>88</v>
      </c>
      <c r="M1020" s="22">
        <v>44979</v>
      </c>
      <c r="N1020" s="19" t="e">
        <v>#N/A</v>
      </c>
      <c r="O1020" s="19" t="e">
        <v>#N/A</v>
      </c>
      <c r="P1020" s="15">
        <v>4160</v>
      </c>
      <c r="Q1020" s="15">
        <v>3597015.6</v>
      </c>
      <c r="R1020" s="15" t="e">
        <v>#N/A</v>
      </c>
      <c r="S1020" s="15">
        <v>5</v>
      </c>
      <c r="T1020" s="19" t="e">
        <v>#N/A</v>
      </c>
      <c r="U1020" s="19" t="e">
        <v>#N/A</v>
      </c>
      <c r="V1020" s="16">
        <f t="shared" si="188"/>
        <v>179850.78000000003</v>
      </c>
      <c r="W1020" s="16">
        <f t="shared" si="189"/>
        <v>17985.078000000005</v>
      </c>
      <c r="X1020" s="16">
        <f t="shared" si="190"/>
        <v>197835.85800000004</v>
      </c>
      <c r="Y1020" s="16">
        <f t="shared" si="191"/>
        <v>47.556696634615392</v>
      </c>
      <c r="Z1020" s="16">
        <f t="shared" si="192"/>
        <v>864.66721153846152</v>
      </c>
      <c r="AA1020" s="17">
        <f t="shared" si="193"/>
        <v>4160</v>
      </c>
      <c r="AB1020" s="10">
        <v>3760</v>
      </c>
      <c r="AC1020" s="18">
        <f t="shared" si="194"/>
        <v>178813.17934615386</v>
      </c>
      <c r="AD1020" s="12">
        <f t="shared" si="197"/>
        <v>4160</v>
      </c>
      <c r="AE1020" s="13">
        <f t="shared" si="195"/>
        <v>0</v>
      </c>
    </row>
    <row r="1021" spans="1:31">
      <c r="A1021" s="6">
        <v>5</v>
      </c>
      <c r="B1021" s="6">
        <f t="shared" si="196"/>
        <v>36</v>
      </c>
      <c r="C1021" s="6" t="str">
        <f t="shared" si="187"/>
        <v>649421100AINFLATOR, ASP-5.1, P20, SRR, IMI, SERV, NO STUDS4946913449936912</v>
      </c>
      <c r="D1021" s="7" t="s">
        <v>233</v>
      </c>
      <c r="E1021" s="6" t="s">
        <v>469</v>
      </c>
      <c r="F1021" s="6"/>
      <c r="G1021" s="7" t="s">
        <v>16</v>
      </c>
      <c r="H1021" s="19"/>
      <c r="I1021" s="19"/>
      <c r="J1021" s="19"/>
      <c r="K1021" s="19"/>
      <c r="L1021" s="14">
        <v>4946913</v>
      </c>
      <c r="M1021" s="22">
        <v>44993</v>
      </c>
      <c r="N1021" s="19" t="s">
        <v>199</v>
      </c>
      <c r="O1021" s="19" t="s">
        <v>333</v>
      </c>
      <c r="P1021" s="15">
        <v>6912</v>
      </c>
      <c r="Q1021" s="15">
        <v>1466083.43</v>
      </c>
      <c r="R1021" s="15">
        <v>87089500</v>
      </c>
      <c r="S1021" s="15">
        <v>15</v>
      </c>
      <c r="T1021" s="19" t="s">
        <v>202</v>
      </c>
      <c r="U1021" s="19" t="s">
        <v>200</v>
      </c>
      <c r="V1021" s="16">
        <f t="shared" si="188"/>
        <v>219912.51449999999</v>
      </c>
      <c r="W1021" s="16">
        <f t="shared" si="189"/>
        <v>21991.25145</v>
      </c>
      <c r="X1021" s="16">
        <f t="shared" si="190"/>
        <v>241903.76595</v>
      </c>
      <c r="Y1021" s="16">
        <f t="shared" si="191"/>
        <v>34.997651323784723</v>
      </c>
      <c r="Z1021" s="16">
        <f t="shared" si="192"/>
        <v>212.10697771990741</v>
      </c>
      <c r="AA1021" s="17">
        <f t="shared" si="193"/>
        <v>6912</v>
      </c>
      <c r="AB1021" s="10">
        <v>72</v>
      </c>
      <c r="AC1021" s="18">
        <f t="shared" si="194"/>
        <v>2519.8308953125002</v>
      </c>
      <c r="AD1021" s="12">
        <f t="shared" si="197"/>
        <v>6576</v>
      </c>
      <c r="AE1021" s="13">
        <f t="shared" si="195"/>
        <v>336</v>
      </c>
    </row>
    <row r="1022" spans="1:31">
      <c r="A1022" s="6">
        <v>5</v>
      </c>
      <c r="B1022" s="6">
        <f t="shared" si="196"/>
        <v>37</v>
      </c>
      <c r="C1022" s="6" t="str">
        <f t="shared" si="187"/>
        <v>615795701BPILLAR LOOP, OVERMOULDED LIGHT GRAY, STD, WITH CA6407285450911000</v>
      </c>
      <c r="D1022" s="7" t="s">
        <v>233</v>
      </c>
      <c r="E1022" s="6" t="s">
        <v>67</v>
      </c>
      <c r="F1022" s="6"/>
      <c r="G1022" s="7" t="s">
        <v>27</v>
      </c>
      <c r="H1022" s="19"/>
      <c r="I1022" s="19"/>
      <c r="J1022" s="19"/>
      <c r="K1022" s="19"/>
      <c r="L1022" s="14" t="s">
        <v>89</v>
      </c>
      <c r="M1022" s="22">
        <v>45091</v>
      </c>
      <c r="N1022" s="19" t="e">
        <v>#N/A</v>
      </c>
      <c r="O1022" s="19" t="e">
        <v>#N/A</v>
      </c>
      <c r="P1022" s="15">
        <v>1000</v>
      </c>
      <c r="Q1022" s="15">
        <v>64057.61</v>
      </c>
      <c r="R1022" s="15" t="e">
        <v>#N/A</v>
      </c>
      <c r="S1022" s="15">
        <v>15</v>
      </c>
      <c r="T1022" s="19" t="e">
        <v>#N/A</v>
      </c>
      <c r="U1022" s="19" t="e">
        <v>#N/A</v>
      </c>
      <c r="V1022" s="16">
        <f t="shared" si="188"/>
        <v>9608.6414999999997</v>
      </c>
      <c r="W1022" s="16">
        <f t="shared" si="189"/>
        <v>960.86415</v>
      </c>
      <c r="X1022" s="16">
        <f t="shared" si="190"/>
        <v>10569.505649999999</v>
      </c>
      <c r="Y1022" s="16">
        <f t="shared" si="191"/>
        <v>10.56950565</v>
      </c>
      <c r="Z1022" s="16">
        <f t="shared" si="192"/>
        <v>64.057609999999997</v>
      </c>
      <c r="AA1022" s="17">
        <f t="shared" si="193"/>
        <v>1000</v>
      </c>
      <c r="AB1022" s="10">
        <v>1000</v>
      </c>
      <c r="AC1022" s="18">
        <f t="shared" si="194"/>
        <v>10569.505649999999</v>
      </c>
      <c r="AD1022" s="12">
        <f t="shared" si="197"/>
        <v>1000</v>
      </c>
      <c r="AE1022" s="13">
        <f t="shared" si="195"/>
        <v>0</v>
      </c>
    </row>
    <row r="1023" spans="1:31">
      <c r="A1023" s="6">
        <v>5</v>
      </c>
      <c r="B1023" s="6">
        <f t="shared" si="196"/>
        <v>38</v>
      </c>
      <c r="C1023" s="6" t="str">
        <f t="shared" si="187"/>
        <v>615795701BPILLAR LOOP, OVERMOULDED LIGHT GRAY, STD, WITH CA6433350450934000</v>
      </c>
      <c r="D1023" s="7" t="s">
        <v>233</v>
      </c>
      <c r="E1023" s="6" t="s">
        <v>67</v>
      </c>
      <c r="F1023" s="6"/>
      <c r="G1023" s="7" t="s">
        <v>27</v>
      </c>
      <c r="H1023" s="19"/>
      <c r="I1023" s="19"/>
      <c r="J1023" s="19"/>
      <c r="K1023" s="19"/>
      <c r="L1023" s="14" t="s">
        <v>90</v>
      </c>
      <c r="M1023" s="22">
        <v>45093</v>
      </c>
      <c r="N1023" s="19" t="e">
        <v>#N/A</v>
      </c>
      <c r="O1023" s="19" t="e">
        <v>#N/A</v>
      </c>
      <c r="P1023" s="15">
        <v>4000</v>
      </c>
      <c r="Q1023" s="15">
        <v>221930.01</v>
      </c>
      <c r="R1023" s="15" t="e">
        <v>#N/A</v>
      </c>
      <c r="S1023" s="15">
        <v>15</v>
      </c>
      <c r="T1023" s="19" t="e">
        <v>#N/A</v>
      </c>
      <c r="U1023" s="19" t="e">
        <v>#N/A</v>
      </c>
      <c r="V1023" s="16">
        <f t="shared" si="188"/>
        <v>33289.501499999998</v>
      </c>
      <c r="W1023" s="16">
        <f t="shared" si="189"/>
        <v>3328.9501500000001</v>
      </c>
      <c r="X1023" s="16">
        <f t="shared" si="190"/>
        <v>36618.451649999995</v>
      </c>
      <c r="Y1023" s="16">
        <f t="shared" si="191"/>
        <v>9.1546129124999993</v>
      </c>
      <c r="Z1023" s="16">
        <f t="shared" si="192"/>
        <v>55.482502500000002</v>
      </c>
      <c r="AA1023" s="17">
        <f t="shared" si="193"/>
        <v>4000</v>
      </c>
      <c r="AB1023" s="10">
        <v>4000</v>
      </c>
      <c r="AC1023" s="18">
        <f t="shared" si="194"/>
        <v>36618.451649999995</v>
      </c>
      <c r="AD1023" s="12">
        <f t="shared" si="197"/>
        <v>4000</v>
      </c>
      <c r="AE1023" s="13">
        <f t="shared" si="195"/>
        <v>0</v>
      </c>
    </row>
    <row r="1024" spans="1:31">
      <c r="A1024" s="6">
        <v>5</v>
      </c>
      <c r="B1024" s="6">
        <f t="shared" si="196"/>
        <v>39</v>
      </c>
      <c r="C1024" s="6" t="str">
        <f t="shared" si="187"/>
        <v>615795701BPILLAR LOOP, OVERMOULDED LIGHT GRAY, STD, WITH CA7180105451414000</v>
      </c>
      <c r="D1024" s="7" t="s">
        <v>233</v>
      </c>
      <c r="E1024" s="6" t="s">
        <v>67</v>
      </c>
      <c r="F1024" s="6"/>
      <c r="G1024" s="7" t="s">
        <v>27</v>
      </c>
      <c r="H1024" s="19"/>
      <c r="I1024" s="19"/>
      <c r="J1024" s="19"/>
      <c r="K1024" s="19"/>
      <c r="L1024" s="14">
        <v>7180105</v>
      </c>
      <c r="M1024" s="22">
        <v>45141</v>
      </c>
      <c r="N1024" s="19" t="s">
        <v>185</v>
      </c>
      <c r="O1024" s="19" t="s">
        <v>332</v>
      </c>
      <c r="P1024" s="15">
        <v>4000</v>
      </c>
      <c r="Q1024" s="15">
        <v>235435.48</v>
      </c>
      <c r="R1024" s="15">
        <v>87082900</v>
      </c>
      <c r="S1024" s="15">
        <v>15</v>
      </c>
      <c r="T1024" s="19" t="s">
        <v>339</v>
      </c>
      <c r="U1024" s="19" t="s">
        <v>178</v>
      </c>
      <c r="V1024" s="16">
        <f t="shared" si="188"/>
        <v>35315.322</v>
      </c>
      <c r="W1024" s="16">
        <f t="shared" si="189"/>
        <v>3531.5322000000001</v>
      </c>
      <c r="X1024" s="16">
        <f t="shared" si="190"/>
        <v>38846.854200000002</v>
      </c>
      <c r="Y1024" s="16">
        <f t="shared" si="191"/>
        <v>9.7117135500000007</v>
      </c>
      <c r="Z1024" s="16">
        <f t="shared" si="192"/>
        <v>58.858870000000003</v>
      </c>
      <c r="AA1024" s="17">
        <f t="shared" si="193"/>
        <v>4000</v>
      </c>
      <c r="AB1024" s="10">
        <v>108</v>
      </c>
      <c r="AC1024" s="18">
        <f t="shared" si="194"/>
        <v>1048.8650634000001</v>
      </c>
      <c r="AD1024" s="12">
        <f t="shared" si="197"/>
        <v>4000</v>
      </c>
      <c r="AE1024" s="13">
        <f t="shared" si="195"/>
        <v>0</v>
      </c>
    </row>
    <row r="1025" spans="1:31">
      <c r="A1025" s="6">
        <v>5</v>
      </c>
      <c r="B1025" s="6">
        <f t="shared" si="196"/>
        <v>40</v>
      </c>
      <c r="C1025" s="6" t="str">
        <f t="shared" si="187"/>
        <v>654590600ASU2ID STD CUSHION COMPON CVR NON-WOVEN RH4526912449633600</v>
      </c>
      <c r="D1025" s="7" t="s">
        <v>233</v>
      </c>
      <c r="E1025" s="6" t="s">
        <v>78</v>
      </c>
      <c r="F1025" s="6"/>
      <c r="G1025" s="7" t="s">
        <v>38</v>
      </c>
      <c r="H1025" s="19"/>
      <c r="I1025" s="19"/>
      <c r="J1025" s="19"/>
      <c r="K1025" s="19"/>
      <c r="L1025" s="14" t="s">
        <v>91</v>
      </c>
      <c r="M1025" s="22">
        <v>44963</v>
      </c>
      <c r="N1025" s="19" t="e">
        <v>#N/A</v>
      </c>
      <c r="O1025" s="19" t="e">
        <v>#N/A</v>
      </c>
      <c r="P1025" s="15">
        <v>3600</v>
      </c>
      <c r="Q1025" s="15">
        <v>51840.65</v>
      </c>
      <c r="R1025" s="15" t="e">
        <v>#N/A</v>
      </c>
      <c r="S1025" s="15">
        <v>15</v>
      </c>
      <c r="T1025" s="19" t="e">
        <v>#N/A</v>
      </c>
      <c r="U1025" s="19" t="e">
        <v>#N/A</v>
      </c>
      <c r="V1025" s="16">
        <f t="shared" si="188"/>
        <v>7776.0974999999999</v>
      </c>
      <c r="W1025" s="16">
        <f t="shared" si="189"/>
        <v>777.60975000000008</v>
      </c>
      <c r="X1025" s="16">
        <f t="shared" si="190"/>
        <v>8553.7072499999995</v>
      </c>
      <c r="Y1025" s="16">
        <f t="shared" si="191"/>
        <v>2.3760297916666664</v>
      </c>
      <c r="Z1025" s="16">
        <f t="shared" si="192"/>
        <v>14.400180555555556</v>
      </c>
      <c r="AA1025" s="17">
        <f t="shared" si="193"/>
        <v>3600</v>
      </c>
      <c r="AB1025" s="10">
        <v>3600</v>
      </c>
      <c r="AC1025" s="18">
        <f t="shared" si="194"/>
        <v>8553.7072499999995</v>
      </c>
      <c r="AD1025" s="12">
        <f t="shared" si="197"/>
        <v>3600</v>
      </c>
      <c r="AE1025" s="13">
        <f t="shared" si="195"/>
        <v>0</v>
      </c>
    </row>
    <row r="1026" spans="1:31">
      <c r="A1026" s="6">
        <v>5</v>
      </c>
      <c r="B1026" s="6">
        <f t="shared" si="196"/>
        <v>41</v>
      </c>
      <c r="C1026" s="6" t="str">
        <f t="shared" ref="C1026:C1089" si="198">E1026&amp;G1026&amp;L1026&amp;M1026&amp;P1026</f>
        <v>654590600ASU2ID STD CUSHION COMPON CVR NON-WOVEN RH4835449449851800</v>
      </c>
      <c r="D1026" s="7" t="s">
        <v>233</v>
      </c>
      <c r="E1026" s="6" t="s">
        <v>78</v>
      </c>
      <c r="F1026" s="6"/>
      <c r="G1026" s="7" t="s">
        <v>38</v>
      </c>
      <c r="H1026" s="19"/>
      <c r="I1026" s="19"/>
      <c r="J1026" s="19"/>
      <c r="K1026" s="19"/>
      <c r="L1026" s="14" t="s">
        <v>92</v>
      </c>
      <c r="M1026" s="22">
        <v>44985</v>
      </c>
      <c r="N1026" s="19" t="e">
        <v>#N/A</v>
      </c>
      <c r="O1026" s="19" t="e">
        <v>#N/A</v>
      </c>
      <c r="P1026" s="15">
        <v>1800</v>
      </c>
      <c r="Q1026" s="15">
        <v>26202.240000000002</v>
      </c>
      <c r="R1026" s="15" t="e">
        <v>#N/A</v>
      </c>
      <c r="S1026" s="15">
        <v>15</v>
      </c>
      <c r="T1026" s="19" t="e">
        <v>#N/A</v>
      </c>
      <c r="U1026" s="19" t="e">
        <v>#N/A</v>
      </c>
      <c r="V1026" s="16">
        <f t="shared" si="188"/>
        <v>3930.3360000000002</v>
      </c>
      <c r="W1026" s="16">
        <f t="shared" si="189"/>
        <v>393.03360000000004</v>
      </c>
      <c r="X1026" s="16">
        <f t="shared" si="190"/>
        <v>4323.3696</v>
      </c>
      <c r="Y1026" s="16">
        <f t="shared" si="191"/>
        <v>2.401872</v>
      </c>
      <c r="Z1026" s="16">
        <f t="shared" si="192"/>
        <v>14.556800000000001</v>
      </c>
      <c r="AA1026" s="17">
        <f t="shared" si="193"/>
        <v>1800</v>
      </c>
      <c r="AB1026" s="10">
        <v>1800</v>
      </c>
      <c r="AC1026" s="18">
        <f t="shared" si="194"/>
        <v>4323.3696</v>
      </c>
      <c r="AD1026" s="12">
        <f t="shared" si="197"/>
        <v>1800</v>
      </c>
      <c r="AE1026" s="13">
        <f t="shared" si="195"/>
        <v>0</v>
      </c>
    </row>
    <row r="1027" spans="1:31">
      <c r="A1027" s="6">
        <v>5</v>
      </c>
      <c r="B1027" s="6">
        <f t="shared" si="196"/>
        <v>42</v>
      </c>
      <c r="C1027" s="6" t="str">
        <f t="shared" si="198"/>
        <v>654590600ASU2ID STD CUSHION COMPON CVR NON-WOVEN RH5279973450146300</v>
      </c>
      <c r="D1027" s="7" t="s">
        <v>233</v>
      </c>
      <c r="E1027" s="6" t="s">
        <v>78</v>
      </c>
      <c r="F1027" s="6"/>
      <c r="G1027" s="7" t="s">
        <v>38</v>
      </c>
      <c r="H1027" s="19"/>
      <c r="I1027" s="19"/>
      <c r="J1027" s="19"/>
      <c r="K1027" s="19"/>
      <c r="L1027" s="14" t="s">
        <v>93</v>
      </c>
      <c r="M1027" s="22">
        <v>45014</v>
      </c>
      <c r="N1027" s="19" t="e">
        <v>#N/A</v>
      </c>
      <c r="O1027" s="19" t="e">
        <v>#N/A</v>
      </c>
      <c r="P1027" s="15">
        <v>6300</v>
      </c>
      <c r="Q1027" s="15">
        <v>81753.97</v>
      </c>
      <c r="R1027" s="15" t="e">
        <v>#N/A</v>
      </c>
      <c r="S1027" s="15">
        <v>15</v>
      </c>
      <c r="T1027" s="19" t="e">
        <v>#N/A</v>
      </c>
      <c r="U1027" s="19" t="e">
        <v>#N/A</v>
      </c>
      <c r="V1027" s="16">
        <f t="shared" si="188"/>
        <v>12263.095499999999</v>
      </c>
      <c r="W1027" s="16">
        <f t="shared" si="189"/>
        <v>1226.3095499999999</v>
      </c>
      <c r="X1027" s="16">
        <f t="shared" si="190"/>
        <v>13489.405049999999</v>
      </c>
      <c r="Y1027" s="16">
        <f t="shared" si="191"/>
        <v>2.1411754047619045</v>
      </c>
      <c r="Z1027" s="16">
        <f t="shared" si="192"/>
        <v>12.976820634920635</v>
      </c>
      <c r="AA1027" s="17">
        <f t="shared" si="193"/>
        <v>6300</v>
      </c>
      <c r="AB1027" s="10">
        <v>6300</v>
      </c>
      <c r="AC1027" s="18">
        <f t="shared" si="194"/>
        <v>13489.405049999998</v>
      </c>
      <c r="AD1027" s="12">
        <f t="shared" si="197"/>
        <v>6300</v>
      </c>
      <c r="AE1027" s="13">
        <f t="shared" si="195"/>
        <v>0</v>
      </c>
    </row>
    <row r="1028" spans="1:31">
      <c r="A1028" s="6">
        <v>5</v>
      </c>
      <c r="B1028" s="6">
        <f t="shared" si="196"/>
        <v>43</v>
      </c>
      <c r="C1028" s="6" t="str">
        <f t="shared" si="198"/>
        <v>654590600ASU2ID STD CUSHION COMPON CVR NON-WOVEN RH5813466450512700</v>
      </c>
      <c r="D1028" s="7" t="s">
        <v>233</v>
      </c>
      <c r="E1028" s="6" t="s">
        <v>78</v>
      </c>
      <c r="F1028" s="6"/>
      <c r="G1028" s="7" t="s">
        <v>38</v>
      </c>
      <c r="H1028" s="19"/>
      <c r="I1028" s="19"/>
      <c r="J1028" s="19"/>
      <c r="K1028" s="19"/>
      <c r="L1028" s="14" t="s">
        <v>94</v>
      </c>
      <c r="M1028" s="22">
        <v>45051</v>
      </c>
      <c r="N1028" s="19" t="e">
        <v>#N/A</v>
      </c>
      <c r="O1028" s="19" t="e">
        <v>#N/A</v>
      </c>
      <c r="P1028" s="15">
        <v>2700</v>
      </c>
      <c r="Q1028" s="15">
        <v>34691.32</v>
      </c>
      <c r="R1028" s="15" t="e">
        <v>#N/A</v>
      </c>
      <c r="S1028" s="15">
        <v>15</v>
      </c>
      <c r="T1028" s="19" t="e">
        <v>#N/A</v>
      </c>
      <c r="U1028" s="19" t="e">
        <v>#N/A</v>
      </c>
      <c r="V1028" s="16">
        <f t="shared" ref="V1028:V1091" si="199">Q1028*S1028%</f>
        <v>5203.6979999999994</v>
      </c>
      <c r="W1028" s="16">
        <f t="shared" ref="W1028:W1091" si="200">V1028*0.1</f>
        <v>520.36979999999994</v>
      </c>
      <c r="X1028" s="16">
        <f t="shared" ref="X1028:X1091" si="201">V1028+W1028</f>
        <v>5724.0677999999989</v>
      </c>
      <c r="Y1028" s="16">
        <f t="shared" ref="Y1028:Y1091" si="202">X1028/P1028</f>
        <v>2.1200251111111106</v>
      </c>
      <c r="Z1028" s="16">
        <f t="shared" ref="Z1028:Z1091" si="203">Q1028/P1028</f>
        <v>12.848637037037037</v>
      </c>
      <c r="AA1028" s="17">
        <f t="shared" ref="AA1028:AA1091" si="204">P1028</f>
        <v>2700</v>
      </c>
      <c r="AB1028" s="10">
        <v>2700</v>
      </c>
      <c r="AC1028" s="18">
        <f t="shared" ref="AC1028:AC1091" si="205">AB1028*Y1028</f>
        <v>5724.0677999999989</v>
      </c>
      <c r="AD1028" s="12">
        <f t="shared" si="197"/>
        <v>2700</v>
      </c>
      <c r="AE1028" s="13">
        <f t="shared" ref="AE1028:AE1091" si="206">AA1028-AD1028</f>
        <v>0</v>
      </c>
    </row>
    <row r="1029" spans="1:31">
      <c r="A1029" s="6">
        <v>5</v>
      </c>
      <c r="B1029" s="6">
        <f t="shared" ref="B1029:B1040" si="207">B1028+1</f>
        <v>44</v>
      </c>
      <c r="C1029" s="6" t="str">
        <f t="shared" si="198"/>
        <v>603171100BTAPE, ADHESIVE, TERAOKA TERAOKA NO.560S 265725514510150000</v>
      </c>
      <c r="D1029" s="7" t="s">
        <v>233</v>
      </c>
      <c r="E1029" s="6" t="s">
        <v>50</v>
      </c>
      <c r="F1029" s="6"/>
      <c r="G1029" s="7" t="s">
        <v>12</v>
      </c>
      <c r="H1029" s="19"/>
      <c r="I1029" s="19"/>
      <c r="J1029" s="19"/>
      <c r="K1029" s="19"/>
      <c r="L1029" s="14">
        <v>6572551</v>
      </c>
      <c r="M1029" s="22">
        <v>45101</v>
      </c>
      <c r="N1029" s="19" t="s">
        <v>196</v>
      </c>
      <c r="O1029" s="19" t="s">
        <v>333</v>
      </c>
      <c r="P1029" s="15">
        <v>50000</v>
      </c>
      <c r="Q1029" s="15">
        <v>313708.49</v>
      </c>
      <c r="R1029" s="15">
        <v>87082900</v>
      </c>
      <c r="S1029" s="15">
        <v>15</v>
      </c>
      <c r="T1029" s="19" t="s">
        <v>323</v>
      </c>
      <c r="U1029" s="19" t="s">
        <v>178</v>
      </c>
      <c r="V1029" s="16">
        <f t="shared" si="199"/>
        <v>47056.273499999996</v>
      </c>
      <c r="W1029" s="16">
        <f t="shared" si="200"/>
        <v>4705.6273499999998</v>
      </c>
      <c r="X1029" s="16">
        <f t="shared" si="201"/>
        <v>51761.900849999998</v>
      </c>
      <c r="Y1029" s="16">
        <f t="shared" si="202"/>
        <v>1.035238017</v>
      </c>
      <c r="Z1029" s="16">
        <f t="shared" si="203"/>
        <v>6.2741698000000001</v>
      </c>
      <c r="AA1029" s="17">
        <f t="shared" si="204"/>
        <v>50000</v>
      </c>
      <c r="AB1029" s="10">
        <v>767.6</v>
      </c>
      <c r="AC1029" s="18">
        <f t="shared" si="205"/>
        <v>794.64870184919994</v>
      </c>
      <c r="AD1029" s="12">
        <f t="shared" si="197"/>
        <v>970.40000000000009</v>
      </c>
      <c r="AE1029" s="13">
        <f t="shared" si="206"/>
        <v>49029.599999999999</v>
      </c>
    </row>
    <row r="1030" spans="1:31">
      <c r="A1030" s="6">
        <v>5</v>
      </c>
      <c r="B1030" s="6">
        <f t="shared" si="207"/>
        <v>45</v>
      </c>
      <c r="C1030" s="6" t="str">
        <f t="shared" si="198"/>
        <v>NWB2834WASHER, WAVED 68542594512020000</v>
      </c>
      <c r="D1030" s="7" t="s">
        <v>233</v>
      </c>
      <c r="E1030" s="6" t="s">
        <v>77</v>
      </c>
      <c r="F1030" s="6"/>
      <c r="G1030" s="7" t="s">
        <v>37</v>
      </c>
      <c r="H1030" s="19"/>
      <c r="I1030" s="19"/>
      <c r="J1030" s="19"/>
      <c r="K1030" s="19"/>
      <c r="L1030" s="14" t="s">
        <v>95</v>
      </c>
      <c r="M1030" s="22">
        <v>45120</v>
      </c>
      <c r="N1030" s="19" t="s">
        <v>196</v>
      </c>
      <c r="O1030" s="19" t="s">
        <v>226</v>
      </c>
      <c r="P1030" s="15">
        <v>20000</v>
      </c>
      <c r="Q1030" s="15">
        <v>35281.85</v>
      </c>
      <c r="R1030" s="15">
        <v>87082900</v>
      </c>
      <c r="S1030" s="15">
        <v>15</v>
      </c>
      <c r="T1030" s="19" t="s">
        <v>207</v>
      </c>
      <c r="U1030" s="19" t="s">
        <v>178</v>
      </c>
      <c r="V1030" s="16">
        <f t="shared" si="199"/>
        <v>5292.2774999999992</v>
      </c>
      <c r="W1030" s="16">
        <f t="shared" si="200"/>
        <v>529.2277499999999</v>
      </c>
      <c r="X1030" s="16">
        <f t="shared" si="201"/>
        <v>5821.5052499999993</v>
      </c>
      <c r="Y1030" s="16">
        <f t="shared" si="202"/>
        <v>0.29107526249999999</v>
      </c>
      <c r="Z1030" s="16">
        <f t="shared" si="203"/>
        <v>1.7640924999999998</v>
      </c>
      <c r="AA1030" s="17">
        <f t="shared" si="204"/>
        <v>20000</v>
      </c>
      <c r="AB1030" s="10">
        <v>5824</v>
      </c>
      <c r="AC1030" s="18">
        <f t="shared" si="205"/>
        <v>1695.2223288</v>
      </c>
      <c r="AD1030" s="12">
        <f t="shared" si="197"/>
        <v>18848</v>
      </c>
      <c r="AE1030" s="13">
        <f t="shared" si="206"/>
        <v>1152</v>
      </c>
    </row>
    <row r="1031" spans="1:31">
      <c r="A1031" s="6">
        <v>5</v>
      </c>
      <c r="B1031" s="6">
        <f t="shared" si="207"/>
        <v>46</v>
      </c>
      <c r="C1031" s="6" t="str">
        <f t="shared" si="198"/>
        <v>619591801AINFLATOR, ASP-2, GEN15, MRR, STD COOL, UC, W STU4866297449873456</v>
      </c>
      <c r="D1031" s="7" t="s">
        <v>233</v>
      </c>
      <c r="E1031" s="6" t="s">
        <v>55</v>
      </c>
      <c r="F1031" s="6"/>
      <c r="G1031" s="19" t="s">
        <v>15</v>
      </c>
      <c r="H1031" s="19"/>
      <c r="I1031" s="19"/>
      <c r="J1031" s="19"/>
      <c r="K1031" s="19"/>
      <c r="L1031" s="14" t="s">
        <v>96</v>
      </c>
      <c r="M1031" s="22">
        <v>44987</v>
      </c>
      <c r="N1031" s="19" t="e">
        <v>#N/A</v>
      </c>
      <c r="O1031" s="19" t="e">
        <v>#N/A</v>
      </c>
      <c r="P1031" s="15">
        <v>3456</v>
      </c>
      <c r="Q1031" s="15">
        <v>937616.2</v>
      </c>
      <c r="R1031" s="15" t="e">
        <v>#N/A</v>
      </c>
      <c r="S1031" s="15">
        <v>15</v>
      </c>
      <c r="T1031" s="19" t="e">
        <v>#N/A</v>
      </c>
      <c r="U1031" s="19" t="e">
        <v>#N/A</v>
      </c>
      <c r="V1031" s="16">
        <f t="shared" si="199"/>
        <v>140642.43</v>
      </c>
      <c r="W1031" s="16">
        <f t="shared" si="200"/>
        <v>14064.243</v>
      </c>
      <c r="X1031" s="16">
        <f t="shared" si="201"/>
        <v>154706.67299999998</v>
      </c>
      <c r="Y1031" s="16">
        <f t="shared" si="202"/>
        <v>44.76466232638888</v>
      </c>
      <c r="Z1031" s="16">
        <f t="shared" si="203"/>
        <v>271.30098379629629</v>
      </c>
      <c r="AA1031" s="17">
        <f t="shared" si="204"/>
        <v>3456</v>
      </c>
      <c r="AB1031" s="10">
        <v>3456</v>
      </c>
      <c r="AC1031" s="18">
        <f t="shared" si="205"/>
        <v>154706.67299999998</v>
      </c>
      <c r="AD1031" s="12">
        <f t="shared" si="197"/>
        <v>3456</v>
      </c>
      <c r="AE1031" s="13">
        <f t="shared" si="206"/>
        <v>0</v>
      </c>
    </row>
    <row r="1032" spans="1:31">
      <c r="A1032" s="6">
        <v>5</v>
      </c>
      <c r="B1032" s="6">
        <f t="shared" si="207"/>
        <v>47</v>
      </c>
      <c r="C1032" s="6" t="str">
        <f t="shared" si="198"/>
        <v>619591801AINFLATOR, ASP-2, GEN15, MRR, STD COOL, UC, W STU4946913449933456</v>
      </c>
      <c r="D1032" s="7" t="s">
        <v>233</v>
      </c>
      <c r="E1032" s="6" t="s">
        <v>55</v>
      </c>
      <c r="F1032" s="6"/>
      <c r="G1032" s="19" t="s">
        <v>15</v>
      </c>
      <c r="H1032" s="19"/>
      <c r="I1032" s="19"/>
      <c r="J1032" s="19"/>
      <c r="K1032" s="19"/>
      <c r="L1032" s="14" t="s">
        <v>97</v>
      </c>
      <c r="M1032" s="22">
        <v>44993</v>
      </c>
      <c r="N1032" s="19" t="e">
        <v>#N/A</v>
      </c>
      <c r="O1032" s="19" t="e">
        <v>#N/A</v>
      </c>
      <c r="P1032" s="15">
        <v>3456</v>
      </c>
      <c r="Q1032" s="15">
        <v>935991.28</v>
      </c>
      <c r="R1032" s="15" t="e">
        <v>#N/A</v>
      </c>
      <c r="S1032" s="15">
        <v>15</v>
      </c>
      <c r="T1032" s="19" t="e">
        <v>#N/A</v>
      </c>
      <c r="U1032" s="19" t="e">
        <v>#N/A</v>
      </c>
      <c r="V1032" s="16">
        <f t="shared" si="199"/>
        <v>140398.69200000001</v>
      </c>
      <c r="W1032" s="16">
        <f t="shared" si="200"/>
        <v>14039.869200000001</v>
      </c>
      <c r="X1032" s="16">
        <f t="shared" si="201"/>
        <v>154438.5612</v>
      </c>
      <c r="Y1032" s="16">
        <f t="shared" si="202"/>
        <v>44.687083680555553</v>
      </c>
      <c r="Z1032" s="16">
        <f t="shared" si="203"/>
        <v>270.83081018518521</v>
      </c>
      <c r="AA1032" s="17">
        <f t="shared" si="204"/>
        <v>3456</v>
      </c>
      <c r="AB1032" s="10">
        <v>3456</v>
      </c>
      <c r="AC1032" s="18">
        <f t="shared" si="205"/>
        <v>154438.5612</v>
      </c>
      <c r="AD1032" s="12">
        <f t="shared" si="197"/>
        <v>3456</v>
      </c>
      <c r="AE1032" s="13">
        <f t="shared" si="206"/>
        <v>0</v>
      </c>
    </row>
    <row r="1033" spans="1:31">
      <c r="A1033" s="6">
        <v>5</v>
      </c>
      <c r="B1033" s="6">
        <f t="shared" si="207"/>
        <v>48</v>
      </c>
      <c r="C1033" s="6" t="str">
        <f t="shared" si="198"/>
        <v>619591801AINFLATOR, ASP-2, GEN15, MRR, STD COOL, UC, W STU5366704450203456</v>
      </c>
      <c r="D1033" s="7" t="s">
        <v>233</v>
      </c>
      <c r="E1033" s="6" t="s">
        <v>55</v>
      </c>
      <c r="F1033" s="6"/>
      <c r="G1033" s="19" t="s">
        <v>15</v>
      </c>
      <c r="H1033" s="19"/>
      <c r="I1033" s="19"/>
      <c r="J1033" s="19"/>
      <c r="K1033" s="19"/>
      <c r="L1033" s="14" t="s">
        <v>98</v>
      </c>
      <c r="M1033" s="22">
        <v>45020</v>
      </c>
      <c r="N1033" s="19" t="e">
        <v>#N/A</v>
      </c>
      <c r="O1033" s="19" t="e">
        <v>#N/A</v>
      </c>
      <c r="P1033" s="15">
        <v>3456</v>
      </c>
      <c r="Q1033" s="15">
        <v>937801.32</v>
      </c>
      <c r="R1033" s="15" t="e">
        <v>#N/A</v>
      </c>
      <c r="S1033" s="15">
        <v>15</v>
      </c>
      <c r="T1033" s="19" t="e">
        <v>#N/A</v>
      </c>
      <c r="U1033" s="19" t="e">
        <v>#N/A</v>
      </c>
      <c r="V1033" s="16">
        <f t="shared" si="199"/>
        <v>140670.19799999997</v>
      </c>
      <c r="W1033" s="16">
        <f t="shared" si="200"/>
        <v>14067.019799999998</v>
      </c>
      <c r="X1033" s="16">
        <f t="shared" si="201"/>
        <v>154737.21779999998</v>
      </c>
      <c r="Y1033" s="16">
        <f t="shared" si="202"/>
        <v>44.773500520833331</v>
      </c>
      <c r="Z1033" s="16">
        <f t="shared" si="203"/>
        <v>271.35454861111111</v>
      </c>
      <c r="AA1033" s="17">
        <f t="shared" si="204"/>
        <v>3456</v>
      </c>
      <c r="AB1033" s="10">
        <v>3456</v>
      </c>
      <c r="AC1033" s="18">
        <f t="shared" si="205"/>
        <v>154737.21779999998</v>
      </c>
      <c r="AD1033" s="12">
        <f t="shared" si="197"/>
        <v>3456</v>
      </c>
      <c r="AE1033" s="13">
        <f t="shared" si="206"/>
        <v>0</v>
      </c>
    </row>
    <row r="1034" spans="1:31">
      <c r="A1034" s="6">
        <v>5</v>
      </c>
      <c r="B1034" s="6">
        <f t="shared" si="207"/>
        <v>49</v>
      </c>
      <c r="C1034" s="6" t="str">
        <f t="shared" si="198"/>
        <v>619591801AINFLATOR, ASP-2, GEN15, MRR, STD COOL, UC, W STU5415155450233456</v>
      </c>
      <c r="D1034" s="7" t="s">
        <v>233</v>
      </c>
      <c r="E1034" s="6" t="s">
        <v>55</v>
      </c>
      <c r="F1034" s="6"/>
      <c r="G1034" s="19" t="s">
        <v>15</v>
      </c>
      <c r="H1034" s="19"/>
      <c r="I1034" s="19"/>
      <c r="J1034" s="19"/>
      <c r="K1034" s="19"/>
      <c r="L1034" s="14" t="s">
        <v>99</v>
      </c>
      <c r="M1034" s="22">
        <v>45023</v>
      </c>
      <c r="N1034" s="19" t="e">
        <v>#N/A</v>
      </c>
      <c r="O1034" s="19" t="e">
        <v>#N/A</v>
      </c>
      <c r="P1034" s="15">
        <v>3456</v>
      </c>
      <c r="Q1034" s="15">
        <v>928964</v>
      </c>
      <c r="R1034" s="15" t="e">
        <v>#N/A</v>
      </c>
      <c r="S1034" s="15">
        <v>15</v>
      </c>
      <c r="T1034" s="19" t="e">
        <v>#N/A</v>
      </c>
      <c r="U1034" s="19" t="e">
        <v>#N/A</v>
      </c>
      <c r="V1034" s="16">
        <f t="shared" si="199"/>
        <v>139344.6</v>
      </c>
      <c r="W1034" s="16">
        <f t="shared" si="200"/>
        <v>13934.460000000001</v>
      </c>
      <c r="X1034" s="16">
        <f t="shared" si="201"/>
        <v>153279.06</v>
      </c>
      <c r="Y1034" s="16">
        <f t="shared" si="202"/>
        <v>44.351579861111112</v>
      </c>
      <c r="Z1034" s="16">
        <f t="shared" si="203"/>
        <v>268.7974537037037</v>
      </c>
      <c r="AA1034" s="17">
        <f t="shared" si="204"/>
        <v>3456</v>
      </c>
      <c r="AB1034" s="10">
        <v>3456</v>
      </c>
      <c r="AC1034" s="18">
        <f t="shared" si="205"/>
        <v>153279.06</v>
      </c>
      <c r="AD1034" s="12">
        <f t="shared" si="197"/>
        <v>3456</v>
      </c>
      <c r="AE1034" s="13">
        <f t="shared" si="206"/>
        <v>0</v>
      </c>
    </row>
    <row r="1035" spans="1:31">
      <c r="A1035" s="6">
        <v>5</v>
      </c>
      <c r="B1035" s="6">
        <f t="shared" si="207"/>
        <v>50</v>
      </c>
      <c r="C1035" s="6" t="str">
        <f t="shared" si="198"/>
        <v>619591801AINFLATOR, ASP-2, GEN15, MRR, STD COOL, UC, W STU8665993452376912</v>
      </c>
      <c r="D1035" s="7" t="s">
        <v>233</v>
      </c>
      <c r="E1035" s="6" t="s">
        <v>55</v>
      </c>
      <c r="F1035" s="6"/>
      <c r="G1035" s="19" t="s">
        <v>15</v>
      </c>
      <c r="H1035" s="19"/>
      <c r="I1035" s="19"/>
      <c r="J1035" s="19"/>
      <c r="K1035" s="19"/>
      <c r="L1035" s="14" t="s">
        <v>100</v>
      </c>
      <c r="M1035" s="22">
        <v>45237</v>
      </c>
      <c r="N1035" s="19" t="e">
        <v>#N/A</v>
      </c>
      <c r="O1035" s="19" t="e">
        <v>#N/A</v>
      </c>
      <c r="P1035" s="15">
        <v>6912</v>
      </c>
      <c r="Q1035" s="15">
        <v>1874465.78</v>
      </c>
      <c r="R1035" s="15" t="e">
        <v>#N/A</v>
      </c>
      <c r="S1035" s="15">
        <v>15</v>
      </c>
      <c r="T1035" s="19" t="e">
        <v>#N/A</v>
      </c>
      <c r="U1035" s="19" t="e">
        <v>#N/A</v>
      </c>
      <c r="V1035" s="16">
        <f t="shared" si="199"/>
        <v>281169.86699999997</v>
      </c>
      <c r="W1035" s="16">
        <f t="shared" si="200"/>
        <v>28116.986699999998</v>
      </c>
      <c r="X1035" s="16">
        <f t="shared" si="201"/>
        <v>309286.85369999998</v>
      </c>
      <c r="Y1035" s="16">
        <f t="shared" si="202"/>
        <v>44.746361935763886</v>
      </c>
      <c r="Z1035" s="16">
        <f t="shared" si="203"/>
        <v>271.19007233796299</v>
      </c>
      <c r="AA1035" s="17">
        <f t="shared" si="204"/>
        <v>6912</v>
      </c>
      <c r="AB1035" s="10">
        <v>960</v>
      </c>
      <c r="AC1035" s="18">
        <f t="shared" si="205"/>
        <v>42956.507458333333</v>
      </c>
      <c r="AD1035" s="12">
        <f t="shared" si="197"/>
        <v>6912</v>
      </c>
      <c r="AE1035" s="13">
        <f t="shared" si="206"/>
        <v>0</v>
      </c>
    </row>
    <row r="1036" spans="1:31">
      <c r="A1036" s="6">
        <v>5</v>
      </c>
      <c r="B1036" s="6">
        <f t="shared" si="207"/>
        <v>51</v>
      </c>
      <c r="C1036" s="6" t="str">
        <f t="shared" si="198"/>
        <v>632955901AINFLATORS, APP-4.6 39552714492417280</v>
      </c>
      <c r="D1036" s="7" t="s">
        <v>233</v>
      </c>
      <c r="E1036" s="6" t="s">
        <v>48</v>
      </c>
      <c r="F1036" s="6"/>
      <c r="G1036" s="7" t="s">
        <v>10</v>
      </c>
      <c r="H1036" s="19"/>
      <c r="I1036" s="19"/>
      <c r="J1036" s="19"/>
      <c r="K1036" s="19"/>
      <c r="L1036" s="14">
        <v>3955271</v>
      </c>
      <c r="M1036" s="22">
        <v>44924</v>
      </c>
      <c r="N1036" s="19" t="s">
        <v>199</v>
      </c>
      <c r="O1036" s="19" t="s">
        <v>333</v>
      </c>
      <c r="P1036" s="15">
        <v>17280</v>
      </c>
      <c r="Q1036" s="15">
        <v>6760871.4100000001</v>
      </c>
      <c r="R1036" s="15">
        <v>87089500</v>
      </c>
      <c r="S1036" s="15">
        <v>15</v>
      </c>
      <c r="T1036" s="19" t="s">
        <v>202</v>
      </c>
      <c r="U1036" s="19" t="s">
        <v>200</v>
      </c>
      <c r="V1036" s="16">
        <f t="shared" si="199"/>
        <v>1014130.7115</v>
      </c>
      <c r="W1036" s="16">
        <f t="shared" si="200"/>
        <v>101413.07115</v>
      </c>
      <c r="X1036" s="16">
        <f t="shared" si="201"/>
        <v>1115543.78265</v>
      </c>
      <c r="Y1036" s="16">
        <f t="shared" si="202"/>
        <v>64.556931866319445</v>
      </c>
      <c r="Z1036" s="16">
        <f t="shared" si="203"/>
        <v>391.25413252314814</v>
      </c>
      <c r="AA1036" s="17">
        <f t="shared" si="204"/>
        <v>17280</v>
      </c>
      <c r="AB1036" s="10">
        <v>1656</v>
      </c>
      <c r="AC1036" s="18">
        <f t="shared" si="205"/>
        <v>106906.279170625</v>
      </c>
      <c r="AD1036" s="12">
        <f t="shared" si="197"/>
        <v>17028</v>
      </c>
      <c r="AE1036" s="13">
        <f t="shared" si="206"/>
        <v>252</v>
      </c>
    </row>
    <row r="1037" spans="1:31">
      <c r="A1037" s="6">
        <v>5</v>
      </c>
      <c r="B1037" s="6">
        <f t="shared" si="207"/>
        <v>52</v>
      </c>
      <c r="C1037" s="6" t="str">
        <f t="shared" si="198"/>
        <v>649421100AINFLATOR, ASP-5.1, P20, SRR, IMI, SERV, NO STUDS4181950449405184</v>
      </c>
      <c r="D1037" s="7" t="s">
        <v>233</v>
      </c>
      <c r="E1037" s="6" t="s">
        <v>469</v>
      </c>
      <c r="F1037" s="6"/>
      <c r="G1037" s="7" t="s">
        <v>16</v>
      </c>
      <c r="H1037" s="19"/>
      <c r="I1037" s="19"/>
      <c r="J1037" s="19"/>
      <c r="K1037" s="19"/>
      <c r="L1037" s="14">
        <v>4181950</v>
      </c>
      <c r="M1037" s="22">
        <v>44940</v>
      </c>
      <c r="N1037" s="19" t="e">
        <v>#N/A</v>
      </c>
      <c r="O1037" s="19" t="e">
        <v>#N/A</v>
      </c>
      <c r="P1037" s="15">
        <v>5184</v>
      </c>
      <c r="Q1037" s="15">
        <v>1007689.04</v>
      </c>
      <c r="R1037" s="15" t="e">
        <v>#N/A</v>
      </c>
      <c r="S1037" s="15">
        <v>15</v>
      </c>
      <c r="T1037" s="19" t="e">
        <v>#N/A</v>
      </c>
      <c r="U1037" s="19" t="e">
        <v>#N/A</v>
      </c>
      <c r="V1037" s="16">
        <f t="shared" si="199"/>
        <v>151153.356</v>
      </c>
      <c r="W1037" s="16">
        <f t="shared" si="200"/>
        <v>15115.3356</v>
      </c>
      <c r="X1037" s="16">
        <f t="shared" si="201"/>
        <v>166268.69159999999</v>
      </c>
      <c r="Y1037" s="16">
        <f t="shared" si="202"/>
        <v>32.073435879629628</v>
      </c>
      <c r="Z1037" s="16">
        <f t="shared" si="203"/>
        <v>194.38445987654322</v>
      </c>
      <c r="AA1037" s="17">
        <f t="shared" si="204"/>
        <v>5184</v>
      </c>
      <c r="AB1037" s="10">
        <v>4104</v>
      </c>
      <c r="AC1037" s="18">
        <f t="shared" si="205"/>
        <v>131629.38084999999</v>
      </c>
      <c r="AD1037" s="12">
        <f t="shared" si="197"/>
        <v>5184</v>
      </c>
      <c r="AE1037" s="13">
        <f t="shared" si="206"/>
        <v>0</v>
      </c>
    </row>
    <row r="1038" spans="1:31">
      <c r="A1038" s="6">
        <v>5</v>
      </c>
      <c r="B1038" s="6">
        <f t="shared" si="207"/>
        <v>53</v>
      </c>
      <c r="C1038" s="6" t="str">
        <f t="shared" si="198"/>
        <v>654590600ASU2ID STD CUSHION COMPON CVR NON-WOVEN RH7515198451635400</v>
      </c>
      <c r="D1038" s="7" t="s">
        <v>233</v>
      </c>
      <c r="E1038" s="6" t="s">
        <v>78</v>
      </c>
      <c r="F1038" s="6"/>
      <c r="G1038" s="7" t="s">
        <v>38</v>
      </c>
      <c r="H1038" s="19"/>
      <c r="I1038" s="19"/>
      <c r="J1038" s="19"/>
      <c r="K1038" s="19"/>
      <c r="L1038" s="14">
        <v>7515198</v>
      </c>
      <c r="M1038" s="22">
        <v>45163</v>
      </c>
      <c r="N1038" s="19" t="s">
        <v>185</v>
      </c>
      <c r="O1038" s="19" t="s">
        <v>332</v>
      </c>
      <c r="P1038" s="15">
        <v>5400</v>
      </c>
      <c r="Q1038" s="15">
        <v>74069.62</v>
      </c>
      <c r="R1038" s="15">
        <v>87089500</v>
      </c>
      <c r="S1038" s="15">
        <v>5</v>
      </c>
      <c r="T1038" s="19" t="s">
        <v>340</v>
      </c>
      <c r="U1038" s="19" t="s">
        <v>178</v>
      </c>
      <c r="V1038" s="16">
        <f t="shared" si="199"/>
        <v>3703.4809999999998</v>
      </c>
      <c r="W1038" s="16">
        <f t="shared" si="200"/>
        <v>370.34809999999999</v>
      </c>
      <c r="X1038" s="16">
        <f t="shared" si="201"/>
        <v>4073.8290999999999</v>
      </c>
      <c r="Y1038" s="16">
        <f t="shared" si="202"/>
        <v>0.75441279629629632</v>
      </c>
      <c r="Z1038" s="16">
        <f t="shared" si="203"/>
        <v>13.716596296296295</v>
      </c>
      <c r="AA1038" s="17">
        <f t="shared" si="204"/>
        <v>5400</v>
      </c>
      <c r="AB1038" s="10">
        <v>924</v>
      </c>
      <c r="AC1038" s="18">
        <f t="shared" si="205"/>
        <v>697.07742377777777</v>
      </c>
      <c r="AD1038" s="12">
        <v>5400</v>
      </c>
      <c r="AE1038" s="13">
        <f t="shared" si="206"/>
        <v>0</v>
      </c>
    </row>
    <row r="1039" spans="1:31">
      <c r="A1039" s="6">
        <v>5</v>
      </c>
      <c r="B1039" s="6">
        <f t="shared" si="207"/>
        <v>54</v>
      </c>
      <c r="C1039" s="6" t="str">
        <f t="shared" si="198"/>
        <v>632154400AADHESIVE, PAD 40785224493620000</v>
      </c>
      <c r="D1039" s="7" t="s">
        <v>233</v>
      </c>
      <c r="E1039" s="6" t="s">
        <v>79</v>
      </c>
      <c r="F1039" s="6"/>
      <c r="G1039" s="7" t="s">
        <v>39</v>
      </c>
      <c r="H1039" s="19"/>
      <c r="I1039" s="19"/>
      <c r="J1039" s="19"/>
      <c r="K1039" s="19"/>
      <c r="L1039" s="14" t="s">
        <v>101</v>
      </c>
      <c r="M1039" s="22">
        <v>44936</v>
      </c>
      <c r="N1039" s="19" t="s">
        <v>196</v>
      </c>
      <c r="O1039" s="19" t="s">
        <v>333</v>
      </c>
      <c r="P1039" s="15">
        <v>20000</v>
      </c>
      <c r="Q1039" s="15">
        <v>66978.789999999994</v>
      </c>
      <c r="R1039" s="15">
        <v>87082900</v>
      </c>
      <c r="S1039" s="15">
        <v>15</v>
      </c>
      <c r="T1039" s="19" t="s">
        <v>201</v>
      </c>
      <c r="U1039" s="19" t="s">
        <v>178</v>
      </c>
      <c r="V1039" s="16">
        <f t="shared" si="199"/>
        <v>10046.818499999999</v>
      </c>
      <c r="W1039" s="16">
        <f t="shared" si="200"/>
        <v>1004.6818499999999</v>
      </c>
      <c r="X1039" s="16">
        <f t="shared" si="201"/>
        <v>11051.500349999998</v>
      </c>
      <c r="Y1039" s="16">
        <f t="shared" si="202"/>
        <v>0.55257501749999993</v>
      </c>
      <c r="Z1039" s="16">
        <f t="shared" si="203"/>
        <v>3.3489394999999997</v>
      </c>
      <c r="AA1039" s="17">
        <f t="shared" si="204"/>
        <v>20000</v>
      </c>
      <c r="AB1039" s="10">
        <v>1108</v>
      </c>
      <c r="AC1039" s="18">
        <f t="shared" si="205"/>
        <v>612.25311938999994</v>
      </c>
      <c r="AD1039" s="12">
        <f t="shared" ref="AD1039:AD1050" si="208">SUMIF($C$2:$C$2284,C1039,$AB$2:$AB$2284)</f>
        <v>18136</v>
      </c>
      <c r="AE1039" s="13">
        <f t="shared" si="206"/>
        <v>1864</v>
      </c>
    </row>
    <row r="1040" spans="1:31">
      <c r="A1040" s="6">
        <v>5</v>
      </c>
      <c r="B1040" s="6">
        <f t="shared" si="207"/>
        <v>55</v>
      </c>
      <c r="C1040" s="6" t="str">
        <f t="shared" si="198"/>
        <v>603171100BTAPE, ADHESIVE, TERAOKA TERAOKA NO.560S 292476094473550000</v>
      </c>
      <c r="D1040" s="7" t="s">
        <v>233</v>
      </c>
      <c r="E1040" s="6" t="s">
        <v>50</v>
      </c>
      <c r="F1040" s="6"/>
      <c r="G1040" s="7" t="s">
        <v>12</v>
      </c>
      <c r="H1040" s="19"/>
      <c r="I1040" s="19"/>
      <c r="J1040" s="19"/>
      <c r="K1040" s="19"/>
      <c r="L1040" s="14">
        <v>9247609</v>
      </c>
      <c r="M1040" s="22">
        <v>44735</v>
      </c>
      <c r="N1040" s="19" t="s">
        <v>196</v>
      </c>
      <c r="O1040" s="19" t="s">
        <v>333</v>
      </c>
      <c r="P1040" s="15">
        <v>50000</v>
      </c>
      <c r="Q1040" s="15">
        <v>313333.84000000003</v>
      </c>
      <c r="R1040" s="15">
        <v>87082900</v>
      </c>
      <c r="S1040" s="15">
        <v>15</v>
      </c>
      <c r="T1040" s="19" t="s">
        <v>334</v>
      </c>
      <c r="U1040" s="19" t="s">
        <v>178</v>
      </c>
      <c r="V1040" s="16">
        <f t="shared" si="199"/>
        <v>47000.076000000001</v>
      </c>
      <c r="W1040" s="16">
        <f t="shared" si="200"/>
        <v>4700.0075999999999</v>
      </c>
      <c r="X1040" s="16">
        <f t="shared" si="201"/>
        <v>51700.083599999998</v>
      </c>
      <c r="Y1040" s="16">
        <f t="shared" si="202"/>
        <v>1.034001672</v>
      </c>
      <c r="Z1040" s="16">
        <f t="shared" si="203"/>
        <v>6.2666768000000008</v>
      </c>
      <c r="AA1040" s="17">
        <f t="shared" si="204"/>
        <v>50000</v>
      </c>
      <c r="AB1040" s="10">
        <v>422</v>
      </c>
      <c r="AC1040" s="18">
        <f t="shared" si="205"/>
        <v>436.34870558400002</v>
      </c>
      <c r="AD1040" s="12">
        <f t="shared" si="208"/>
        <v>960.4</v>
      </c>
      <c r="AE1040" s="13">
        <f t="shared" si="206"/>
        <v>49039.6</v>
      </c>
    </row>
    <row r="1041" spans="1:31">
      <c r="A1041" s="6">
        <v>6</v>
      </c>
      <c r="B1041" s="6">
        <v>1</v>
      </c>
      <c r="C1041" s="6" t="str">
        <f t="shared" si="198"/>
        <v>621343500CNUT, ISO, M5, NYLON INSE NYLON INSERT417070644928390000</v>
      </c>
      <c r="D1041" s="7" t="s">
        <v>235</v>
      </c>
      <c r="E1041" s="6" t="s">
        <v>45</v>
      </c>
      <c r="F1041" s="6"/>
      <c r="G1041" s="7" t="s">
        <v>7</v>
      </c>
      <c r="H1041" s="19"/>
      <c r="I1041" s="19"/>
      <c r="J1041" s="19"/>
      <c r="K1041" s="19"/>
      <c r="L1041" s="14">
        <v>4170706</v>
      </c>
      <c r="M1041" s="22">
        <v>44928</v>
      </c>
      <c r="N1041" s="19" t="s">
        <v>196</v>
      </c>
      <c r="O1041" s="19" t="s">
        <v>332</v>
      </c>
      <c r="P1041" s="15">
        <v>390000</v>
      </c>
      <c r="Q1041" s="15">
        <v>806536.88</v>
      </c>
      <c r="R1041" s="15">
        <v>87089500</v>
      </c>
      <c r="S1041" s="15">
        <v>15</v>
      </c>
      <c r="T1041" s="19" t="s">
        <v>301</v>
      </c>
      <c r="U1041" s="19" t="s">
        <v>178</v>
      </c>
      <c r="V1041" s="16">
        <f t="shared" si="199"/>
        <v>120980.53199999999</v>
      </c>
      <c r="W1041" s="16">
        <f t="shared" si="200"/>
        <v>12098.0532</v>
      </c>
      <c r="X1041" s="16">
        <f t="shared" si="201"/>
        <v>133078.5852</v>
      </c>
      <c r="Y1041" s="16">
        <f t="shared" si="202"/>
        <v>0.34122714153846156</v>
      </c>
      <c r="Z1041" s="16">
        <f t="shared" si="203"/>
        <v>2.0680432820512822</v>
      </c>
      <c r="AA1041" s="17">
        <f t="shared" si="204"/>
        <v>390000</v>
      </c>
      <c r="AB1041" s="10">
        <v>23832</v>
      </c>
      <c r="AC1041" s="18">
        <f t="shared" si="205"/>
        <v>8132.1252371446162</v>
      </c>
      <c r="AD1041" s="12">
        <f t="shared" si="208"/>
        <v>385128</v>
      </c>
      <c r="AE1041" s="13">
        <f t="shared" si="206"/>
        <v>4872</v>
      </c>
    </row>
    <row r="1042" spans="1:31">
      <c r="A1042" s="6">
        <v>6</v>
      </c>
      <c r="B1042" s="6">
        <f t="shared" ref="B1042:B1100" si="209">B1041+1</f>
        <v>2</v>
      </c>
      <c r="C1042" s="6" t="str">
        <f t="shared" si="198"/>
        <v>643302000AINFLATOR, ADP-1.3B, MP, MIB, SQUARE, NO STUD48666694498725920</v>
      </c>
      <c r="D1042" s="7" t="s">
        <v>235</v>
      </c>
      <c r="E1042" s="6" t="s">
        <v>46</v>
      </c>
      <c r="F1042" s="6"/>
      <c r="G1042" s="7" t="s">
        <v>8</v>
      </c>
      <c r="H1042" s="19"/>
      <c r="I1042" s="19"/>
      <c r="J1042" s="19"/>
      <c r="K1042" s="19"/>
      <c r="L1042" s="14">
        <v>4866669</v>
      </c>
      <c r="M1042" s="22">
        <v>44987</v>
      </c>
      <c r="N1042" s="19" t="s">
        <v>199</v>
      </c>
      <c r="O1042" s="19" t="s">
        <v>333</v>
      </c>
      <c r="P1042" s="15">
        <v>25920</v>
      </c>
      <c r="Q1042" s="15">
        <v>9541861.9800000004</v>
      </c>
      <c r="R1042" s="15">
        <v>87089500</v>
      </c>
      <c r="S1042" s="15">
        <v>15</v>
      </c>
      <c r="T1042" s="19" t="s">
        <v>202</v>
      </c>
      <c r="U1042" s="19" t="s">
        <v>200</v>
      </c>
      <c r="V1042" s="16">
        <f t="shared" si="199"/>
        <v>1431279.297</v>
      </c>
      <c r="W1042" s="16">
        <f t="shared" si="200"/>
        <v>143127.92970000001</v>
      </c>
      <c r="X1042" s="16">
        <f t="shared" si="201"/>
        <v>1574407.2267</v>
      </c>
      <c r="Y1042" s="16">
        <f t="shared" si="202"/>
        <v>60.741019548611114</v>
      </c>
      <c r="Z1042" s="16">
        <f t="shared" si="203"/>
        <v>368.12739120370372</v>
      </c>
      <c r="AA1042" s="17">
        <f t="shared" si="204"/>
        <v>25920</v>
      </c>
      <c r="AB1042" s="10">
        <v>4068</v>
      </c>
      <c r="AC1042" s="18">
        <f t="shared" si="205"/>
        <v>247094.46752375001</v>
      </c>
      <c r="AD1042" s="12">
        <f t="shared" si="208"/>
        <v>25920</v>
      </c>
      <c r="AE1042" s="13">
        <f t="shared" si="206"/>
        <v>0</v>
      </c>
    </row>
    <row r="1043" spans="1:31">
      <c r="A1043" s="6">
        <v>6</v>
      </c>
      <c r="B1043" s="6">
        <f t="shared" si="209"/>
        <v>3</v>
      </c>
      <c r="C1043" s="6" t="str">
        <f t="shared" si="198"/>
        <v>570028800FNUT, ISO, M5, LOCK, THRE LOCK, THREE SIDED TAMPER393103644928624000</v>
      </c>
      <c r="D1043" s="7" t="s">
        <v>235</v>
      </c>
      <c r="E1043" s="6" t="s">
        <v>47</v>
      </c>
      <c r="F1043" s="6"/>
      <c r="G1043" s="7" t="s">
        <v>9</v>
      </c>
      <c r="H1043" s="19"/>
      <c r="I1043" s="19"/>
      <c r="J1043" s="19"/>
      <c r="K1043" s="19"/>
      <c r="L1043" s="14">
        <v>3931036</v>
      </c>
      <c r="M1043" s="22">
        <v>44928</v>
      </c>
      <c r="N1043" s="19" t="s">
        <v>185</v>
      </c>
      <c r="O1043" s="19" t="s">
        <v>332</v>
      </c>
      <c r="P1043" s="15">
        <v>624000</v>
      </c>
      <c r="Q1043" s="15">
        <v>1155867.1000000001</v>
      </c>
      <c r="R1043" s="15">
        <v>87089500</v>
      </c>
      <c r="S1043" s="15">
        <v>15</v>
      </c>
      <c r="T1043" s="19" t="s">
        <v>302</v>
      </c>
      <c r="U1043" s="19" t="s">
        <v>178</v>
      </c>
      <c r="V1043" s="16">
        <f t="shared" si="199"/>
        <v>173380.065</v>
      </c>
      <c r="W1043" s="16">
        <f t="shared" si="200"/>
        <v>17338.0065</v>
      </c>
      <c r="X1043" s="16">
        <f t="shared" si="201"/>
        <v>190718.07149999999</v>
      </c>
      <c r="Y1043" s="16">
        <f t="shared" si="202"/>
        <v>0.30563793509615383</v>
      </c>
      <c r="Z1043" s="16">
        <f t="shared" si="203"/>
        <v>1.852351121794872</v>
      </c>
      <c r="AA1043" s="17">
        <f t="shared" si="204"/>
        <v>624000</v>
      </c>
      <c r="AB1043" s="10">
        <v>13968</v>
      </c>
      <c r="AC1043" s="18">
        <f t="shared" si="205"/>
        <v>4269.1506774230766</v>
      </c>
      <c r="AD1043" s="12">
        <f t="shared" si="208"/>
        <v>227952</v>
      </c>
      <c r="AE1043" s="13">
        <f t="shared" si="206"/>
        <v>396048</v>
      </c>
    </row>
    <row r="1044" spans="1:31">
      <c r="A1044" s="6">
        <v>6</v>
      </c>
      <c r="B1044" s="6">
        <f t="shared" si="209"/>
        <v>4</v>
      </c>
      <c r="C1044" s="6" t="str">
        <f t="shared" si="198"/>
        <v>632955901AINFLATORS, APP-4.6 39552714492417280</v>
      </c>
      <c r="D1044" s="7" t="s">
        <v>235</v>
      </c>
      <c r="E1044" s="6" t="s">
        <v>48</v>
      </c>
      <c r="F1044" s="6"/>
      <c r="G1044" s="7" t="s">
        <v>10</v>
      </c>
      <c r="H1044" s="19"/>
      <c r="I1044" s="19"/>
      <c r="J1044" s="19"/>
      <c r="K1044" s="19"/>
      <c r="L1044" s="14">
        <v>3955271</v>
      </c>
      <c r="M1044" s="22">
        <v>44924</v>
      </c>
      <c r="N1044" s="19" t="s">
        <v>199</v>
      </c>
      <c r="O1044" s="19" t="s">
        <v>333</v>
      </c>
      <c r="P1044" s="15">
        <v>17280</v>
      </c>
      <c r="Q1044" s="15">
        <v>6760871.4100000001</v>
      </c>
      <c r="R1044" s="15">
        <v>87089500</v>
      </c>
      <c r="S1044" s="15">
        <v>15</v>
      </c>
      <c r="T1044" s="19" t="s">
        <v>202</v>
      </c>
      <c r="U1044" s="19" t="s">
        <v>200</v>
      </c>
      <c r="V1044" s="16">
        <f t="shared" si="199"/>
        <v>1014130.7115</v>
      </c>
      <c r="W1044" s="16">
        <f t="shared" si="200"/>
        <v>101413.07115</v>
      </c>
      <c r="X1044" s="16">
        <f t="shared" si="201"/>
        <v>1115543.78265</v>
      </c>
      <c r="Y1044" s="16">
        <f t="shared" si="202"/>
        <v>64.556931866319445</v>
      </c>
      <c r="Z1044" s="16">
        <f t="shared" si="203"/>
        <v>391.25413252314814</v>
      </c>
      <c r="AA1044" s="17">
        <f t="shared" si="204"/>
        <v>17280</v>
      </c>
      <c r="AB1044" s="10">
        <v>3492</v>
      </c>
      <c r="AC1044" s="18">
        <f t="shared" si="205"/>
        <v>225432.8060771875</v>
      </c>
      <c r="AD1044" s="12">
        <f t="shared" si="208"/>
        <v>17028</v>
      </c>
      <c r="AE1044" s="13">
        <f t="shared" si="206"/>
        <v>252</v>
      </c>
    </row>
    <row r="1045" spans="1:31">
      <c r="A1045" s="6">
        <v>6</v>
      </c>
      <c r="B1045" s="6">
        <f t="shared" si="209"/>
        <v>5</v>
      </c>
      <c r="C1045" s="6" t="str">
        <f t="shared" si="198"/>
        <v>655116100ALABEL, BLANK, 50.0, 25.0  LABEL, BLANK, 2PCS, 50X42294544483145000</v>
      </c>
      <c r="D1045" s="7" t="s">
        <v>235</v>
      </c>
      <c r="E1045" s="6" t="s">
        <v>49</v>
      </c>
      <c r="F1045" s="6"/>
      <c r="G1045" s="7" t="s">
        <v>11</v>
      </c>
      <c r="H1045" s="19"/>
      <c r="I1045" s="19"/>
      <c r="J1045" s="19"/>
      <c r="K1045" s="19"/>
      <c r="L1045" s="14">
        <v>4229454</v>
      </c>
      <c r="M1045" s="22">
        <v>44831</v>
      </c>
      <c r="N1045" s="19" t="s">
        <v>196</v>
      </c>
      <c r="O1045" s="19" t="s">
        <v>333</v>
      </c>
      <c r="P1045" s="15">
        <v>45000</v>
      </c>
      <c r="Q1045" s="15">
        <v>127149.27</v>
      </c>
      <c r="R1045" s="15">
        <v>87089500</v>
      </c>
      <c r="S1045" s="15">
        <v>15</v>
      </c>
      <c r="T1045" s="19" t="s">
        <v>303</v>
      </c>
      <c r="U1045" s="19" t="s">
        <v>178</v>
      </c>
      <c r="V1045" s="16">
        <f t="shared" si="199"/>
        <v>19072.390500000001</v>
      </c>
      <c r="W1045" s="16">
        <f t="shared" si="200"/>
        <v>1907.2390500000001</v>
      </c>
      <c r="X1045" s="16">
        <f t="shared" si="201"/>
        <v>20979.629550000001</v>
      </c>
      <c r="Y1045" s="16">
        <f t="shared" si="202"/>
        <v>0.46621399000000002</v>
      </c>
      <c r="Z1045" s="16">
        <f t="shared" si="203"/>
        <v>2.8255393333333334</v>
      </c>
      <c r="AA1045" s="17">
        <f t="shared" si="204"/>
        <v>45000</v>
      </c>
      <c r="AB1045" s="10">
        <v>5382</v>
      </c>
      <c r="AC1045" s="18">
        <f t="shared" si="205"/>
        <v>2509.1636941800002</v>
      </c>
      <c r="AD1045" s="12">
        <f t="shared" si="208"/>
        <v>45000</v>
      </c>
      <c r="AE1045" s="13">
        <f t="shared" si="206"/>
        <v>0</v>
      </c>
    </row>
    <row r="1046" spans="1:31">
      <c r="A1046" s="6">
        <v>6</v>
      </c>
      <c r="B1046" s="6">
        <f t="shared" si="209"/>
        <v>6</v>
      </c>
      <c r="C1046" s="6" t="str">
        <f t="shared" si="198"/>
        <v>609183701ASTUD, M6 X 1.0, 16.0561310344974140000</v>
      </c>
      <c r="D1046" s="7" t="s">
        <v>235</v>
      </c>
      <c r="E1046" s="6" t="s">
        <v>51</v>
      </c>
      <c r="F1046" s="6"/>
      <c r="G1046" s="7" t="s">
        <v>411</v>
      </c>
      <c r="H1046" s="19"/>
      <c r="I1046" s="19"/>
      <c r="J1046" s="19"/>
      <c r="K1046" s="19"/>
      <c r="L1046" s="14">
        <v>5613103</v>
      </c>
      <c r="M1046" s="22">
        <v>44974</v>
      </c>
      <c r="N1046" s="19" t="s">
        <v>185</v>
      </c>
      <c r="O1046" s="19" t="s">
        <v>332</v>
      </c>
      <c r="P1046" s="15">
        <v>140000</v>
      </c>
      <c r="Q1046" s="15">
        <v>402663.89</v>
      </c>
      <c r="R1046" s="15">
        <v>87082900</v>
      </c>
      <c r="S1046" s="15">
        <v>15</v>
      </c>
      <c r="T1046" s="19" t="s">
        <v>304</v>
      </c>
      <c r="U1046" s="19" t="s">
        <v>178</v>
      </c>
      <c r="V1046" s="16">
        <f t="shared" si="199"/>
        <v>60399.583500000001</v>
      </c>
      <c r="W1046" s="16">
        <f t="shared" si="200"/>
        <v>6039.9583500000008</v>
      </c>
      <c r="X1046" s="16">
        <f t="shared" si="201"/>
        <v>66439.541850000009</v>
      </c>
      <c r="Y1046" s="16">
        <f t="shared" si="202"/>
        <v>0.47456815607142866</v>
      </c>
      <c r="Z1046" s="16">
        <f t="shared" si="203"/>
        <v>2.8761706428571427</v>
      </c>
      <c r="AA1046" s="17">
        <f t="shared" si="204"/>
        <v>140000</v>
      </c>
      <c r="AB1046" s="10">
        <v>18384</v>
      </c>
      <c r="AC1046" s="18">
        <f t="shared" si="205"/>
        <v>8724.4609812171439</v>
      </c>
      <c r="AD1046" s="12">
        <f t="shared" si="208"/>
        <v>140000</v>
      </c>
      <c r="AE1046" s="13">
        <f t="shared" si="206"/>
        <v>0</v>
      </c>
    </row>
    <row r="1047" spans="1:31">
      <c r="A1047" s="6">
        <v>6</v>
      </c>
      <c r="B1047" s="6">
        <f t="shared" si="209"/>
        <v>7</v>
      </c>
      <c r="C1047" s="6" t="str">
        <f t="shared" si="198"/>
        <v>616531900ARING, CRIMP, CLAMP, BAND466647844973100000</v>
      </c>
      <c r="D1047" s="7" t="s">
        <v>235</v>
      </c>
      <c r="E1047" s="6" t="s">
        <v>52</v>
      </c>
      <c r="F1047" s="6"/>
      <c r="G1047" s="7" t="s">
        <v>410</v>
      </c>
      <c r="H1047" s="19"/>
      <c r="I1047" s="19"/>
      <c r="J1047" s="19"/>
      <c r="K1047" s="19"/>
      <c r="L1047" s="14">
        <v>4666478</v>
      </c>
      <c r="M1047" s="22">
        <v>44973</v>
      </c>
      <c r="N1047" s="19" t="s">
        <v>199</v>
      </c>
      <c r="O1047" s="19" t="s">
        <v>333</v>
      </c>
      <c r="P1047" s="15">
        <v>100000</v>
      </c>
      <c r="Q1047" s="15">
        <v>1733493.63</v>
      </c>
      <c r="R1047" s="15">
        <v>87089500</v>
      </c>
      <c r="S1047" s="15">
        <v>15</v>
      </c>
      <c r="T1047" s="19" t="s">
        <v>305</v>
      </c>
      <c r="U1047" s="19" t="s">
        <v>178</v>
      </c>
      <c r="V1047" s="16">
        <f t="shared" si="199"/>
        <v>260024.04449999996</v>
      </c>
      <c r="W1047" s="16">
        <f t="shared" si="200"/>
        <v>26002.404449999998</v>
      </c>
      <c r="X1047" s="16">
        <f t="shared" si="201"/>
        <v>286026.44894999993</v>
      </c>
      <c r="Y1047" s="16">
        <f t="shared" si="202"/>
        <v>2.8602644894999991</v>
      </c>
      <c r="Z1047" s="16">
        <f t="shared" si="203"/>
        <v>17.334936299999999</v>
      </c>
      <c r="AA1047" s="17">
        <f t="shared" si="204"/>
        <v>100000</v>
      </c>
      <c r="AB1047" s="10">
        <v>12624</v>
      </c>
      <c r="AC1047" s="18">
        <f t="shared" si="205"/>
        <v>36107.978915447988</v>
      </c>
      <c r="AD1047" s="12">
        <f t="shared" si="208"/>
        <v>100000</v>
      </c>
      <c r="AE1047" s="13">
        <f t="shared" si="206"/>
        <v>0</v>
      </c>
    </row>
    <row r="1048" spans="1:31">
      <c r="A1048" s="6">
        <v>6</v>
      </c>
      <c r="B1048" s="6">
        <f t="shared" si="209"/>
        <v>8</v>
      </c>
      <c r="C1048" s="6" t="str">
        <f t="shared" si="198"/>
        <v>PC47516-3810SNAP-IN-FASTENER, PUSH P PUSH PIN, BLACK43773094523742000</v>
      </c>
      <c r="D1048" s="7" t="s">
        <v>235</v>
      </c>
      <c r="E1048" s="6" t="s">
        <v>54</v>
      </c>
      <c r="F1048" s="6"/>
      <c r="G1048" s="7" t="s">
        <v>14</v>
      </c>
      <c r="H1048" s="19"/>
      <c r="I1048" s="19"/>
      <c r="J1048" s="19"/>
      <c r="K1048" s="19"/>
      <c r="L1048" s="14">
        <v>4377309</v>
      </c>
      <c r="M1048" s="22">
        <v>45237</v>
      </c>
      <c r="N1048" s="19" t="s">
        <v>196</v>
      </c>
      <c r="O1048" s="19" t="s">
        <v>333</v>
      </c>
      <c r="P1048" s="15">
        <v>42000</v>
      </c>
      <c r="Q1048" s="15">
        <v>48121.48</v>
      </c>
      <c r="R1048" s="15">
        <v>87089500</v>
      </c>
      <c r="S1048" s="15">
        <v>15</v>
      </c>
      <c r="T1048" s="19" t="s">
        <v>306</v>
      </c>
      <c r="U1048" s="19" t="s">
        <v>178</v>
      </c>
      <c r="V1048" s="16">
        <f t="shared" si="199"/>
        <v>7218.2220000000007</v>
      </c>
      <c r="W1048" s="16">
        <f t="shared" si="200"/>
        <v>721.82220000000007</v>
      </c>
      <c r="X1048" s="16">
        <f t="shared" si="201"/>
        <v>7940.0442000000003</v>
      </c>
      <c r="Y1048" s="16">
        <f t="shared" si="202"/>
        <v>0.18904867142857143</v>
      </c>
      <c r="Z1048" s="16">
        <f t="shared" si="203"/>
        <v>1.1457495238095239</v>
      </c>
      <c r="AA1048" s="17">
        <f t="shared" si="204"/>
        <v>42000</v>
      </c>
      <c r="AB1048" s="10">
        <v>3432</v>
      </c>
      <c r="AC1048" s="18">
        <f t="shared" si="205"/>
        <v>648.81504034285717</v>
      </c>
      <c r="AD1048" s="12">
        <f t="shared" si="208"/>
        <v>41976</v>
      </c>
      <c r="AE1048" s="13">
        <f t="shared" si="206"/>
        <v>24</v>
      </c>
    </row>
    <row r="1049" spans="1:31">
      <c r="A1049" s="6">
        <v>6</v>
      </c>
      <c r="B1049" s="6">
        <f t="shared" si="209"/>
        <v>9</v>
      </c>
      <c r="C1049" s="6" t="str">
        <f t="shared" si="198"/>
        <v>566098600CWEBBING PIN, RETRACTOR, AGB, AGB-95POM FARBE:SCH432749644950120000</v>
      </c>
      <c r="D1049" s="7" t="s">
        <v>235</v>
      </c>
      <c r="E1049" s="6" t="s">
        <v>57</v>
      </c>
      <c r="F1049" s="6"/>
      <c r="G1049" s="7" t="s">
        <v>17</v>
      </c>
      <c r="H1049" s="19"/>
      <c r="I1049" s="19"/>
      <c r="J1049" s="19"/>
      <c r="K1049" s="19"/>
      <c r="L1049" s="14">
        <v>4327496</v>
      </c>
      <c r="M1049" s="22">
        <v>44950</v>
      </c>
      <c r="N1049" s="19" t="s">
        <v>199</v>
      </c>
      <c r="O1049" s="19" t="s">
        <v>332</v>
      </c>
      <c r="P1049" s="15">
        <v>120000</v>
      </c>
      <c r="Q1049" s="15">
        <v>117311.7</v>
      </c>
      <c r="R1049" s="15">
        <v>87082900</v>
      </c>
      <c r="S1049" s="15">
        <v>15</v>
      </c>
      <c r="T1049" s="19" t="s">
        <v>307</v>
      </c>
      <c r="U1049" s="19" t="s">
        <v>178</v>
      </c>
      <c r="V1049" s="16">
        <f t="shared" si="199"/>
        <v>17596.754999999997</v>
      </c>
      <c r="W1049" s="16">
        <f t="shared" si="200"/>
        <v>1759.6754999999998</v>
      </c>
      <c r="X1049" s="16">
        <f t="shared" si="201"/>
        <v>19356.430499999999</v>
      </c>
      <c r="Y1049" s="16">
        <f t="shared" si="202"/>
        <v>0.16130358749999998</v>
      </c>
      <c r="Z1049" s="16">
        <f t="shared" si="203"/>
        <v>0.97759750000000001</v>
      </c>
      <c r="AA1049" s="17">
        <f t="shared" si="204"/>
        <v>120000</v>
      </c>
      <c r="AB1049" s="10">
        <v>5244</v>
      </c>
      <c r="AC1049" s="18">
        <f t="shared" si="205"/>
        <v>845.87601284999994</v>
      </c>
      <c r="AD1049" s="12">
        <f t="shared" si="208"/>
        <v>86652</v>
      </c>
      <c r="AE1049" s="13">
        <f t="shared" si="206"/>
        <v>33348</v>
      </c>
    </row>
    <row r="1050" spans="1:31">
      <c r="A1050" s="6">
        <v>6</v>
      </c>
      <c r="B1050" s="6">
        <f t="shared" si="209"/>
        <v>10</v>
      </c>
      <c r="C1050" s="6" t="str">
        <f t="shared" si="198"/>
        <v>566253211EADAPTER, CAR SENS, RETRA ALL VERSIONS390969644984216000</v>
      </c>
      <c r="D1050" s="7" t="s">
        <v>235</v>
      </c>
      <c r="E1050" s="6" t="s">
        <v>58</v>
      </c>
      <c r="F1050" s="6"/>
      <c r="G1050" s="7" t="s">
        <v>18</v>
      </c>
      <c r="H1050" s="19"/>
      <c r="I1050" s="19"/>
      <c r="J1050" s="19"/>
      <c r="K1050" s="19"/>
      <c r="L1050" s="14">
        <v>3909696</v>
      </c>
      <c r="M1050" s="22">
        <v>44984</v>
      </c>
      <c r="N1050" s="19" t="s">
        <v>199</v>
      </c>
      <c r="O1050" s="19" t="s">
        <v>332</v>
      </c>
      <c r="P1050" s="15">
        <v>216000</v>
      </c>
      <c r="Q1050" s="15">
        <v>549354.86</v>
      </c>
      <c r="R1050" s="15">
        <v>87082900</v>
      </c>
      <c r="S1050" s="15">
        <v>15</v>
      </c>
      <c r="T1050" s="19" t="s">
        <v>308</v>
      </c>
      <c r="U1050" s="19" t="s">
        <v>178</v>
      </c>
      <c r="V1050" s="16">
        <f t="shared" si="199"/>
        <v>82403.228999999992</v>
      </c>
      <c r="W1050" s="16">
        <f t="shared" si="200"/>
        <v>8240.3228999999992</v>
      </c>
      <c r="X1050" s="16">
        <f t="shared" si="201"/>
        <v>90643.551899999991</v>
      </c>
      <c r="Y1050" s="16">
        <f t="shared" si="202"/>
        <v>0.41964607361111106</v>
      </c>
      <c r="Z1050" s="16">
        <f t="shared" si="203"/>
        <v>2.5433095370370369</v>
      </c>
      <c r="AA1050" s="17">
        <f t="shared" si="204"/>
        <v>216000</v>
      </c>
      <c r="AB1050" s="10">
        <v>5244</v>
      </c>
      <c r="AC1050" s="18">
        <f t="shared" si="205"/>
        <v>2200.6240100166665</v>
      </c>
      <c r="AD1050" s="12">
        <f t="shared" si="208"/>
        <v>86652</v>
      </c>
      <c r="AE1050" s="13">
        <f t="shared" si="206"/>
        <v>129348</v>
      </c>
    </row>
    <row r="1051" spans="1:31">
      <c r="A1051" s="6">
        <v>6</v>
      </c>
      <c r="B1051" s="6">
        <f t="shared" si="209"/>
        <v>11</v>
      </c>
      <c r="C1051" s="6" t="str">
        <f t="shared" si="198"/>
        <v>654590600ASU2ID STD CUSHION COMPON CVR NON-WOVEN RH7515198451635400</v>
      </c>
      <c r="D1051" s="7" t="s">
        <v>235</v>
      </c>
      <c r="E1051" s="6" t="s">
        <v>78</v>
      </c>
      <c r="F1051" s="6"/>
      <c r="G1051" s="7" t="s">
        <v>38</v>
      </c>
      <c r="H1051" s="19"/>
      <c r="I1051" s="19"/>
      <c r="J1051" s="19"/>
      <c r="K1051" s="19"/>
      <c r="L1051" s="14">
        <v>7515198</v>
      </c>
      <c r="M1051" s="22">
        <v>45163</v>
      </c>
      <c r="N1051" s="19" t="s">
        <v>185</v>
      </c>
      <c r="O1051" s="19" t="s">
        <v>332</v>
      </c>
      <c r="P1051" s="15">
        <v>5400</v>
      </c>
      <c r="Q1051" s="15">
        <v>74069.62</v>
      </c>
      <c r="R1051" s="15">
        <v>87089500</v>
      </c>
      <c r="S1051" s="15">
        <v>5</v>
      </c>
      <c r="T1051" s="19" t="s">
        <v>340</v>
      </c>
      <c r="U1051" s="19" t="s">
        <v>178</v>
      </c>
      <c r="V1051" s="16">
        <f t="shared" si="199"/>
        <v>3703.4809999999998</v>
      </c>
      <c r="W1051" s="16">
        <f t="shared" si="200"/>
        <v>370.34809999999999</v>
      </c>
      <c r="X1051" s="16">
        <f t="shared" si="201"/>
        <v>4073.8290999999999</v>
      </c>
      <c r="Y1051" s="16">
        <f t="shared" si="202"/>
        <v>0.75441279629629632</v>
      </c>
      <c r="Z1051" s="16">
        <f t="shared" si="203"/>
        <v>13.716596296296295</v>
      </c>
      <c r="AA1051" s="17">
        <f t="shared" si="204"/>
        <v>5400</v>
      </c>
      <c r="AB1051" s="10">
        <v>4476</v>
      </c>
      <c r="AC1051" s="18">
        <f t="shared" si="205"/>
        <v>3376.7516762222222</v>
      </c>
      <c r="AD1051" s="12">
        <v>5400</v>
      </c>
      <c r="AE1051" s="13">
        <f t="shared" si="206"/>
        <v>0</v>
      </c>
    </row>
    <row r="1052" spans="1:31">
      <c r="A1052" s="6">
        <v>6</v>
      </c>
      <c r="B1052" s="6">
        <f t="shared" si="209"/>
        <v>12</v>
      </c>
      <c r="C1052" s="6" t="str">
        <f t="shared" si="198"/>
        <v>600188700BLEVER, WEB SENS, RETRACT ALL VERSIONS421599144956270000</v>
      </c>
      <c r="D1052" s="7" t="s">
        <v>235</v>
      </c>
      <c r="E1052" s="6" t="s">
        <v>60</v>
      </c>
      <c r="F1052" s="6"/>
      <c r="G1052" s="7" t="s">
        <v>20</v>
      </c>
      <c r="H1052" s="19"/>
      <c r="I1052" s="19"/>
      <c r="J1052" s="19"/>
      <c r="K1052" s="19"/>
      <c r="L1052" s="14">
        <v>4215991</v>
      </c>
      <c r="M1052" s="22">
        <v>44956</v>
      </c>
      <c r="N1052" s="19" t="s">
        <v>199</v>
      </c>
      <c r="O1052" s="19" t="s">
        <v>332</v>
      </c>
      <c r="P1052" s="15">
        <v>270000</v>
      </c>
      <c r="Q1052" s="15">
        <v>1513733.76</v>
      </c>
      <c r="R1052" s="15">
        <v>87082900</v>
      </c>
      <c r="S1052" s="15">
        <v>15</v>
      </c>
      <c r="T1052" s="19" t="s">
        <v>310</v>
      </c>
      <c r="U1052" s="19" t="s">
        <v>178</v>
      </c>
      <c r="V1052" s="16">
        <f t="shared" si="199"/>
        <v>227060.06399999998</v>
      </c>
      <c r="W1052" s="16">
        <f t="shared" si="200"/>
        <v>22706.006399999998</v>
      </c>
      <c r="X1052" s="16">
        <f t="shared" si="201"/>
        <v>249766.07039999997</v>
      </c>
      <c r="Y1052" s="16">
        <f t="shared" si="202"/>
        <v>0.92505951999999991</v>
      </c>
      <c r="Z1052" s="16">
        <f t="shared" si="203"/>
        <v>5.6064213333333335</v>
      </c>
      <c r="AA1052" s="17">
        <f t="shared" si="204"/>
        <v>270000</v>
      </c>
      <c r="AB1052" s="10">
        <v>5244</v>
      </c>
      <c r="AC1052" s="18">
        <f t="shared" si="205"/>
        <v>4851.0121228799999</v>
      </c>
      <c r="AD1052" s="12">
        <f t="shared" ref="AD1052:AD1083" si="210">SUMIF($C$2:$C$2284,C1052,$AB$2:$AB$2284)</f>
        <v>86652</v>
      </c>
      <c r="AE1052" s="13">
        <f t="shared" si="206"/>
        <v>183348</v>
      </c>
    </row>
    <row r="1053" spans="1:31">
      <c r="A1053" s="6">
        <v>6</v>
      </c>
      <c r="B1053" s="6">
        <f t="shared" si="209"/>
        <v>13</v>
      </c>
      <c r="C1053" s="6" t="str">
        <f t="shared" si="198"/>
        <v>601182600ASPINDLE, RETRACTOR, R27, STD43790984493343008</v>
      </c>
      <c r="D1053" s="7" t="s">
        <v>235</v>
      </c>
      <c r="E1053" s="6" t="s">
        <v>61</v>
      </c>
      <c r="F1053" s="6"/>
      <c r="G1053" s="7" t="s">
        <v>21</v>
      </c>
      <c r="H1053" s="19"/>
      <c r="I1053" s="19"/>
      <c r="J1053" s="19"/>
      <c r="K1053" s="19"/>
      <c r="L1053" s="14">
        <v>4379098</v>
      </c>
      <c r="M1053" s="22">
        <v>44933</v>
      </c>
      <c r="N1053" s="19" t="s">
        <v>185</v>
      </c>
      <c r="O1053" s="19" t="s">
        <v>332</v>
      </c>
      <c r="P1053" s="15">
        <v>43008</v>
      </c>
      <c r="Q1053" s="15">
        <v>1835488.61</v>
      </c>
      <c r="R1053" s="15">
        <v>87082900</v>
      </c>
      <c r="S1053" s="15">
        <v>15</v>
      </c>
      <c r="T1053" s="19" t="s">
        <v>311</v>
      </c>
      <c r="U1053" s="19" t="s">
        <v>178</v>
      </c>
      <c r="V1053" s="16">
        <f t="shared" si="199"/>
        <v>275323.29149999999</v>
      </c>
      <c r="W1053" s="16">
        <f t="shared" si="200"/>
        <v>27532.329150000001</v>
      </c>
      <c r="X1053" s="16">
        <f t="shared" si="201"/>
        <v>302855.62065</v>
      </c>
      <c r="Y1053" s="16">
        <f t="shared" si="202"/>
        <v>7.0418438581194192</v>
      </c>
      <c r="Z1053" s="16">
        <f t="shared" si="203"/>
        <v>42.677841564360122</v>
      </c>
      <c r="AA1053" s="17">
        <f t="shared" si="204"/>
        <v>43008</v>
      </c>
      <c r="AB1053" s="10">
        <v>5244</v>
      </c>
      <c r="AC1053" s="18">
        <f t="shared" si="205"/>
        <v>36927.429191978234</v>
      </c>
      <c r="AD1053" s="12">
        <f t="shared" si="210"/>
        <v>43008</v>
      </c>
      <c r="AE1053" s="13">
        <f t="shared" si="206"/>
        <v>0</v>
      </c>
    </row>
    <row r="1054" spans="1:31">
      <c r="A1054" s="6">
        <v>6</v>
      </c>
      <c r="B1054" s="6">
        <f t="shared" si="209"/>
        <v>14</v>
      </c>
      <c r="C1054" s="6" t="str">
        <f t="shared" si="198"/>
        <v>601256700GBUSH, RETRACTOR, R27, AL ALL VERSIONS405080544944160000</v>
      </c>
      <c r="D1054" s="7" t="s">
        <v>235</v>
      </c>
      <c r="E1054" s="6" t="s">
        <v>62</v>
      </c>
      <c r="F1054" s="6"/>
      <c r="G1054" s="7" t="s">
        <v>22</v>
      </c>
      <c r="H1054" s="19"/>
      <c r="I1054" s="19"/>
      <c r="J1054" s="19"/>
      <c r="K1054" s="19"/>
      <c r="L1054" s="14">
        <v>4050805</v>
      </c>
      <c r="M1054" s="22">
        <v>44944</v>
      </c>
      <c r="N1054" s="19" t="s">
        <v>196</v>
      </c>
      <c r="O1054" s="19" t="s">
        <v>333</v>
      </c>
      <c r="P1054" s="15">
        <v>160000</v>
      </c>
      <c r="Q1054" s="15">
        <v>278597.26</v>
      </c>
      <c r="R1054" s="15">
        <v>87082900</v>
      </c>
      <c r="S1054" s="15">
        <v>15</v>
      </c>
      <c r="T1054" s="19" t="s">
        <v>312</v>
      </c>
      <c r="U1054" s="19" t="s">
        <v>178</v>
      </c>
      <c r="V1054" s="16">
        <f t="shared" si="199"/>
        <v>41789.589</v>
      </c>
      <c r="W1054" s="16">
        <f t="shared" si="200"/>
        <v>4178.9589000000005</v>
      </c>
      <c r="X1054" s="16">
        <f t="shared" si="201"/>
        <v>45968.547899999998</v>
      </c>
      <c r="Y1054" s="16">
        <f t="shared" si="202"/>
        <v>0.287303424375</v>
      </c>
      <c r="Z1054" s="16">
        <f t="shared" si="203"/>
        <v>1.7412328750000001</v>
      </c>
      <c r="AA1054" s="17">
        <f t="shared" si="204"/>
        <v>160000</v>
      </c>
      <c r="AB1054" s="10">
        <v>5244</v>
      </c>
      <c r="AC1054" s="18">
        <f t="shared" si="205"/>
        <v>1506.6191574224999</v>
      </c>
      <c r="AD1054" s="12">
        <f t="shared" si="210"/>
        <v>86652</v>
      </c>
      <c r="AE1054" s="13">
        <f t="shared" si="206"/>
        <v>73348</v>
      </c>
    </row>
    <row r="1055" spans="1:31">
      <c r="A1055" s="6">
        <v>6</v>
      </c>
      <c r="B1055" s="6">
        <f t="shared" si="209"/>
        <v>15</v>
      </c>
      <c r="C1055" s="6" t="str">
        <f t="shared" si="198"/>
        <v>601472600ALATCH, RETRACTOR, R27, A ALL VERSIONS421598844951162000</v>
      </c>
      <c r="D1055" s="7" t="s">
        <v>235</v>
      </c>
      <c r="E1055" s="6" t="s">
        <v>63</v>
      </c>
      <c r="F1055" s="6"/>
      <c r="G1055" s="7" t="s">
        <v>23</v>
      </c>
      <c r="H1055" s="19"/>
      <c r="I1055" s="19"/>
      <c r="J1055" s="19"/>
      <c r="K1055" s="19"/>
      <c r="L1055" s="14">
        <v>4215988</v>
      </c>
      <c r="M1055" s="22">
        <v>44951</v>
      </c>
      <c r="N1055" s="19" t="s">
        <v>199</v>
      </c>
      <c r="O1055" s="19" t="s">
        <v>332</v>
      </c>
      <c r="P1055" s="15">
        <v>162000</v>
      </c>
      <c r="Q1055" s="15">
        <v>1167023.94</v>
      </c>
      <c r="R1055" s="15">
        <v>87082900</v>
      </c>
      <c r="S1055" s="15">
        <v>15</v>
      </c>
      <c r="T1055" s="19" t="s">
        <v>313</v>
      </c>
      <c r="U1055" s="19" t="s">
        <v>178</v>
      </c>
      <c r="V1055" s="16">
        <f t="shared" si="199"/>
        <v>175053.59099999999</v>
      </c>
      <c r="W1055" s="16">
        <f t="shared" si="200"/>
        <v>17505.359099999998</v>
      </c>
      <c r="X1055" s="16">
        <f t="shared" si="201"/>
        <v>192558.95009999999</v>
      </c>
      <c r="Y1055" s="16">
        <f t="shared" si="202"/>
        <v>1.1886354944444444</v>
      </c>
      <c r="Z1055" s="16">
        <f t="shared" si="203"/>
        <v>7.2038514814814816</v>
      </c>
      <c r="AA1055" s="17">
        <f t="shared" si="204"/>
        <v>162000</v>
      </c>
      <c r="AB1055" s="10">
        <v>5244</v>
      </c>
      <c r="AC1055" s="18">
        <f t="shared" si="205"/>
        <v>6233.2045328666663</v>
      </c>
      <c r="AD1055" s="12">
        <f t="shared" si="210"/>
        <v>86652</v>
      </c>
      <c r="AE1055" s="13">
        <f t="shared" si="206"/>
        <v>75348</v>
      </c>
    </row>
    <row r="1056" spans="1:31">
      <c r="A1056" s="6">
        <v>6</v>
      </c>
      <c r="B1056" s="6">
        <f t="shared" si="209"/>
        <v>16</v>
      </c>
      <c r="C1056" s="6" t="str">
        <f t="shared" si="198"/>
        <v>601487200CCOVER, RETRACTOR, R27, S SYSTEMKAPPE DELRIN 100T43274964495048000</v>
      </c>
      <c r="D1056" s="7" t="s">
        <v>235</v>
      </c>
      <c r="E1056" s="6" t="s">
        <v>64</v>
      </c>
      <c r="F1056" s="6"/>
      <c r="G1056" s="7" t="s">
        <v>24</v>
      </c>
      <c r="H1056" s="19"/>
      <c r="I1056" s="19"/>
      <c r="J1056" s="19"/>
      <c r="K1056" s="19"/>
      <c r="L1056" s="14">
        <v>4327496</v>
      </c>
      <c r="M1056" s="22">
        <v>44950</v>
      </c>
      <c r="N1056" s="19" t="s">
        <v>199</v>
      </c>
      <c r="O1056" s="19" t="s">
        <v>332</v>
      </c>
      <c r="P1056" s="15">
        <v>48000</v>
      </c>
      <c r="Q1056" s="15">
        <v>514349.16</v>
      </c>
      <c r="R1056" s="15">
        <v>87082900</v>
      </c>
      <c r="S1056" s="15">
        <v>15</v>
      </c>
      <c r="T1056" s="19" t="s">
        <v>307</v>
      </c>
      <c r="U1056" s="19" t="s">
        <v>178</v>
      </c>
      <c r="V1056" s="16">
        <f t="shared" si="199"/>
        <v>77152.373999999996</v>
      </c>
      <c r="W1056" s="16">
        <f t="shared" si="200"/>
        <v>7715.2374</v>
      </c>
      <c r="X1056" s="16">
        <f t="shared" si="201"/>
        <v>84867.611399999994</v>
      </c>
      <c r="Y1056" s="16">
        <f t="shared" si="202"/>
        <v>1.7680752375</v>
      </c>
      <c r="Z1056" s="16">
        <f t="shared" si="203"/>
        <v>10.715607499999999</v>
      </c>
      <c r="AA1056" s="17">
        <f t="shared" si="204"/>
        <v>48000</v>
      </c>
      <c r="AB1056" s="10">
        <v>5244</v>
      </c>
      <c r="AC1056" s="18">
        <f t="shared" si="205"/>
        <v>9271.7865454500006</v>
      </c>
      <c r="AD1056" s="12">
        <f t="shared" si="210"/>
        <v>47964</v>
      </c>
      <c r="AE1056" s="13">
        <f t="shared" si="206"/>
        <v>36</v>
      </c>
    </row>
    <row r="1057" spans="1:31">
      <c r="A1057" s="6">
        <v>6</v>
      </c>
      <c r="B1057" s="6">
        <f t="shared" si="209"/>
        <v>17</v>
      </c>
      <c r="C1057" s="6" t="str">
        <f t="shared" si="198"/>
        <v>605151600ASPRING, SHEET, LEAF, RET ALL VERSIONS, WS US407852744933100000</v>
      </c>
      <c r="D1057" s="7" t="s">
        <v>235</v>
      </c>
      <c r="E1057" s="6" t="s">
        <v>65</v>
      </c>
      <c r="F1057" s="6"/>
      <c r="G1057" s="7" t="s">
        <v>25</v>
      </c>
      <c r="H1057" s="19"/>
      <c r="I1057" s="19"/>
      <c r="J1057" s="19"/>
      <c r="K1057" s="19"/>
      <c r="L1057" s="14">
        <v>4078527</v>
      </c>
      <c r="M1057" s="22">
        <v>44933</v>
      </c>
      <c r="N1057" s="19" t="s">
        <v>196</v>
      </c>
      <c r="O1057" s="19" t="s">
        <v>333</v>
      </c>
      <c r="P1057" s="15">
        <v>100000</v>
      </c>
      <c r="Q1057" s="15">
        <v>147318.03</v>
      </c>
      <c r="R1057" s="15">
        <v>87082900</v>
      </c>
      <c r="S1057" s="15">
        <v>15</v>
      </c>
      <c r="T1057" s="19" t="s">
        <v>314</v>
      </c>
      <c r="U1057" s="19" t="s">
        <v>178</v>
      </c>
      <c r="V1057" s="16">
        <f t="shared" si="199"/>
        <v>22097.7045</v>
      </c>
      <c r="W1057" s="16">
        <f t="shared" si="200"/>
        <v>2209.77045</v>
      </c>
      <c r="X1057" s="16">
        <f t="shared" si="201"/>
        <v>24307.47495</v>
      </c>
      <c r="Y1057" s="16">
        <f t="shared" si="202"/>
        <v>0.24307474949999999</v>
      </c>
      <c r="Z1057" s="16">
        <f t="shared" si="203"/>
        <v>1.4731802999999999</v>
      </c>
      <c r="AA1057" s="17">
        <f t="shared" si="204"/>
        <v>100000</v>
      </c>
      <c r="AB1057" s="10">
        <v>5244</v>
      </c>
      <c r="AC1057" s="18">
        <f t="shared" si="205"/>
        <v>1274.6839863779999</v>
      </c>
      <c r="AD1057" s="12">
        <f t="shared" si="210"/>
        <v>86652</v>
      </c>
      <c r="AE1057" s="13">
        <f t="shared" si="206"/>
        <v>13348</v>
      </c>
    </row>
    <row r="1058" spans="1:31">
      <c r="A1058" s="6">
        <v>6</v>
      </c>
      <c r="B1058" s="6">
        <f t="shared" si="209"/>
        <v>18</v>
      </c>
      <c r="C1058" s="6" t="str">
        <f t="shared" si="198"/>
        <v>605555507ESTEERING DISC NATURE WHITE717838944902100800</v>
      </c>
      <c r="D1058" s="7" t="s">
        <v>235</v>
      </c>
      <c r="E1058" s="6" t="s">
        <v>66</v>
      </c>
      <c r="F1058" s="6"/>
      <c r="G1058" s="7" t="s">
        <v>26</v>
      </c>
      <c r="H1058" s="19"/>
      <c r="I1058" s="19"/>
      <c r="J1058" s="19"/>
      <c r="K1058" s="19"/>
      <c r="L1058" s="14">
        <v>7178389</v>
      </c>
      <c r="M1058" s="22">
        <v>44902</v>
      </c>
      <c r="N1058" s="19" t="s">
        <v>185</v>
      </c>
      <c r="O1058" s="19" t="s">
        <v>332</v>
      </c>
      <c r="P1058" s="15">
        <v>100800</v>
      </c>
      <c r="Q1058" s="15">
        <v>397158.13</v>
      </c>
      <c r="R1058" s="15">
        <v>87082900</v>
      </c>
      <c r="S1058" s="15">
        <v>15</v>
      </c>
      <c r="T1058" s="19" t="s">
        <v>315</v>
      </c>
      <c r="U1058" s="19" t="s">
        <v>178</v>
      </c>
      <c r="V1058" s="16">
        <f t="shared" si="199"/>
        <v>59573.719499999999</v>
      </c>
      <c r="W1058" s="16">
        <f t="shared" si="200"/>
        <v>5957.3719500000007</v>
      </c>
      <c r="X1058" s="16">
        <f t="shared" si="201"/>
        <v>65531.09145</v>
      </c>
      <c r="Y1058" s="16">
        <f t="shared" si="202"/>
        <v>0.65011003422619051</v>
      </c>
      <c r="Z1058" s="16">
        <f t="shared" si="203"/>
        <v>3.9400608134920634</v>
      </c>
      <c r="AA1058" s="17">
        <f t="shared" si="204"/>
        <v>100800</v>
      </c>
      <c r="AB1058" s="10">
        <v>5244</v>
      </c>
      <c r="AC1058" s="18">
        <f t="shared" si="205"/>
        <v>3409.1770194821429</v>
      </c>
      <c r="AD1058" s="12">
        <f t="shared" si="210"/>
        <v>80292</v>
      </c>
      <c r="AE1058" s="13">
        <f t="shared" si="206"/>
        <v>20508</v>
      </c>
    </row>
    <row r="1059" spans="1:31">
      <c r="A1059" s="6">
        <v>6</v>
      </c>
      <c r="B1059" s="6">
        <f t="shared" si="209"/>
        <v>19</v>
      </c>
      <c r="C1059" s="6" t="str">
        <f t="shared" si="198"/>
        <v>618470500EBEARING, CAR SENS, RETRA All Versions, Noise redu408531144933170000</v>
      </c>
      <c r="D1059" s="7" t="s">
        <v>235</v>
      </c>
      <c r="E1059" s="6" t="s">
        <v>68</v>
      </c>
      <c r="F1059" s="6"/>
      <c r="G1059" s="7" t="s">
        <v>28</v>
      </c>
      <c r="H1059" s="19"/>
      <c r="I1059" s="19"/>
      <c r="J1059" s="19"/>
      <c r="K1059" s="19"/>
      <c r="L1059" s="14">
        <v>4085311</v>
      </c>
      <c r="M1059" s="22">
        <v>44933</v>
      </c>
      <c r="N1059" s="19" t="s">
        <v>196</v>
      </c>
      <c r="O1059" s="19" t="s">
        <v>333</v>
      </c>
      <c r="P1059" s="15">
        <v>170000</v>
      </c>
      <c r="Q1059" s="15">
        <v>305828.40000000002</v>
      </c>
      <c r="R1059" s="15">
        <v>87082900</v>
      </c>
      <c r="S1059" s="15">
        <v>15</v>
      </c>
      <c r="T1059" s="19" t="s">
        <v>316</v>
      </c>
      <c r="U1059" s="19" t="s">
        <v>178</v>
      </c>
      <c r="V1059" s="16">
        <f t="shared" si="199"/>
        <v>45874.26</v>
      </c>
      <c r="W1059" s="16">
        <f t="shared" si="200"/>
        <v>4587.4260000000004</v>
      </c>
      <c r="X1059" s="16">
        <f t="shared" si="201"/>
        <v>50461.686000000002</v>
      </c>
      <c r="Y1059" s="16">
        <f t="shared" si="202"/>
        <v>0.29683344705882353</v>
      </c>
      <c r="Z1059" s="16">
        <f t="shared" si="203"/>
        <v>1.7989905882352943</v>
      </c>
      <c r="AA1059" s="17">
        <f t="shared" si="204"/>
        <v>170000</v>
      </c>
      <c r="AB1059" s="10">
        <v>5244</v>
      </c>
      <c r="AC1059" s="18">
        <f t="shared" si="205"/>
        <v>1556.5945963764707</v>
      </c>
      <c r="AD1059" s="12">
        <f t="shared" si="210"/>
        <v>61944</v>
      </c>
      <c r="AE1059" s="13">
        <f t="shared" si="206"/>
        <v>108056</v>
      </c>
    </row>
    <row r="1060" spans="1:31">
      <c r="A1060" s="6">
        <v>6</v>
      </c>
      <c r="B1060" s="6">
        <f t="shared" si="209"/>
        <v>20</v>
      </c>
      <c r="C1060" s="6" t="str">
        <f t="shared" si="198"/>
        <v>618472000BLEVER, CAR SENS, RETRACT ALL VERSIONS, NOISE REDU408531144933170000</v>
      </c>
      <c r="D1060" s="7" t="s">
        <v>235</v>
      </c>
      <c r="E1060" s="6" t="s">
        <v>69</v>
      </c>
      <c r="F1060" s="6"/>
      <c r="G1060" s="7" t="s">
        <v>29</v>
      </c>
      <c r="H1060" s="19"/>
      <c r="I1060" s="19"/>
      <c r="J1060" s="19"/>
      <c r="K1060" s="19"/>
      <c r="L1060" s="14">
        <v>4085311</v>
      </c>
      <c r="M1060" s="22">
        <v>44933</v>
      </c>
      <c r="N1060" s="19" t="s">
        <v>196</v>
      </c>
      <c r="O1060" s="19" t="s">
        <v>333</v>
      </c>
      <c r="P1060" s="15">
        <v>170000</v>
      </c>
      <c r="Q1060" s="15">
        <v>247799.42</v>
      </c>
      <c r="R1060" s="15">
        <v>87082900</v>
      </c>
      <c r="S1060" s="15">
        <v>15</v>
      </c>
      <c r="T1060" s="19" t="s">
        <v>316</v>
      </c>
      <c r="U1060" s="19" t="s">
        <v>178</v>
      </c>
      <c r="V1060" s="16">
        <f t="shared" si="199"/>
        <v>37169.913</v>
      </c>
      <c r="W1060" s="16">
        <f t="shared" si="200"/>
        <v>3716.9913000000001</v>
      </c>
      <c r="X1060" s="16">
        <f t="shared" si="201"/>
        <v>40886.904300000002</v>
      </c>
      <c r="Y1060" s="16">
        <f t="shared" si="202"/>
        <v>0.24051120176470589</v>
      </c>
      <c r="Z1060" s="16">
        <f t="shared" si="203"/>
        <v>1.4576436470588237</v>
      </c>
      <c r="AA1060" s="17">
        <f t="shared" si="204"/>
        <v>170000</v>
      </c>
      <c r="AB1060" s="10">
        <v>5244</v>
      </c>
      <c r="AC1060" s="18">
        <f t="shared" si="205"/>
        <v>1261.2407420541176</v>
      </c>
      <c r="AD1060" s="12">
        <f t="shared" si="210"/>
        <v>86652</v>
      </c>
      <c r="AE1060" s="13">
        <f t="shared" si="206"/>
        <v>83348</v>
      </c>
    </row>
    <row r="1061" spans="1:31">
      <c r="A1061" s="6">
        <v>6</v>
      </c>
      <c r="B1061" s="6">
        <f t="shared" si="209"/>
        <v>21</v>
      </c>
      <c r="C1061" s="6" t="str">
        <f t="shared" si="198"/>
        <v>618472300CMASS, CAR SENS, RETRACTO ALL VERSIONS, CAR 2-PIN406183045012209560</v>
      </c>
      <c r="D1061" s="7" t="s">
        <v>235</v>
      </c>
      <c r="E1061" s="6" t="s">
        <v>70</v>
      </c>
      <c r="F1061" s="6"/>
      <c r="G1061" s="7" t="s">
        <v>30</v>
      </c>
      <c r="H1061" s="19"/>
      <c r="I1061" s="19"/>
      <c r="J1061" s="19"/>
      <c r="K1061" s="19"/>
      <c r="L1061" s="14">
        <v>4061830</v>
      </c>
      <c r="M1061" s="22">
        <v>45012</v>
      </c>
      <c r="N1061" s="19" t="s">
        <v>196</v>
      </c>
      <c r="O1061" s="19" t="s">
        <v>333</v>
      </c>
      <c r="P1061" s="15">
        <v>209560</v>
      </c>
      <c r="Q1061" s="15">
        <v>786307.66</v>
      </c>
      <c r="R1061" s="15">
        <v>87082900</v>
      </c>
      <c r="S1061" s="15">
        <v>15</v>
      </c>
      <c r="T1061" s="19" t="s">
        <v>317</v>
      </c>
      <c r="U1061" s="19" t="s">
        <v>178</v>
      </c>
      <c r="V1061" s="16">
        <f t="shared" si="199"/>
        <v>117946.149</v>
      </c>
      <c r="W1061" s="16">
        <f t="shared" si="200"/>
        <v>11794.6149</v>
      </c>
      <c r="X1061" s="16">
        <f t="shared" si="201"/>
        <v>129740.76390000001</v>
      </c>
      <c r="Y1061" s="16">
        <f t="shared" si="202"/>
        <v>0.61911034500858941</v>
      </c>
      <c r="Z1061" s="16">
        <f t="shared" si="203"/>
        <v>3.7521839091429663</v>
      </c>
      <c r="AA1061" s="17">
        <f t="shared" si="204"/>
        <v>209560</v>
      </c>
      <c r="AB1061" s="10">
        <v>5244</v>
      </c>
      <c r="AC1061" s="18">
        <f t="shared" si="205"/>
        <v>3246.6146492250427</v>
      </c>
      <c r="AD1061" s="12">
        <f t="shared" si="210"/>
        <v>86652</v>
      </c>
      <c r="AE1061" s="13">
        <f t="shared" si="206"/>
        <v>122908</v>
      </c>
    </row>
    <row r="1062" spans="1:31">
      <c r="A1062" s="6">
        <v>6</v>
      </c>
      <c r="B1062" s="6">
        <f t="shared" si="209"/>
        <v>22</v>
      </c>
      <c r="C1062" s="6" t="str">
        <f t="shared" si="198"/>
        <v>630580800ALABEL, RAW MATERIAL, BLA K12 TPC BUCKLE5160585449362400000</v>
      </c>
      <c r="D1062" s="7" t="s">
        <v>235</v>
      </c>
      <c r="E1062" s="6" t="s">
        <v>71</v>
      </c>
      <c r="F1062" s="6"/>
      <c r="G1062" s="7" t="s">
        <v>31</v>
      </c>
      <c r="H1062" s="19"/>
      <c r="I1062" s="19"/>
      <c r="J1062" s="19"/>
      <c r="K1062" s="19"/>
      <c r="L1062" s="14">
        <v>5160585</v>
      </c>
      <c r="M1062" s="22">
        <v>44936</v>
      </c>
      <c r="N1062" s="19" t="s">
        <v>196</v>
      </c>
      <c r="O1062" s="19" t="s">
        <v>333</v>
      </c>
      <c r="P1062" s="15">
        <v>2400000</v>
      </c>
      <c r="Q1062" s="15">
        <v>86522.34</v>
      </c>
      <c r="R1062" s="15">
        <v>87082900</v>
      </c>
      <c r="S1062" s="15">
        <v>15</v>
      </c>
      <c r="T1062" s="19" t="s">
        <v>265</v>
      </c>
      <c r="U1062" s="19" t="s">
        <v>178</v>
      </c>
      <c r="V1062" s="16">
        <f t="shared" si="199"/>
        <v>12978.350999999999</v>
      </c>
      <c r="W1062" s="16">
        <f t="shared" si="200"/>
        <v>1297.8351</v>
      </c>
      <c r="X1062" s="16">
        <f t="shared" si="201"/>
        <v>14276.186099999999</v>
      </c>
      <c r="Y1062" s="16">
        <f t="shared" si="202"/>
        <v>5.9484108749999999E-3</v>
      </c>
      <c r="Z1062" s="16">
        <f t="shared" si="203"/>
        <v>3.6050974999999999E-2</v>
      </c>
      <c r="AA1062" s="17">
        <f t="shared" si="204"/>
        <v>2400000</v>
      </c>
      <c r="AB1062" s="10">
        <v>11772</v>
      </c>
      <c r="AC1062" s="18">
        <f t="shared" si="205"/>
        <v>70.024692820499993</v>
      </c>
      <c r="AD1062" s="12">
        <f t="shared" si="210"/>
        <v>548546</v>
      </c>
      <c r="AE1062" s="13">
        <f t="shared" si="206"/>
        <v>1851454</v>
      </c>
    </row>
    <row r="1063" spans="1:31">
      <c r="A1063" s="6">
        <v>6</v>
      </c>
      <c r="B1063" s="6">
        <f t="shared" si="209"/>
        <v>23</v>
      </c>
      <c r="C1063" s="6" t="str">
        <f t="shared" si="198"/>
        <v>560050622CCHANNEL, BUCKLE, K12 ROA K12A/AT, RIVET BUCKLE, S505596944994224000</v>
      </c>
      <c r="D1063" s="7" t="s">
        <v>235</v>
      </c>
      <c r="E1063" s="6" t="s">
        <v>72</v>
      </c>
      <c r="F1063" s="6"/>
      <c r="G1063" s="7" t="s">
        <v>32</v>
      </c>
      <c r="H1063" s="19"/>
      <c r="I1063" s="19"/>
      <c r="J1063" s="19"/>
      <c r="K1063" s="19"/>
      <c r="L1063" s="14">
        <v>5055969</v>
      </c>
      <c r="M1063" s="22">
        <v>44994</v>
      </c>
      <c r="N1063" s="19" t="s">
        <v>197</v>
      </c>
      <c r="O1063" s="19" t="s">
        <v>333</v>
      </c>
      <c r="P1063" s="15">
        <v>224000</v>
      </c>
      <c r="Q1063" s="15">
        <v>3980591.44</v>
      </c>
      <c r="R1063" s="15">
        <v>87082900</v>
      </c>
      <c r="S1063" s="15">
        <v>15</v>
      </c>
      <c r="T1063" s="19" t="s">
        <v>318</v>
      </c>
      <c r="U1063" s="19" t="s">
        <v>178</v>
      </c>
      <c r="V1063" s="16">
        <f t="shared" si="199"/>
        <v>597088.71600000001</v>
      </c>
      <c r="W1063" s="16">
        <f t="shared" si="200"/>
        <v>59708.871600000006</v>
      </c>
      <c r="X1063" s="16">
        <f t="shared" si="201"/>
        <v>656797.58759999997</v>
      </c>
      <c r="Y1063" s="16">
        <f t="shared" si="202"/>
        <v>2.9321320874999999</v>
      </c>
      <c r="Z1063" s="16">
        <f t="shared" si="203"/>
        <v>17.770497500000001</v>
      </c>
      <c r="AA1063" s="17">
        <f t="shared" si="204"/>
        <v>224000</v>
      </c>
      <c r="AB1063" s="10">
        <v>4352</v>
      </c>
      <c r="AC1063" s="18">
        <f t="shared" si="205"/>
        <v>12760.6388448</v>
      </c>
      <c r="AD1063" s="12">
        <f t="shared" si="210"/>
        <v>67232</v>
      </c>
      <c r="AE1063" s="13">
        <f t="shared" si="206"/>
        <v>156768</v>
      </c>
    </row>
    <row r="1064" spans="1:31">
      <c r="A1064" s="6">
        <v>6</v>
      </c>
      <c r="B1064" s="6">
        <f t="shared" si="209"/>
        <v>24</v>
      </c>
      <c r="C1064" s="6" t="str">
        <f t="shared" si="198"/>
        <v>560130122ASPRING, WIRE, COMPRESSIO K12A/AT495151045028300000</v>
      </c>
      <c r="D1064" s="7" t="s">
        <v>235</v>
      </c>
      <c r="E1064" s="6" t="s">
        <v>73</v>
      </c>
      <c r="F1064" s="6"/>
      <c r="G1064" s="7" t="s">
        <v>33</v>
      </c>
      <c r="H1064" s="19"/>
      <c r="I1064" s="19"/>
      <c r="J1064" s="19"/>
      <c r="K1064" s="19"/>
      <c r="L1064" s="14">
        <v>4951510</v>
      </c>
      <c r="M1064" s="22">
        <v>45028</v>
      </c>
      <c r="N1064" s="19" t="s">
        <v>199</v>
      </c>
      <c r="O1064" s="19" t="s">
        <v>332</v>
      </c>
      <c r="P1064" s="15">
        <v>300000</v>
      </c>
      <c r="Q1064" s="15">
        <v>285155.93</v>
      </c>
      <c r="R1064" s="15">
        <v>87082900</v>
      </c>
      <c r="S1064" s="15">
        <v>15</v>
      </c>
      <c r="T1064" s="19" t="s">
        <v>319</v>
      </c>
      <c r="U1064" s="19" t="s">
        <v>178</v>
      </c>
      <c r="V1064" s="16">
        <f t="shared" si="199"/>
        <v>42773.389499999997</v>
      </c>
      <c r="W1064" s="16">
        <f t="shared" si="200"/>
        <v>4277.3389500000003</v>
      </c>
      <c r="X1064" s="16">
        <f t="shared" si="201"/>
        <v>47050.728449999995</v>
      </c>
      <c r="Y1064" s="16">
        <f t="shared" si="202"/>
        <v>0.15683576149999998</v>
      </c>
      <c r="Z1064" s="16">
        <f t="shared" si="203"/>
        <v>0.9505197666666666</v>
      </c>
      <c r="AA1064" s="17">
        <f t="shared" si="204"/>
        <v>300000</v>
      </c>
      <c r="AB1064" s="10">
        <v>4352</v>
      </c>
      <c r="AC1064" s="18">
        <f t="shared" si="205"/>
        <v>682.5492340479999</v>
      </c>
      <c r="AD1064" s="12">
        <f t="shared" si="210"/>
        <v>94048</v>
      </c>
      <c r="AE1064" s="13">
        <f t="shared" si="206"/>
        <v>205952</v>
      </c>
    </row>
    <row r="1065" spans="1:31">
      <c r="A1065" s="6">
        <v>6</v>
      </c>
      <c r="B1065" s="6">
        <f t="shared" si="209"/>
        <v>25</v>
      </c>
      <c r="C1065" s="6" t="str">
        <f t="shared" si="198"/>
        <v>560762022ALATCH, BUCKLE, K12 ROADM K12A/AT, SILVER, LATCH W54569304493980000</v>
      </c>
      <c r="D1065" s="7" t="s">
        <v>235</v>
      </c>
      <c r="E1065" s="6" t="s">
        <v>74</v>
      </c>
      <c r="F1065" s="6"/>
      <c r="G1065" s="7" t="s">
        <v>34</v>
      </c>
      <c r="H1065" s="19"/>
      <c r="I1065" s="19"/>
      <c r="J1065" s="19"/>
      <c r="K1065" s="19"/>
      <c r="L1065" s="14">
        <v>5456930</v>
      </c>
      <c r="M1065" s="22">
        <v>44939</v>
      </c>
      <c r="N1065" s="19" t="s">
        <v>185</v>
      </c>
      <c r="O1065" s="19" t="s">
        <v>332</v>
      </c>
      <c r="P1065" s="15">
        <v>80000</v>
      </c>
      <c r="Q1065" s="15">
        <v>680240</v>
      </c>
      <c r="R1065" s="15">
        <v>87082900</v>
      </c>
      <c r="S1065" s="15">
        <v>15</v>
      </c>
      <c r="T1065" s="19" t="s">
        <v>320</v>
      </c>
      <c r="U1065" s="19" t="s">
        <v>178</v>
      </c>
      <c r="V1065" s="16">
        <f t="shared" si="199"/>
        <v>102036</v>
      </c>
      <c r="W1065" s="16">
        <f t="shared" si="200"/>
        <v>10203.6</v>
      </c>
      <c r="X1065" s="16">
        <f t="shared" si="201"/>
        <v>112239.6</v>
      </c>
      <c r="Y1065" s="16">
        <f t="shared" si="202"/>
        <v>1.402995</v>
      </c>
      <c r="Z1065" s="16">
        <f t="shared" si="203"/>
        <v>8.5030000000000001</v>
      </c>
      <c r="AA1065" s="17">
        <f t="shared" si="204"/>
        <v>80000</v>
      </c>
      <c r="AB1065" s="10">
        <v>4352</v>
      </c>
      <c r="AC1065" s="18">
        <f t="shared" si="205"/>
        <v>6105.8342400000001</v>
      </c>
      <c r="AD1065" s="12">
        <f t="shared" si="210"/>
        <v>74976</v>
      </c>
      <c r="AE1065" s="13">
        <f t="shared" si="206"/>
        <v>5024</v>
      </c>
    </row>
    <row r="1066" spans="1:31">
      <c r="A1066" s="6">
        <v>6</v>
      </c>
      <c r="B1066" s="6">
        <f t="shared" si="209"/>
        <v>26</v>
      </c>
      <c r="C1066" s="6" t="str">
        <f t="shared" si="198"/>
        <v>604213200ALOCKING BAR, BUCKLE, K12 K12A/AT, L=34.3, silver415111844909306000</v>
      </c>
      <c r="D1066" s="7" t="s">
        <v>235</v>
      </c>
      <c r="E1066" s="6" t="s">
        <v>75</v>
      </c>
      <c r="F1066" s="6"/>
      <c r="G1066" s="7" t="s">
        <v>35</v>
      </c>
      <c r="H1066" s="19"/>
      <c r="I1066" s="19"/>
      <c r="J1066" s="19"/>
      <c r="K1066" s="19"/>
      <c r="L1066" s="14">
        <v>4151118</v>
      </c>
      <c r="M1066" s="22">
        <v>44909</v>
      </c>
      <c r="N1066" s="19" t="s">
        <v>199</v>
      </c>
      <c r="O1066" s="19" t="s">
        <v>332</v>
      </c>
      <c r="P1066" s="15">
        <v>306000</v>
      </c>
      <c r="Q1066" s="15">
        <v>347494.89</v>
      </c>
      <c r="R1066" s="15">
        <v>87082900</v>
      </c>
      <c r="S1066" s="15">
        <v>15</v>
      </c>
      <c r="T1066" s="19" t="s">
        <v>319</v>
      </c>
      <c r="U1066" s="19" t="s">
        <v>178</v>
      </c>
      <c r="V1066" s="16">
        <f t="shared" si="199"/>
        <v>52124.233500000002</v>
      </c>
      <c r="W1066" s="16">
        <f t="shared" si="200"/>
        <v>5212.4233500000009</v>
      </c>
      <c r="X1066" s="16">
        <f t="shared" si="201"/>
        <v>57336.656849999999</v>
      </c>
      <c r="Y1066" s="16">
        <f t="shared" si="202"/>
        <v>0.1873746955882353</v>
      </c>
      <c r="Z1066" s="16">
        <f t="shared" si="203"/>
        <v>1.1356042156862745</v>
      </c>
      <c r="AA1066" s="17">
        <f t="shared" si="204"/>
        <v>306000</v>
      </c>
      <c r="AB1066" s="10">
        <v>4352</v>
      </c>
      <c r="AC1066" s="18">
        <f t="shared" si="205"/>
        <v>815.4546752</v>
      </c>
      <c r="AD1066" s="12">
        <f t="shared" si="210"/>
        <v>94048</v>
      </c>
      <c r="AE1066" s="13">
        <f t="shared" si="206"/>
        <v>211952</v>
      </c>
    </row>
    <row r="1067" spans="1:31">
      <c r="A1067" s="6">
        <v>6</v>
      </c>
      <c r="B1067" s="6">
        <f t="shared" si="209"/>
        <v>27</v>
      </c>
      <c r="C1067" s="6" t="str">
        <f t="shared" si="198"/>
        <v>NPB10271-ZKSCREW, SELF-TAPPING, MET OTHER, HEXALOBULAR INTER406701444998150000</v>
      </c>
      <c r="D1067" s="7" t="s">
        <v>235</v>
      </c>
      <c r="E1067" s="6" t="s">
        <v>76</v>
      </c>
      <c r="F1067" s="6"/>
      <c r="G1067" s="7" t="s">
        <v>36</v>
      </c>
      <c r="H1067" s="19"/>
      <c r="I1067" s="19"/>
      <c r="J1067" s="19"/>
      <c r="K1067" s="19"/>
      <c r="L1067" s="14">
        <v>4067014</v>
      </c>
      <c r="M1067" s="22">
        <v>44998</v>
      </c>
      <c r="N1067" s="19" t="s">
        <v>196</v>
      </c>
      <c r="O1067" s="19" t="s">
        <v>333</v>
      </c>
      <c r="P1067" s="15">
        <v>150000</v>
      </c>
      <c r="Q1067" s="15">
        <v>146157.25</v>
      </c>
      <c r="R1067" s="15">
        <v>87082900</v>
      </c>
      <c r="S1067" s="15">
        <v>15</v>
      </c>
      <c r="T1067" s="19" t="s">
        <v>321</v>
      </c>
      <c r="U1067" s="19" t="s">
        <v>178</v>
      </c>
      <c r="V1067" s="16">
        <f t="shared" si="199"/>
        <v>21923.587499999998</v>
      </c>
      <c r="W1067" s="16">
        <f t="shared" si="200"/>
        <v>2192.3587499999999</v>
      </c>
      <c r="X1067" s="16">
        <f t="shared" si="201"/>
        <v>24115.946249999997</v>
      </c>
      <c r="Y1067" s="16">
        <f t="shared" si="202"/>
        <v>0.16077297499999998</v>
      </c>
      <c r="Z1067" s="16">
        <f t="shared" si="203"/>
        <v>0.9743816666666667</v>
      </c>
      <c r="AA1067" s="17">
        <f t="shared" si="204"/>
        <v>150000</v>
      </c>
      <c r="AB1067" s="10">
        <v>8704</v>
      </c>
      <c r="AC1067" s="18">
        <f t="shared" si="205"/>
        <v>1399.3679743999999</v>
      </c>
      <c r="AD1067" s="12">
        <f t="shared" si="210"/>
        <v>149952</v>
      </c>
      <c r="AE1067" s="13">
        <f t="shared" si="206"/>
        <v>48</v>
      </c>
    </row>
    <row r="1068" spans="1:31">
      <c r="A1068" s="6">
        <v>6</v>
      </c>
      <c r="B1068" s="6">
        <f t="shared" si="209"/>
        <v>28</v>
      </c>
      <c r="C1068" s="6" t="str">
        <f t="shared" si="198"/>
        <v>NWB2834WASHER, WAVED 69498204512640000</v>
      </c>
      <c r="D1068" s="7" t="s">
        <v>235</v>
      </c>
      <c r="E1068" s="6" t="s">
        <v>77</v>
      </c>
      <c r="F1068" s="6"/>
      <c r="G1068" s="7" t="s">
        <v>37</v>
      </c>
      <c r="H1068" s="19"/>
      <c r="I1068" s="19"/>
      <c r="J1068" s="19"/>
      <c r="K1068" s="19"/>
      <c r="L1068" s="14">
        <v>6949820</v>
      </c>
      <c r="M1068" s="22">
        <v>45126</v>
      </c>
      <c r="N1068" s="19" t="s">
        <v>196</v>
      </c>
      <c r="O1068" s="19" t="s">
        <v>333</v>
      </c>
      <c r="P1068" s="15">
        <v>40000</v>
      </c>
      <c r="Q1068" s="15">
        <v>70563.69</v>
      </c>
      <c r="R1068" s="15">
        <v>87082900</v>
      </c>
      <c r="S1068" s="15">
        <v>15</v>
      </c>
      <c r="T1068" s="19" t="s">
        <v>207</v>
      </c>
      <c r="U1068" s="19" t="s">
        <v>178</v>
      </c>
      <c r="V1068" s="16">
        <f t="shared" si="199"/>
        <v>10584.5535</v>
      </c>
      <c r="W1068" s="16">
        <f t="shared" si="200"/>
        <v>1058.45535</v>
      </c>
      <c r="X1068" s="16">
        <f t="shared" si="201"/>
        <v>11643.00885</v>
      </c>
      <c r="Y1068" s="16">
        <f t="shared" si="202"/>
        <v>0.29107522125000002</v>
      </c>
      <c r="Z1068" s="16">
        <f t="shared" si="203"/>
        <v>1.76409225</v>
      </c>
      <c r="AA1068" s="17">
        <f t="shared" si="204"/>
        <v>40000</v>
      </c>
      <c r="AB1068" s="10">
        <v>4352</v>
      </c>
      <c r="AC1068" s="18">
        <f t="shared" si="205"/>
        <v>1266.75936288</v>
      </c>
      <c r="AD1068" s="12">
        <f t="shared" si="210"/>
        <v>36128</v>
      </c>
      <c r="AE1068" s="13">
        <f t="shared" si="206"/>
        <v>3872</v>
      </c>
    </row>
    <row r="1069" spans="1:31">
      <c r="A1069" s="6">
        <v>6</v>
      </c>
      <c r="B1069" s="6">
        <f t="shared" si="209"/>
        <v>29</v>
      </c>
      <c r="C1069" s="6" t="str">
        <f t="shared" si="198"/>
        <v>632154400AADHESIVE, PAD 44490894496120000</v>
      </c>
      <c r="D1069" s="7" t="s">
        <v>235</v>
      </c>
      <c r="E1069" s="6" t="s">
        <v>79</v>
      </c>
      <c r="F1069" s="6"/>
      <c r="G1069" s="7" t="s">
        <v>39</v>
      </c>
      <c r="H1069" s="19"/>
      <c r="I1069" s="19"/>
      <c r="J1069" s="19"/>
      <c r="K1069" s="19"/>
      <c r="L1069" s="14">
        <v>4449089</v>
      </c>
      <c r="M1069" s="22">
        <v>44961</v>
      </c>
      <c r="N1069" s="19" t="s">
        <v>196</v>
      </c>
      <c r="O1069" s="19" t="s">
        <v>333</v>
      </c>
      <c r="P1069" s="15">
        <v>20000</v>
      </c>
      <c r="Q1069" s="15">
        <v>71990.399999999994</v>
      </c>
      <c r="R1069" s="15">
        <v>87082900</v>
      </c>
      <c r="S1069" s="15">
        <v>15</v>
      </c>
      <c r="T1069" s="19" t="s">
        <v>201</v>
      </c>
      <c r="U1069" s="19" t="s">
        <v>178</v>
      </c>
      <c r="V1069" s="16">
        <f t="shared" si="199"/>
        <v>10798.56</v>
      </c>
      <c r="W1069" s="16">
        <f t="shared" si="200"/>
        <v>1079.856</v>
      </c>
      <c r="X1069" s="16">
        <f t="shared" si="201"/>
        <v>11878.415999999999</v>
      </c>
      <c r="Y1069" s="16">
        <f t="shared" si="202"/>
        <v>0.59392079999999992</v>
      </c>
      <c r="Z1069" s="16">
        <f t="shared" si="203"/>
        <v>3.5995199999999996</v>
      </c>
      <c r="AA1069" s="17">
        <f t="shared" si="204"/>
        <v>20000</v>
      </c>
      <c r="AB1069" s="10">
        <v>0</v>
      </c>
      <c r="AC1069" s="18">
        <f t="shared" si="205"/>
        <v>0</v>
      </c>
      <c r="AD1069" s="12">
        <f t="shared" si="210"/>
        <v>20000</v>
      </c>
      <c r="AE1069" s="13">
        <f t="shared" si="206"/>
        <v>0</v>
      </c>
    </row>
    <row r="1070" spans="1:31">
      <c r="A1070" s="6">
        <v>6</v>
      </c>
      <c r="B1070" s="6">
        <f t="shared" si="209"/>
        <v>30</v>
      </c>
      <c r="C1070" s="6" t="str">
        <f t="shared" si="198"/>
        <v>615795701BPILLAR LOOP, OVERMOULDED LIGHT GRAY, STD, WITH CA7180105451414000</v>
      </c>
      <c r="D1070" s="7" t="s">
        <v>235</v>
      </c>
      <c r="E1070" s="6" t="s">
        <v>67</v>
      </c>
      <c r="F1070" s="6"/>
      <c r="G1070" s="7" t="s">
        <v>27</v>
      </c>
      <c r="H1070" s="19"/>
      <c r="I1070" s="19"/>
      <c r="J1070" s="19"/>
      <c r="K1070" s="19"/>
      <c r="L1070" s="14">
        <v>7180105</v>
      </c>
      <c r="M1070" s="22">
        <v>45141</v>
      </c>
      <c r="N1070" s="19" t="s">
        <v>185</v>
      </c>
      <c r="O1070" s="19" t="s">
        <v>332</v>
      </c>
      <c r="P1070" s="15">
        <v>4000</v>
      </c>
      <c r="Q1070" s="15">
        <v>235435.48</v>
      </c>
      <c r="R1070" s="15">
        <v>87082900</v>
      </c>
      <c r="S1070" s="15">
        <v>15</v>
      </c>
      <c r="T1070" s="19" t="s">
        <v>339</v>
      </c>
      <c r="U1070" s="19" t="s">
        <v>178</v>
      </c>
      <c r="V1070" s="16">
        <f t="shared" si="199"/>
        <v>35315.322</v>
      </c>
      <c r="W1070" s="16">
        <f t="shared" si="200"/>
        <v>3531.5322000000001</v>
      </c>
      <c r="X1070" s="16">
        <f t="shared" si="201"/>
        <v>38846.854200000002</v>
      </c>
      <c r="Y1070" s="16">
        <f t="shared" si="202"/>
        <v>9.7117135500000007</v>
      </c>
      <c r="Z1070" s="16">
        <f t="shared" si="203"/>
        <v>58.858870000000003</v>
      </c>
      <c r="AA1070" s="17">
        <f t="shared" si="204"/>
        <v>4000</v>
      </c>
      <c r="AB1070" s="10">
        <v>3892</v>
      </c>
      <c r="AC1070" s="18">
        <f t="shared" si="205"/>
        <v>37797.989136600001</v>
      </c>
      <c r="AD1070" s="12">
        <f t="shared" si="210"/>
        <v>4000</v>
      </c>
      <c r="AE1070" s="13">
        <f t="shared" si="206"/>
        <v>0</v>
      </c>
    </row>
    <row r="1071" spans="1:31">
      <c r="A1071" s="6">
        <v>6</v>
      </c>
      <c r="B1071" s="6">
        <f t="shared" si="209"/>
        <v>31</v>
      </c>
      <c r="C1071" s="6" t="str">
        <f t="shared" si="198"/>
        <v>603171100BTAPE, ADHESIVE, TERAOKA TERAOKA NO.560S 292476094473550000</v>
      </c>
      <c r="D1071" s="7" t="s">
        <v>235</v>
      </c>
      <c r="E1071" s="6" t="s">
        <v>50</v>
      </c>
      <c r="F1071" s="6"/>
      <c r="G1071" s="7" t="s">
        <v>12</v>
      </c>
      <c r="H1071" s="19"/>
      <c r="I1071" s="19"/>
      <c r="J1071" s="19"/>
      <c r="K1071" s="19"/>
      <c r="L1071" s="14">
        <v>9247609</v>
      </c>
      <c r="M1071" s="22">
        <v>44735</v>
      </c>
      <c r="N1071" s="19" t="s">
        <v>196</v>
      </c>
      <c r="O1071" s="19" t="s">
        <v>333</v>
      </c>
      <c r="P1071" s="15">
        <v>50000</v>
      </c>
      <c r="Q1071" s="15">
        <v>313333.84000000003</v>
      </c>
      <c r="R1071" s="15">
        <v>87082900</v>
      </c>
      <c r="S1071" s="15">
        <v>15</v>
      </c>
      <c r="T1071" s="19" t="s">
        <v>334</v>
      </c>
      <c r="U1071" s="19" t="s">
        <v>178</v>
      </c>
      <c r="V1071" s="16">
        <f t="shared" si="199"/>
        <v>47000.076000000001</v>
      </c>
      <c r="W1071" s="16">
        <f t="shared" si="200"/>
        <v>4700.0075999999999</v>
      </c>
      <c r="X1071" s="16">
        <f t="shared" si="201"/>
        <v>51700.083599999998</v>
      </c>
      <c r="Y1071" s="16">
        <f t="shared" si="202"/>
        <v>1.034001672</v>
      </c>
      <c r="Z1071" s="16">
        <f t="shared" si="203"/>
        <v>6.2666768000000008</v>
      </c>
      <c r="AA1071" s="17">
        <f t="shared" si="204"/>
        <v>50000</v>
      </c>
      <c r="AB1071" s="10">
        <v>232.4</v>
      </c>
      <c r="AC1071" s="18">
        <f t="shared" si="205"/>
        <v>240.30198857280001</v>
      </c>
      <c r="AD1071" s="12">
        <f t="shared" si="210"/>
        <v>960.4</v>
      </c>
      <c r="AE1071" s="13">
        <f t="shared" si="206"/>
        <v>49039.6</v>
      </c>
    </row>
    <row r="1072" spans="1:31">
      <c r="A1072" s="6">
        <v>6</v>
      </c>
      <c r="B1072" s="6">
        <f t="shared" si="209"/>
        <v>32</v>
      </c>
      <c r="C1072" s="6" t="str">
        <f t="shared" si="198"/>
        <v>649421100AINFLATOR, ASP-5.1, P20, SRR, IMI, SERV, NO STUDS5225530450106912</v>
      </c>
      <c r="D1072" s="7" t="s">
        <v>235</v>
      </c>
      <c r="E1072" s="6" t="s">
        <v>469</v>
      </c>
      <c r="F1072" s="6"/>
      <c r="G1072" s="7" t="s">
        <v>16</v>
      </c>
      <c r="H1072" s="19"/>
      <c r="I1072" s="19"/>
      <c r="J1072" s="19"/>
      <c r="K1072" s="19"/>
      <c r="L1072" s="14">
        <v>5225530</v>
      </c>
      <c r="M1072" s="22">
        <v>45010</v>
      </c>
      <c r="N1072" s="19" t="s">
        <v>197</v>
      </c>
      <c r="O1072" s="19" t="s">
        <v>333</v>
      </c>
      <c r="P1072" s="15">
        <v>6912</v>
      </c>
      <c r="Q1072" s="15">
        <v>1466083.43</v>
      </c>
      <c r="R1072" s="15">
        <v>87089500</v>
      </c>
      <c r="S1072" s="15">
        <v>15</v>
      </c>
      <c r="T1072" s="19" t="s">
        <v>202</v>
      </c>
      <c r="U1072" s="19" t="s">
        <v>200</v>
      </c>
      <c r="V1072" s="16">
        <f t="shared" si="199"/>
        <v>219912.51449999999</v>
      </c>
      <c r="W1072" s="16">
        <f t="shared" si="200"/>
        <v>21991.25145</v>
      </c>
      <c r="X1072" s="16">
        <f t="shared" si="201"/>
        <v>241903.76595</v>
      </c>
      <c r="Y1072" s="16">
        <f t="shared" si="202"/>
        <v>34.997651323784723</v>
      </c>
      <c r="Z1072" s="16">
        <f t="shared" si="203"/>
        <v>212.10697771990741</v>
      </c>
      <c r="AA1072" s="17">
        <f t="shared" si="204"/>
        <v>6912</v>
      </c>
      <c r="AB1072" s="10">
        <v>4464</v>
      </c>
      <c r="AC1072" s="18">
        <f t="shared" si="205"/>
        <v>156229.51550937499</v>
      </c>
      <c r="AD1072" s="12">
        <f t="shared" si="210"/>
        <v>4464</v>
      </c>
      <c r="AE1072" s="13">
        <f t="shared" si="206"/>
        <v>2448</v>
      </c>
    </row>
    <row r="1073" spans="1:31">
      <c r="A1073" s="6">
        <v>6</v>
      </c>
      <c r="B1073" s="6">
        <f t="shared" si="209"/>
        <v>33</v>
      </c>
      <c r="C1073" s="6" t="str">
        <f t="shared" si="198"/>
        <v>653328100ACUSHION, C AND S, SIDE, LH, BUTTON HOLE STYLE, S4745482449794160</v>
      </c>
      <c r="D1073" s="7" t="s">
        <v>235</v>
      </c>
      <c r="E1073" s="6" t="s">
        <v>53</v>
      </c>
      <c r="F1073" s="6"/>
      <c r="G1073" s="19" t="s">
        <v>13</v>
      </c>
      <c r="H1073" s="19"/>
      <c r="I1073" s="19"/>
      <c r="J1073" s="19"/>
      <c r="K1073" s="19"/>
      <c r="L1073" s="14" t="s">
        <v>88</v>
      </c>
      <c r="M1073" s="22">
        <v>44979</v>
      </c>
      <c r="N1073" s="19" t="e">
        <v>#N/A</v>
      </c>
      <c r="O1073" s="19" t="e">
        <v>#N/A</v>
      </c>
      <c r="P1073" s="15">
        <v>4160</v>
      </c>
      <c r="Q1073" s="15">
        <v>3597015.6</v>
      </c>
      <c r="R1073" s="15" t="e">
        <v>#N/A</v>
      </c>
      <c r="S1073" s="15">
        <v>5</v>
      </c>
      <c r="T1073" s="19" t="e">
        <v>#N/A</v>
      </c>
      <c r="U1073" s="19" t="e">
        <v>#N/A</v>
      </c>
      <c r="V1073" s="16">
        <f t="shared" si="199"/>
        <v>179850.78000000003</v>
      </c>
      <c r="W1073" s="16">
        <f t="shared" si="200"/>
        <v>17985.078000000005</v>
      </c>
      <c r="X1073" s="16">
        <f t="shared" si="201"/>
        <v>197835.85800000004</v>
      </c>
      <c r="Y1073" s="16">
        <f t="shared" si="202"/>
        <v>47.556696634615392</v>
      </c>
      <c r="Z1073" s="16">
        <f t="shared" si="203"/>
        <v>864.66721153846152</v>
      </c>
      <c r="AA1073" s="17">
        <f t="shared" si="204"/>
        <v>4160</v>
      </c>
      <c r="AB1073" s="10">
        <v>400</v>
      </c>
      <c r="AC1073" s="18">
        <f t="shared" si="205"/>
        <v>19022.678653846157</v>
      </c>
      <c r="AD1073" s="12">
        <f t="shared" si="210"/>
        <v>4160</v>
      </c>
      <c r="AE1073" s="13">
        <f t="shared" si="206"/>
        <v>0</v>
      </c>
    </row>
    <row r="1074" spans="1:31">
      <c r="A1074" s="6">
        <v>6</v>
      </c>
      <c r="B1074" s="6">
        <f t="shared" si="209"/>
        <v>34</v>
      </c>
      <c r="C1074" s="6" t="str">
        <f t="shared" si="198"/>
        <v>654590600ASU2ID STD CUSHION COMPON CVR NON-WOVEN RH2513010449248100</v>
      </c>
      <c r="D1074" s="7" t="s">
        <v>235</v>
      </c>
      <c r="E1074" s="6" t="s">
        <v>78</v>
      </c>
      <c r="F1074" s="6"/>
      <c r="G1074" s="7" t="s">
        <v>38</v>
      </c>
      <c r="H1074" s="19"/>
      <c r="I1074" s="19"/>
      <c r="J1074" s="19"/>
      <c r="K1074" s="19"/>
      <c r="L1074" s="14">
        <v>2513010</v>
      </c>
      <c r="M1074" s="22">
        <v>44924</v>
      </c>
      <c r="N1074" s="19" t="s">
        <v>196</v>
      </c>
      <c r="O1074" s="19" t="s">
        <v>333</v>
      </c>
      <c r="P1074" s="15">
        <v>8100</v>
      </c>
      <c r="Q1074" s="15">
        <v>118018.45</v>
      </c>
      <c r="R1074" s="15">
        <v>87089500</v>
      </c>
      <c r="S1074" s="15">
        <v>15</v>
      </c>
      <c r="T1074" s="19" t="s">
        <v>338</v>
      </c>
      <c r="U1074" s="19" t="s">
        <v>178</v>
      </c>
      <c r="V1074" s="16">
        <f t="shared" si="199"/>
        <v>17702.767499999998</v>
      </c>
      <c r="W1074" s="16">
        <f t="shared" si="200"/>
        <v>1770.27675</v>
      </c>
      <c r="X1074" s="16">
        <f t="shared" si="201"/>
        <v>19473.044249999999</v>
      </c>
      <c r="Y1074" s="16">
        <f t="shared" si="202"/>
        <v>2.4040795370370369</v>
      </c>
      <c r="Z1074" s="16">
        <f t="shared" si="203"/>
        <v>14.570179012345678</v>
      </c>
      <c r="AA1074" s="17">
        <f t="shared" si="204"/>
        <v>8100</v>
      </c>
      <c r="AB1074" s="10">
        <v>0</v>
      </c>
      <c r="AC1074" s="18">
        <f t="shared" si="205"/>
        <v>0</v>
      </c>
      <c r="AD1074" s="12">
        <f t="shared" si="210"/>
        <v>8100</v>
      </c>
      <c r="AE1074" s="13">
        <f t="shared" si="206"/>
        <v>0</v>
      </c>
    </row>
    <row r="1075" spans="1:31">
      <c r="A1075" s="6">
        <v>6</v>
      </c>
      <c r="B1075" s="6">
        <f t="shared" si="209"/>
        <v>35</v>
      </c>
      <c r="C1075" s="6" t="str">
        <f t="shared" si="198"/>
        <v>619591801AINFLATOR, ASP-2, GEN15, MRR, STD COOL, UC, W STU8665993452376912</v>
      </c>
      <c r="D1075" s="7" t="s">
        <v>235</v>
      </c>
      <c r="E1075" s="6" t="s">
        <v>55</v>
      </c>
      <c r="F1075" s="6"/>
      <c r="G1075" s="19" t="s">
        <v>15</v>
      </c>
      <c r="H1075" s="19"/>
      <c r="I1075" s="19"/>
      <c r="J1075" s="19"/>
      <c r="K1075" s="19"/>
      <c r="L1075" s="14" t="s">
        <v>100</v>
      </c>
      <c r="M1075" s="22">
        <v>45237</v>
      </c>
      <c r="N1075" s="19" t="e">
        <v>#N/A</v>
      </c>
      <c r="O1075" s="19" t="e">
        <v>#N/A</v>
      </c>
      <c r="P1075" s="15">
        <v>6912</v>
      </c>
      <c r="Q1075" s="15">
        <v>1874465.78</v>
      </c>
      <c r="R1075" s="15" t="e">
        <v>#N/A</v>
      </c>
      <c r="S1075" s="15">
        <v>15</v>
      </c>
      <c r="T1075" s="19" t="e">
        <v>#N/A</v>
      </c>
      <c r="U1075" s="19" t="e">
        <v>#N/A</v>
      </c>
      <c r="V1075" s="16">
        <f t="shared" si="199"/>
        <v>281169.86699999997</v>
      </c>
      <c r="W1075" s="16">
        <f t="shared" si="200"/>
        <v>28116.986699999998</v>
      </c>
      <c r="X1075" s="16">
        <f t="shared" si="201"/>
        <v>309286.85369999998</v>
      </c>
      <c r="Y1075" s="16">
        <f t="shared" si="202"/>
        <v>44.746361935763886</v>
      </c>
      <c r="Z1075" s="16">
        <f t="shared" si="203"/>
        <v>271.19007233796299</v>
      </c>
      <c r="AA1075" s="17">
        <f t="shared" si="204"/>
        <v>6912</v>
      </c>
      <c r="AB1075" s="10">
        <v>5952</v>
      </c>
      <c r="AC1075" s="18">
        <f t="shared" si="205"/>
        <v>266330.34624166664</v>
      </c>
      <c r="AD1075" s="12">
        <f t="shared" si="210"/>
        <v>6912</v>
      </c>
      <c r="AE1075" s="13">
        <f t="shared" si="206"/>
        <v>0</v>
      </c>
    </row>
    <row r="1076" spans="1:31">
      <c r="A1076" s="6">
        <v>6</v>
      </c>
      <c r="B1076" s="6">
        <f t="shared" si="209"/>
        <v>36</v>
      </c>
      <c r="C1076" s="6" t="str">
        <f t="shared" si="198"/>
        <v>566305721BSPRING, SHEET, LEAF, RET ALL VERSIONS, WS ECE4742807449445000</v>
      </c>
      <c r="D1076" s="7" t="s">
        <v>235</v>
      </c>
      <c r="E1076" s="6" t="s">
        <v>59</v>
      </c>
      <c r="F1076" s="6"/>
      <c r="G1076" s="7" t="s">
        <v>19</v>
      </c>
      <c r="H1076" s="19"/>
      <c r="I1076" s="19"/>
      <c r="J1076" s="19"/>
      <c r="K1076" s="19"/>
      <c r="L1076" s="14">
        <v>4742807</v>
      </c>
      <c r="M1076" s="22">
        <v>44944</v>
      </c>
      <c r="N1076" s="19" t="s">
        <v>196</v>
      </c>
      <c r="O1076" s="19" t="s">
        <v>337</v>
      </c>
      <c r="P1076" s="15">
        <v>5000</v>
      </c>
      <c r="Q1076" s="15">
        <v>143362.42000000001</v>
      </c>
      <c r="R1076" s="15">
        <v>87082900</v>
      </c>
      <c r="S1076" s="15">
        <v>15</v>
      </c>
      <c r="T1076" s="19" t="s">
        <v>309</v>
      </c>
      <c r="U1076" s="19" t="s">
        <v>178</v>
      </c>
      <c r="V1076" s="16">
        <f t="shared" si="199"/>
        <v>21504.363000000001</v>
      </c>
      <c r="W1076" s="16">
        <f t="shared" si="200"/>
        <v>2150.4363000000003</v>
      </c>
      <c r="X1076" s="16">
        <f t="shared" si="201"/>
        <v>23654.799300000002</v>
      </c>
      <c r="Y1076" s="16">
        <f t="shared" si="202"/>
        <v>4.7309598600000005</v>
      </c>
      <c r="Z1076" s="16">
        <f t="shared" si="203"/>
        <v>28.672484000000004</v>
      </c>
      <c r="AA1076" s="17">
        <f t="shared" si="204"/>
        <v>5000</v>
      </c>
      <c r="AB1076" s="10">
        <v>89.14800000000001</v>
      </c>
      <c r="AC1076" s="18">
        <f t="shared" si="205"/>
        <v>421.75560959928009</v>
      </c>
      <c r="AD1076" s="12">
        <f t="shared" si="210"/>
        <v>1540.98</v>
      </c>
      <c r="AE1076" s="13">
        <v>0</v>
      </c>
    </row>
    <row r="1077" spans="1:31">
      <c r="A1077" s="6">
        <v>6</v>
      </c>
      <c r="B1077" s="6">
        <f t="shared" si="209"/>
        <v>37</v>
      </c>
      <c r="C1077" s="6" t="str">
        <f t="shared" si="198"/>
        <v>615795701BPILLAR LOOP, OVERMOULDED LIGHT GRAY, STD, WITH CA6463730450941000</v>
      </c>
      <c r="D1077" s="7" t="s">
        <v>235</v>
      </c>
      <c r="E1077" s="6" t="s">
        <v>67</v>
      </c>
      <c r="F1077" s="6"/>
      <c r="G1077" s="7" t="s">
        <v>27</v>
      </c>
      <c r="H1077" s="19"/>
      <c r="I1077" s="19"/>
      <c r="J1077" s="19"/>
      <c r="K1077" s="19"/>
      <c r="L1077" s="14" t="s">
        <v>106</v>
      </c>
      <c r="M1077" s="22">
        <v>45094</v>
      </c>
      <c r="N1077" s="19" t="e">
        <v>#N/A</v>
      </c>
      <c r="O1077" s="19" t="e">
        <v>#N/A</v>
      </c>
      <c r="P1077" s="15">
        <v>1000</v>
      </c>
      <c r="Q1077" s="15">
        <v>63788.78</v>
      </c>
      <c r="R1077" s="15" t="e">
        <v>#N/A</v>
      </c>
      <c r="S1077" s="15">
        <v>15</v>
      </c>
      <c r="T1077" s="19" t="e">
        <v>#N/A</v>
      </c>
      <c r="U1077" s="19" t="e">
        <v>#N/A</v>
      </c>
      <c r="V1077" s="16">
        <f t="shared" si="199"/>
        <v>9568.3169999999991</v>
      </c>
      <c r="W1077" s="16">
        <f t="shared" si="200"/>
        <v>956.83169999999996</v>
      </c>
      <c r="X1077" s="16">
        <f t="shared" si="201"/>
        <v>10525.1487</v>
      </c>
      <c r="Y1077" s="16">
        <f t="shared" si="202"/>
        <v>10.525148699999999</v>
      </c>
      <c r="Z1077" s="16">
        <f t="shared" si="203"/>
        <v>63.788779999999996</v>
      </c>
      <c r="AA1077" s="17">
        <f t="shared" si="204"/>
        <v>1000</v>
      </c>
      <c r="AB1077" s="10">
        <v>1000</v>
      </c>
      <c r="AC1077" s="18">
        <f t="shared" si="205"/>
        <v>10525.1487</v>
      </c>
      <c r="AD1077" s="12">
        <f t="shared" si="210"/>
        <v>1000</v>
      </c>
      <c r="AE1077" s="13">
        <f t="shared" si="206"/>
        <v>0</v>
      </c>
    </row>
    <row r="1078" spans="1:31">
      <c r="A1078" s="6">
        <v>6</v>
      </c>
      <c r="B1078" s="6">
        <f t="shared" si="209"/>
        <v>38</v>
      </c>
      <c r="C1078" s="6" t="str">
        <f t="shared" si="198"/>
        <v>615795701BPILLAR LOOP, OVERMOULDED LIGHT GRAY, STD, WITH CA7068910451344000</v>
      </c>
      <c r="D1078" s="7" t="s">
        <v>235</v>
      </c>
      <c r="E1078" s="6" t="s">
        <v>67</v>
      </c>
      <c r="F1078" s="6"/>
      <c r="G1078" s="7" t="s">
        <v>27</v>
      </c>
      <c r="H1078" s="19"/>
      <c r="I1078" s="19"/>
      <c r="J1078" s="19"/>
      <c r="K1078" s="19"/>
      <c r="L1078" s="14">
        <v>7068910</v>
      </c>
      <c r="M1078" s="22">
        <v>45134</v>
      </c>
      <c r="N1078" s="19" t="s">
        <v>185</v>
      </c>
      <c r="O1078" s="19" t="s">
        <v>332</v>
      </c>
      <c r="P1078" s="15">
        <v>4000</v>
      </c>
      <c r="Q1078" s="15">
        <v>232964.48000000001</v>
      </c>
      <c r="R1078" s="15">
        <v>87082900</v>
      </c>
      <c r="S1078" s="15">
        <v>15</v>
      </c>
      <c r="T1078" s="19" t="s">
        <v>198</v>
      </c>
      <c r="U1078" s="19" t="s">
        <v>178</v>
      </c>
      <c r="V1078" s="16">
        <f t="shared" si="199"/>
        <v>34944.671999999999</v>
      </c>
      <c r="W1078" s="16">
        <f t="shared" si="200"/>
        <v>3494.4672</v>
      </c>
      <c r="X1078" s="16">
        <f t="shared" si="201"/>
        <v>38439.139199999998</v>
      </c>
      <c r="Y1078" s="16">
        <f t="shared" si="202"/>
        <v>9.6097847999999999</v>
      </c>
      <c r="Z1078" s="16">
        <f t="shared" si="203"/>
        <v>58.241120000000002</v>
      </c>
      <c r="AA1078" s="17">
        <f t="shared" si="204"/>
        <v>4000</v>
      </c>
      <c r="AB1078" s="10">
        <v>352</v>
      </c>
      <c r="AC1078" s="18">
        <f t="shared" si="205"/>
        <v>3382.6442496</v>
      </c>
      <c r="AD1078" s="12">
        <f t="shared" si="210"/>
        <v>4000</v>
      </c>
      <c r="AE1078" s="13">
        <f t="shared" si="206"/>
        <v>0</v>
      </c>
    </row>
    <row r="1079" spans="1:31">
      <c r="A1079" s="6">
        <v>6</v>
      </c>
      <c r="B1079" s="6">
        <f t="shared" si="209"/>
        <v>39</v>
      </c>
      <c r="C1079" s="6" t="str">
        <f t="shared" si="198"/>
        <v>632154400AADHESIVE, PAD 48354474498520000</v>
      </c>
      <c r="D1079" s="7" t="s">
        <v>235</v>
      </c>
      <c r="E1079" s="6" t="s">
        <v>79</v>
      </c>
      <c r="F1079" s="6"/>
      <c r="G1079" s="7" t="s">
        <v>39</v>
      </c>
      <c r="H1079" s="19"/>
      <c r="I1079" s="19"/>
      <c r="J1079" s="19"/>
      <c r="K1079" s="19"/>
      <c r="L1079" s="14">
        <v>4835447</v>
      </c>
      <c r="M1079" s="22">
        <v>44985</v>
      </c>
      <c r="N1079" s="19" t="s">
        <v>196</v>
      </c>
      <c r="O1079" s="19" t="s">
        <v>333</v>
      </c>
      <c r="P1079" s="15">
        <v>20000</v>
      </c>
      <c r="Q1079" s="15">
        <v>70260</v>
      </c>
      <c r="R1079" s="15">
        <v>87082900</v>
      </c>
      <c r="S1079" s="15">
        <v>15</v>
      </c>
      <c r="T1079" s="19" t="s">
        <v>201</v>
      </c>
      <c r="U1079" s="19" t="s">
        <v>178</v>
      </c>
      <c r="V1079" s="16">
        <f t="shared" si="199"/>
        <v>10539</v>
      </c>
      <c r="W1079" s="16">
        <f t="shared" si="200"/>
        <v>1053.9000000000001</v>
      </c>
      <c r="X1079" s="16">
        <f t="shared" si="201"/>
        <v>11592.9</v>
      </c>
      <c r="Y1079" s="16">
        <f t="shared" si="202"/>
        <v>0.57964499999999997</v>
      </c>
      <c r="Z1079" s="16">
        <f t="shared" si="203"/>
        <v>3.5129999999999999</v>
      </c>
      <c r="AA1079" s="17">
        <f t="shared" si="204"/>
        <v>20000</v>
      </c>
      <c r="AB1079" s="10">
        <v>5244</v>
      </c>
      <c r="AC1079" s="18">
        <f t="shared" si="205"/>
        <v>3039.6583799999999</v>
      </c>
      <c r="AD1079" s="12">
        <f t="shared" si="210"/>
        <v>17952</v>
      </c>
      <c r="AE1079" s="13">
        <f t="shared" si="206"/>
        <v>2048</v>
      </c>
    </row>
    <row r="1080" spans="1:31">
      <c r="A1080" s="6">
        <v>6</v>
      </c>
      <c r="B1080" s="6">
        <f t="shared" si="209"/>
        <v>40</v>
      </c>
      <c r="C1080" s="6" t="str">
        <f t="shared" si="198"/>
        <v>603171100BTAPE, ADHESIVE, TERAOKA TERAOKA NO.560S 272948434514850000</v>
      </c>
      <c r="D1080" s="7" t="s">
        <v>235</v>
      </c>
      <c r="E1080" s="6" t="s">
        <v>50</v>
      </c>
      <c r="F1080" s="6"/>
      <c r="G1080" s="7" t="s">
        <v>12</v>
      </c>
      <c r="H1080" s="19"/>
      <c r="I1080" s="19"/>
      <c r="J1080" s="19"/>
      <c r="K1080" s="19"/>
      <c r="L1080" s="14">
        <v>7294843</v>
      </c>
      <c r="M1080" s="22">
        <v>45148</v>
      </c>
      <c r="N1080" s="19" t="s">
        <v>196</v>
      </c>
      <c r="O1080" s="19" t="s">
        <v>333</v>
      </c>
      <c r="P1080" s="15">
        <v>50000</v>
      </c>
      <c r="Q1080" s="15">
        <v>288756</v>
      </c>
      <c r="R1080" s="15">
        <v>87082900</v>
      </c>
      <c r="S1080" s="15">
        <v>15</v>
      </c>
      <c r="T1080" s="19" t="s">
        <v>323</v>
      </c>
      <c r="U1080" s="19" t="s">
        <v>178</v>
      </c>
      <c r="V1080" s="16">
        <f t="shared" si="199"/>
        <v>43313.4</v>
      </c>
      <c r="W1080" s="16">
        <f t="shared" si="200"/>
        <v>4331.34</v>
      </c>
      <c r="X1080" s="16">
        <f t="shared" si="201"/>
        <v>47644.740000000005</v>
      </c>
      <c r="Y1080" s="16">
        <f t="shared" si="202"/>
        <v>0.95289480000000015</v>
      </c>
      <c r="Z1080" s="16">
        <f t="shared" si="203"/>
        <v>5.7751200000000003</v>
      </c>
      <c r="AA1080" s="17">
        <f t="shared" si="204"/>
        <v>50000</v>
      </c>
      <c r="AB1080" s="10">
        <v>797.2</v>
      </c>
      <c r="AC1080" s="18">
        <f t="shared" si="205"/>
        <v>759.64773456000012</v>
      </c>
      <c r="AD1080" s="12">
        <f t="shared" si="210"/>
        <v>797.2</v>
      </c>
      <c r="AE1080" s="13">
        <f t="shared" si="206"/>
        <v>49202.8</v>
      </c>
    </row>
    <row r="1081" spans="1:31">
      <c r="A1081" s="6">
        <v>6</v>
      </c>
      <c r="B1081" s="6">
        <f t="shared" si="209"/>
        <v>41</v>
      </c>
      <c r="C1081" s="6" t="str">
        <f t="shared" si="198"/>
        <v>649421100AINFLATOR, ASP-5.1, P20, SRR, IMI, SERV, NO STUDS4359111449525184</v>
      </c>
      <c r="D1081" s="7" t="s">
        <v>235</v>
      </c>
      <c r="E1081" s="6" t="s">
        <v>469</v>
      </c>
      <c r="F1081" s="6"/>
      <c r="G1081" s="7" t="s">
        <v>16</v>
      </c>
      <c r="H1081" s="19"/>
      <c r="I1081" s="19"/>
      <c r="J1081" s="19"/>
      <c r="K1081" s="19"/>
      <c r="L1081" s="14" t="s">
        <v>83</v>
      </c>
      <c r="M1081" s="22">
        <v>44952</v>
      </c>
      <c r="N1081" s="19" t="e">
        <v>#N/A</v>
      </c>
      <c r="O1081" s="19" t="e">
        <v>#N/A</v>
      </c>
      <c r="P1081" s="15">
        <v>5184</v>
      </c>
      <c r="Q1081" s="15">
        <v>990685.13</v>
      </c>
      <c r="R1081" s="15" t="e">
        <v>#N/A</v>
      </c>
      <c r="S1081" s="15">
        <v>15</v>
      </c>
      <c r="T1081" s="19" t="e">
        <v>#N/A</v>
      </c>
      <c r="U1081" s="19" t="e">
        <v>#N/A</v>
      </c>
      <c r="V1081" s="16">
        <f t="shared" si="199"/>
        <v>148602.76949999999</v>
      </c>
      <c r="W1081" s="16">
        <f t="shared" si="200"/>
        <v>14860.276949999999</v>
      </c>
      <c r="X1081" s="16">
        <f t="shared" si="201"/>
        <v>163463.04644999999</v>
      </c>
      <c r="Y1081" s="16">
        <f t="shared" si="202"/>
        <v>31.532223466435184</v>
      </c>
      <c r="Z1081" s="16">
        <f t="shared" si="203"/>
        <v>191.10438464506174</v>
      </c>
      <c r="AA1081" s="17">
        <f t="shared" si="204"/>
        <v>5184</v>
      </c>
      <c r="AB1081" s="10">
        <v>1848</v>
      </c>
      <c r="AC1081" s="18">
        <f t="shared" si="205"/>
        <v>58271.548965972223</v>
      </c>
      <c r="AD1081" s="12">
        <f t="shared" si="210"/>
        <v>5184</v>
      </c>
      <c r="AE1081" s="13">
        <f t="shared" si="206"/>
        <v>0</v>
      </c>
    </row>
    <row r="1082" spans="1:31">
      <c r="A1082" s="6">
        <v>6</v>
      </c>
      <c r="B1082" s="6">
        <f t="shared" si="209"/>
        <v>42</v>
      </c>
      <c r="C1082" s="6" t="str">
        <f t="shared" si="198"/>
        <v>653328100ACUSHION, C AND S, SIDE, LH, BUTTON HOLE STYLE, S7245128451467000</v>
      </c>
      <c r="D1082" s="7" t="s">
        <v>235</v>
      </c>
      <c r="E1082" s="6" t="s">
        <v>53</v>
      </c>
      <c r="F1082" s="6"/>
      <c r="G1082" s="19" t="s">
        <v>13</v>
      </c>
      <c r="H1082" s="19"/>
      <c r="I1082" s="19"/>
      <c r="J1082" s="19"/>
      <c r="K1082" s="19"/>
      <c r="L1082" s="14">
        <v>7245128</v>
      </c>
      <c r="M1082" s="22">
        <v>45146</v>
      </c>
      <c r="N1082" s="19" t="s">
        <v>197</v>
      </c>
      <c r="O1082" s="19" t="s">
        <v>333</v>
      </c>
      <c r="P1082" s="15">
        <v>7000</v>
      </c>
      <c r="Q1082" s="15">
        <v>6028305.8899999997</v>
      </c>
      <c r="R1082" s="15">
        <v>87089500</v>
      </c>
      <c r="S1082" s="15">
        <v>5</v>
      </c>
      <c r="T1082" s="19" t="s">
        <v>204</v>
      </c>
      <c r="U1082" s="19" t="s">
        <v>178</v>
      </c>
      <c r="V1082" s="16">
        <f t="shared" si="199"/>
        <v>301415.29450000002</v>
      </c>
      <c r="W1082" s="16">
        <f t="shared" si="200"/>
        <v>30141.529450000002</v>
      </c>
      <c r="X1082" s="16">
        <f t="shared" si="201"/>
        <v>331556.82394999999</v>
      </c>
      <c r="Y1082" s="16">
        <f t="shared" si="202"/>
        <v>47.365260564285713</v>
      </c>
      <c r="Z1082" s="16">
        <f t="shared" si="203"/>
        <v>861.18655571428565</v>
      </c>
      <c r="AA1082" s="17">
        <f t="shared" si="204"/>
        <v>7000</v>
      </c>
      <c r="AB1082" s="10">
        <v>3032</v>
      </c>
      <c r="AC1082" s="18">
        <f t="shared" si="205"/>
        <v>143611.47003091429</v>
      </c>
      <c r="AD1082" s="12">
        <f t="shared" si="210"/>
        <v>4568</v>
      </c>
      <c r="AE1082" s="13">
        <f t="shared" si="206"/>
        <v>2432</v>
      </c>
    </row>
    <row r="1083" spans="1:31">
      <c r="A1083" s="6">
        <v>6</v>
      </c>
      <c r="B1083" s="6">
        <f t="shared" si="209"/>
        <v>43</v>
      </c>
      <c r="C1083" s="6" t="str">
        <f t="shared" si="198"/>
        <v>632955901AINFLATORS, APP-4.6 73007354514912960</v>
      </c>
      <c r="D1083" s="7" t="s">
        <v>235</v>
      </c>
      <c r="E1083" s="6" t="s">
        <v>48</v>
      </c>
      <c r="F1083" s="6"/>
      <c r="G1083" s="7" t="s">
        <v>10</v>
      </c>
      <c r="H1083" s="19"/>
      <c r="I1083" s="19"/>
      <c r="J1083" s="19"/>
      <c r="K1083" s="19"/>
      <c r="L1083" s="14">
        <v>7300735</v>
      </c>
      <c r="M1083" s="22">
        <v>45149</v>
      </c>
      <c r="N1083" s="19" t="s">
        <v>197</v>
      </c>
      <c r="O1083" s="19" t="s">
        <v>333</v>
      </c>
      <c r="P1083" s="15">
        <v>12960</v>
      </c>
      <c r="Q1083" s="15">
        <v>5726355.8700000001</v>
      </c>
      <c r="R1083" s="15">
        <v>87089500</v>
      </c>
      <c r="S1083" s="15">
        <v>15</v>
      </c>
      <c r="T1083" s="19" t="s">
        <v>202</v>
      </c>
      <c r="U1083" s="19" t="s">
        <v>200</v>
      </c>
      <c r="V1083" s="16">
        <f t="shared" si="199"/>
        <v>858953.38049999997</v>
      </c>
      <c r="W1083" s="16">
        <f t="shared" si="200"/>
        <v>85895.338050000006</v>
      </c>
      <c r="X1083" s="16">
        <f t="shared" si="201"/>
        <v>944848.71854999999</v>
      </c>
      <c r="Y1083" s="16">
        <f t="shared" si="202"/>
        <v>72.904993715277783</v>
      </c>
      <c r="Z1083" s="16">
        <f t="shared" si="203"/>
        <v>441.84844675925928</v>
      </c>
      <c r="AA1083" s="17">
        <f t="shared" si="204"/>
        <v>12960</v>
      </c>
      <c r="AB1083" s="10">
        <v>0</v>
      </c>
      <c r="AC1083" s="18">
        <f t="shared" si="205"/>
        <v>0</v>
      </c>
      <c r="AD1083" s="12">
        <f t="shared" si="210"/>
        <v>12312</v>
      </c>
      <c r="AE1083" s="13">
        <f t="shared" si="206"/>
        <v>648</v>
      </c>
    </row>
    <row r="1084" spans="1:31">
      <c r="A1084" s="6">
        <v>6</v>
      </c>
      <c r="B1084" s="6">
        <f t="shared" si="209"/>
        <v>44</v>
      </c>
      <c r="C1084" s="6" t="str">
        <f t="shared" si="198"/>
        <v>619591801AINFLATOR, ASP-2, GEN15, MRR, STD COOL, UC, W STU5812325450511728</v>
      </c>
      <c r="D1084" s="7" t="s">
        <v>235</v>
      </c>
      <c r="E1084" s="6" t="s">
        <v>55</v>
      </c>
      <c r="F1084" s="6"/>
      <c r="G1084" s="19" t="s">
        <v>15</v>
      </c>
      <c r="H1084" s="19"/>
      <c r="I1084" s="19"/>
      <c r="J1084" s="19"/>
      <c r="K1084" s="19"/>
      <c r="L1084" s="14">
        <v>5812325</v>
      </c>
      <c r="M1084" s="22">
        <v>45051</v>
      </c>
      <c r="N1084" s="19" t="s">
        <v>197</v>
      </c>
      <c r="O1084" s="19" t="s">
        <v>333</v>
      </c>
      <c r="P1084" s="15">
        <v>1728</v>
      </c>
      <c r="Q1084" s="15">
        <v>459740.18</v>
      </c>
      <c r="R1084" s="15">
        <v>87089500</v>
      </c>
      <c r="S1084" s="15">
        <v>15</v>
      </c>
      <c r="T1084" s="19" t="s">
        <v>202</v>
      </c>
      <c r="U1084" s="19" t="s">
        <v>200</v>
      </c>
      <c r="V1084" s="16">
        <f t="shared" si="199"/>
        <v>68961.027000000002</v>
      </c>
      <c r="W1084" s="16">
        <f t="shared" si="200"/>
        <v>6896.1027000000004</v>
      </c>
      <c r="X1084" s="16">
        <f t="shared" si="201"/>
        <v>75857.129700000005</v>
      </c>
      <c r="Y1084" s="16">
        <f t="shared" si="202"/>
        <v>43.898801909722224</v>
      </c>
      <c r="Z1084" s="16">
        <f t="shared" si="203"/>
        <v>266.05334490740739</v>
      </c>
      <c r="AA1084" s="17">
        <f t="shared" si="204"/>
        <v>1728</v>
      </c>
      <c r="AB1084" s="10">
        <v>1728</v>
      </c>
      <c r="AC1084" s="18">
        <f t="shared" si="205"/>
        <v>75857.129700000005</v>
      </c>
      <c r="AD1084" s="12">
        <f t="shared" ref="AD1084:AD1115" si="211">SUMIF($C$2:$C$2284,C1084,$AB$2:$AB$2284)</f>
        <v>1728</v>
      </c>
      <c r="AE1084" s="13">
        <f t="shared" si="206"/>
        <v>0</v>
      </c>
    </row>
    <row r="1085" spans="1:31">
      <c r="A1085" s="6">
        <v>6</v>
      </c>
      <c r="B1085" s="6">
        <f t="shared" si="209"/>
        <v>45</v>
      </c>
      <c r="C1085" s="6" t="str">
        <f t="shared" si="198"/>
        <v>619591801AINFLATOR, ASP-2, GEN15, MRR, STD COOL, UC, W STU5926701450583456</v>
      </c>
      <c r="D1085" s="7" t="s">
        <v>235</v>
      </c>
      <c r="E1085" s="6" t="s">
        <v>55</v>
      </c>
      <c r="F1085" s="6"/>
      <c r="G1085" s="19" t="s">
        <v>15</v>
      </c>
      <c r="H1085" s="19"/>
      <c r="I1085" s="19"/>
      <c r="J1085" s="19"/>
      <c r="K1085" s="19"/>
      <c r="L1085" s="14">
        <v>5926701</v>
      </c>
      <c r="M1085" s="22">
        <v>45058</v>
      </c>
      <c r="N1085" s="19" t="s">
        <v>197</v>
      </c>
      <c r="O1085" s="19" t="s">
        <v>333</v>
      </c>
      <c r="P1085" s="15">
        <v>3456</v>
      </c>
      <c r="Q1085" s="15">
        <v>920152.3</v>
      </c>
      <c r="R1085" s="15">
        <v>87089500</v>
      </c>
      <c r="S1085" s="15">
        <v>15</v>
      </c>
      <c r="T1085" s="19" t="s">
        <v>202</v>
      </c>
      <c r="U1085" s="19" t="s">
        <v>200</v>
      </c>
      <c r="V1085" s="16">
        <f t="shared" si="199"/>
        <v>138022.845</v>
      </c>
      <c r="W1085" s="16">
        <f t="shared" si="200"/>
        <v>13802.284500000002</v>
      </c>
      <c r="X1085" s="16">
        <f t="shared" si="201"/>
        <v>151825.12950000001</v>
      </c>
      <c r="Y1085" s="16">
        <f t="shared" si="202"/>
        <v>43.930882378472226</v>
      </c>
      <c r="Z1085" s="16">
        <f t="shared" si="203"/>
        <v>266.24777199074077</v>
      </c>
      <c r="AA1085" s="17">
        <f t="shared" si="204"/>
        <v>3456</v>
      </c>
      <c r="AB1085" s="10">
        <v>1824</v>
      </c>
      <c r="AC1085" s="18">
        <f t="shared" si="205"/>
        <v>80129.929458333339</v>
      </c>
      <c r="AD1085" s="12">
        <f t="shared" si="211"/>
        <v>1824</v>
      </c>
      <c r="AE1085" s="13">
        <f t="shared" si="206"/>
        <v>1632</v>
      </c>
    </row>
    <row r="1086" spans="1:31">
      <c r="A1086" s="6">
        <v>6</v>
      </c>
      <c r="B1086" s="6">
        <f t="shared" si="209"/>
        <v>46</v>
      </c>
      <c r="C1086" s="6" t="str">
        <f t="shared" si="198"/>
        <v>654590600ASU2ID STD CUSHION COMPON CVR NON-WOVEN RH4251662449453600</v>
      </c>
      <c r="D1086" s="7" t="s">
        <v>235</v>
      </c>
      <c r="E1086" s="6" t="s">
        <v>78</v>
      </c>
      <c r="F1086" s="6"/>
      <c r="G1086" s="7" t="s">
        <v>38</v>
      </c>
      <c r="H1086" s="19"/>
      <c r="I1086" s="19"/>
      <c r="J1086" s="19"/>
      <c r="K1086" s="19"/>
      <c r="L1086" s="14">
        <v>4251662</v>
      </c>
      <c r="M1086" s="22">
        <v>44945</v>
      </c>
      <c r="N1086" s="19" t="s">
        <v>196</v>
      </c>
      <c r="O1086" s="19" t="s">
        <v>333</v>
      </c>
      <c r="P1086" s="15">
        <v>3600</v>
      </c>
      <c r="Q1086" s="15">
        <v>49900.26</v>
      </c>
      <c r="R1086" s="15">
        <v>87089500</v>
      </c>
      <c r="S1086" s="15">
        <v>15</v>
      </c>
      <c r="T1086" s="19" t="s">
        <v>205</v>
      </c>
      <c r="U1086" s="19" t="s">
        <v>178</v>
      </c>
      <c r="V1086" s="16">
        <f t="shared" si="199"/>
        <v>7485.0389999999998</v>
      </c>
      <c r="W1086" s="16">
        <f t="shared" si="200"/>
        <v>748.50390000000004</v>
      </c>
      <c r="X1086" s="16">
        <f t="shared" si="201"/>
        <v>8233.5429000000004</v>
      </c>
      <c r="Y1086" s="16">
        <f t="shared" si="202"/>
        <v>2.2870952500000001</v>
      </c>
      <c r="Z1086" s="16">
        <f t="shared" si="203"/>
        <v>13.861183333333335</v>
      </c>
      <c r="AA1086" s="17">
        <f t="shared" si="204"/>
        <v>3600</v>
      </c>
      <c r="AB1086" s="10">
        <v>3600</v>
      </c>
      <c r="AC1086" s="18">
        <f t="shared" si="205"/>
        <v>8233.5429000000004</v>
      </c>
      <c r="AD1086" s="12">
        <f t="shared" si="211"/>
        <v>3600</v>
      </c>
      <c r="AE1086" s="13">
        <f t="shared" si="206"/>
        <v>0</v>
      </c>
    </row>
    <row r="1087" spans="1:31">
      <c r="A1087" s="6">
        <v>6</v>
      </c>
      <c r="B1087" s="6">
        <f t="shared" si="209"/>
        <v>47</v>
      </c>
      <c r="C1087" s="6" t="str">
        <f t="shared" si="198"/>
        <v>654590600ASU2ID STD CUSHION COMPON CVR NON-WOVEN RH4050877449311800</v>
      </c>
      <c r="D1087" s="7" t="s">
        <v>235</v>
      </c>
      <c r="E1087" s="6" t="s">
        <v>78</v>
      </c>
      <c r="F1087" s="6"/>
      <c r="G1087" s="7" t="s">
        <v>38</v>
      </c>
      <c r="H1087" s="19"/>
      <c r="I1087" s="19"/>
      <c r="J1087" s="19"/>
      <c r="K1087" s="19"/>
      <c r="L1087" s="14">
        <v>4050877</v>
      </c>
      <c r="M1087" s="22">
        <v>44931</v>
      </c>
      <c r="N1087" s="19" t="s">
        <v>196</v>
      </c>
      <c r="O1087" s="19" t="s">
        <v>333</v>
      </c>
      <c r="P1087" s="15">
        <v>1800</v>
      </c>
      <c r="Q1087" s="15">
        <v>24960.39</v>
      </c>
      <c r="R1087" s="15">
        <v>87089500</v>
      </c>
      <c r="S1087" s="15">
        <v>15</v>
      </c>
      <c r="T1087" s="19" t="s">
        <v>338</v>
      </c>
      <c r="U1087" s="19" t="s">
        <v>178</v>
      </c>
      <c r="V1087" s="16">
        <f t="shared" si="199"/>
        <v>3744.0584999999996</v>
      </c>
      <c r="W1087" s="16">
        <f t="shared" si="200"/>
        <v>374.40584999999999</v>
      </c>
      <c r="X1087" s="16">
        <f t="shared" si="201"/>
        <v>4118.4643499999993</v>
      </c>
      <c r="Y1087" s="16">
        <f t="shared" si="202"/>
        <v>2.2880357499999997</v>
      </c>
      <c r="Z1087" s="16">
        <f t="shared" si="203"/>
        <v>13.866883333333334</v>
      </c>
      <c r="AA1087" s="17">
        <f t="shared" si="204"/>
        <v>1800</v>
      </c>
      <c r="AB1087" s="10">
        <v>0</v>
      </c>
      <c r="AC1087" s="18">
        <f t="shared" si="205"/>
        <v>0</v>
      </c>
      <c r="AD1087" s="12">
        <f t="shared" si="211"/>
        <v>1800</v>
      </c>
      <c r="AE1087" s="13">
        <f t="shared" si="206"/>
        <v>0</v>
      </c>
    </row>
    <row r="1088" spans="1:31">
      <c r="A1088" s="6">
        <v>6</v>
      </c>
      <c r="B1088" s="6">
        <f t="shared" si="209"/>
        <v>48</v>
      </c>
      <c r="C1088" s="6" t="str">
        <f t="shared" si="198"/>
        <v>655226900AINFLATOR APP-4.6, 325KPA 1.8MOL, STANDARD MIB SQU3855694449172592</v>
      </c>
      <c r="D1088" s="7" t="s">
        <v>235</v>
      </c>
      <c r="E1088" s="6" t="s">
        <v>130</v>
      </c>
      <c r="F1088" s="6"/>
      <c r="G1088" s="7" t="s">
        <v>102</v>
      </c>
      <c r="H1088" s="19"/>
      <c r="I1088" s="19"/>
      <c r="J1088" s="19"/>
      <c r="K1088" s="19"/>
      <c r="L1088" s="14">
        <v>3855694</v>
      </c>
      <c r="M1088" s="22">
        <v>44917</v>
      </c>
      <c r="N1088" s="19" t="s">
        <v>185</v>
      </c>
      <c r="O1088" s="19" t="s">
        <v>332</v>
      </c>
      <c r="P1088" s="15">
        <v>2592</v>
      </c>
      <c r="Q1088" s="15">
        <v>1002657.31</v>
      </c>
      <c r="R1088" s="15">
        <v>87089500</v>
      </c>
      <c r="S1088" s="15">
        <v>15</v>
      </c>
      <c r="T1088" s="19" t="s">
        <v>203</v>
      </c>
      <c r="U1088" s="19" t="s">
        <v>200</v>
      </c>
      <c r="V1088" s="16">
        <f t="shared" si="199"/>
        <v>150398.59650000001</v>
      </c>
      <c r="W1088" s="16">
        <f t="shared" si="200"/>
        <v>15039.859650000002</v>
      </c>
      <c r="X1088" s="16">
        <f t="shared" si="201"/>
        <v>165438.45615000001</v>
      </c>
      <c r="Y1088" s="16">
        <f t="shared" si="202"/>
        <v>63.826564872685189</v>
      </c>
      <c r="Z1088" s="16">
        <f t="shared" si="203"/>
        <v>386.82766589506173</v>
      </c>
      <c r="AA1088" s="17">
        <f t="shared" si="204"/>
        <v>2592</v>
      </c>
      <c r="AB1088" s="10">
        <v>1890</v>
      </c>
      <c r="AC1088" s="18">
        <f t="shared" si="205"/>
        <v>120632.20760937501</v>
      </c>
      <c r="AD1088" s="12">
        <f t="shared" si="211"/>
        <v>2394</v>
      </c>
      <c r="AE1088" s="13">
        <f t="shared" si="206"/>
        <v>198</v>
      </c>
    </row>
    <row r="1089" spans="1:31">
      <c r="A1089" s="6">
        <v>6</v>
      </c>
      <c r="B1089" s="6">
        <f t="shared" si="209"/>
        <v>49</v>
      </c>
      <c r="C1089" s="6" t="str">
        <f t="shared" si="198"/>
        <v>625090202BTAPE, IC, CONTINUOUS, 13.0 MM., PET 3M 842141242304494235100</v>
      </c>
      <c r="D1089" s="7" t="s">
        <v>235</v>
      </c>
      <c r="E1089" s="6" t="s">
        <v>128</v>
      </c>
      <c r="F1089" s="6"/>
      <c r="G1089" s="19" t="s">
        <v>103</v>
      </c>
      <c r="H1089" s="19"/>
      <c r="I1089" s="19"/>
      <c r="J1089" s="19"/>
      <c r="K1089" s="19"/>
      <c r="L1089" s="14" t="s">
        <v>107</v>
      </c>
      <c r="M1089" s="22">
        <v>44942</v>
      </c>
      <c r="N1089" s="19" t="e">
        <v>#N/A</v>
      </c>
      <c r="O1089" s="19" t="e">
        <v>#N/A</v>
      </c>
      <c r="P1089" s="15">
        <v>35100</v>
      </c>
      <c r="Q1089" s="15">
        <v>402986.27</v>
      </c>
      <c r="R1089" s="15" t="e">
        <v>#N/A</v>
      </c>
      <c r="S1089" s="15">
        <v>15</v>
      </c>
      <c r="T1089" s="19" t="e">
        <v>#N/A</v>
      </c>
      <c r="U1089" s="19" t="e">
        <v>#N/A</v>
      </c>
      <c r="V1089" s="16">
        <f t="shared" si="199"/>
        <v>60447.940499999997</v>
      </c>
      <c r="W1089" s="16">
        <f t="shared" si="200"/>
        <v>6044.7940500000004</v>
      </c>
      <c r="X1089" s="16">
        <f t="shared" si="201"/>
        <v>66492.734549999994</v>
      </c>
      <c r="Y1089" s="16">
        <f t="shared" si="202"/>
        <v>1.8943799017094016</v>
      </c>
      <c r="Z1089" s="16">
        <f t="shared" si="203"/>
        <v>11.481090313390315</v>
      </c>
      <c r="AA1089" s="17">
        <f t="shared" si="204"/>
        <v>35100</v>
      </c>
      <c r="AB1089" s="10">
        <v>540</v>
      </c>
      <c r="AC1089" s="18">
        <f t="shared" si="205"/>
        <v>1022.9651469230769</v>
      </c>
      <c r="AD1089" s="12">
        <f t="shared" si="211"/>
        <v>7614.28</v>
      </c>
      <c r="AE1089" s="13">
        <f t="shared" si="206"/>
        <v>27485.72</v>
      </c>
    </row>
    <row r="1090" spans="1:31">
      <c r="A1090" s="6">
        <v>6</v>
      </c>
      <c r="B1090" s="6">
        <f t="shared" si="209"/>
        <v>50</v>
      </c>
      <c r="C1090" s="6" t="str">
        <f t="shared" ref="C1090:C1153" si="212">E1090&amp;G1090&amp;L1090&amp;M1090&amp;P1090</f>
        <v>625090202BTAPE, IC, CONTINUOUS, 13.0 MM., PET 3M 842143541624495435100</v>
      </c>
      <c r="D1090" s="7" t="s">
        <v>235</v>
      </c>
      <c r="E1090" s="6" t="s">
        <v>128</v>
      </c>
      <c r="F1090" s="6"/>
      <c r="G1090" s="19" t="s">
        <v>103</v>
      </c>
      <c r="H1090" s="19"/>
      <c r="I1090" s="19"/>
      <c r="J1090" s="19"/>
      <c r="K1090" s="19"/>
      <c r="L1090" s="14" t="s">
        <v>108</v>
      </c>
      <c r="M1090" s="22">
        <v>44954</v>
      </c>
      <c r="N1090" s="19" t="e">
        <v>#N/A</v>
      </c>
      <c r="O1090" s="19" t="e">
        <v>#N/A</v>
      </c>
      <c r="P1090" s="15">
        <v>35100</v>
      </c>
      <c r="Q1090" s="15">
        <v>399210.66</v>
      </c>
      <c r="R1090" s="15" t="e">
        <v>#N/A</v>
      </c>
      <c r="S1090" s="15">
        <v>15</v>
      </c>
      <c r="T1090" s="19" t="e">
        <v>#N/A</v>
      </c>
      <c r="U1090" s="19" t="e">
        <v>#N/A</v>
      </c>
      <c r="V1090" s="16">
        <f t="shared" si="199"/>
        <v>59881.598999999995</v>
      </c>
      <c r="W1090" s="16">
        <f t="shared" si="200"/>
        <v>5988.1598999999997</v>
      </c>
      <c r="X1090" s="16">
        <f t="shared" si="201"/>
        <v>65869.758900000001</v>
      </c>
      <c r="Y1090" s="16">
        <f t="shared" si="202"/>
        <v>1.8766313076923078</v>
      </c>
      <c r="Z1090" s="16">
        <f t="shared" si="203"/>
        <v>11.373523076923076</v>
      </c>
      <c r="AA1090" s="17">
        <f t="shared" si="204"/>
        <v>35100</v>
      </c>
      <c r="AB1090" s="10">
        <v>540</v>
      </c>
      <c r="AC1090" s="18">
        <f t="shared" si="205"/>
        <v>1013.3809061538462</v>
      </c>
      <c r="AD1090" s="12">
        <f t="shared" si="211"/>
        <v>540</v>
      </c>
      <c r="AE1090" s="13">
        <f t="shared" si="206"/>
        <v>34560</v>
      </c>
    </row>
    <row r="1091" spans="1:31">
      <c r="A1091" s="6">
        <v>6</v>
      </c>
      <c r="B1091" s="6">
        <f t="shared" si="209"/>
        <v>51</v>
      </c>
      <c r="C1091" s="6" t="str">
        <f t="shared" si="212"/>
        <v>625090202BTAPE, IC, CONTINUOUS, 13.0 MM., PET 3M 842143720534495635100</v>
      </c>
      <c r="D1091" s="7" t="s">
        <v>235</v>
      </c>
      <c r="E1091" s="6" t="s">
        <v>128</v>
      </c>
      <c r="F1091" s="6"/>
      <c r="G1091" s="19" t="s">
        <v>103</v>
      </c>
      <c r="H1091" s="19"/>
      <c r="I1091" s="19"/>
      <c r="J1091" s="19"/>
      <c r="K1091" s="19"/>
      <c r="L1091" s="14" t="s">
        <v>109</v>
      </c>
      <c r="M1091" s="22">
        <v>44956</v>
      </c>
      <c r="N1091" s="19" t="e">
        <v>#N/A</v>
      </c>
      <c r="O1091" s="19" t="e">
        <v>#N/A</v>
      </c>
      <c r="P1091" s="15">
        <v>35100</v>
      </c>
      <c r="Q1091" s="15">
        <v>399210.66</v>
      </c>
      <c r="R1091" s="15" t="e">
        <v>#N/A</v>
      </c>
      <c r="S1091" s="15">
        <v>15</v>
      </c>
      <c r="T1091" s="19" t="e">
        <v>#N/A</v>
      </c>
      <c r="U1091" s="19" t="e">
        <v>#N/A</v>
      </c>
      <c r="V1091" s="16">
        <f t="shared" si="199"/>
        <v>59881.598999999995</v>
      </c>
      <c r="W1091" s="16">
        <f t="shared" si="200"/>
        <v>5988.1598999999997</v>
      </c>
      <c r="X1091" s="16">
        <f t="shared" si="201"/>
        <v>65869.758900000001</v>
      </c>
      <c r="Y1091" s="16">
        <f t="shared" si="202"/>
        <v>1.8766313076923078</v>
      </c>
      <c r="Z1091" s="16">
        <f t="shared" si="203"/>
        <v>11.373523076923076</v>
      </c>
      <c r="AA1091" s="17">
        <f t="shared" si="204"/>
        <v>35100</v>
      </c>
      <c r="AB1091" s="10">
        <v>540</v>
      </c>
      <c r="AC1091" s="18">
        <f t="shared" si="205"/>
        <v>1013.3809061538462</v>
      </c>
      <c r="AD1091" s="12">
        <f t="shared" si="211"/>
        <v>540</v>
      </c>
      <c r="AE1091" s="13">
        <f t="shared" si="206"/>
        <v>34560</v>
      </c>
    </row>
    <row r="1092" spans="1:31">
      <c r="A1092" s="6">
        <v>6</v>
      </c>
      <c r="B1092" s="6">
        <f t="shared" si="209"/>
        <v>52</v>
      </c>
      <c r="C1092" s="6" t="str">
        <f t="shared" si="212"/>
        <v>625090202BTAPE, IC, CONTINUOUS, 13.0 MM., PET 3M 842147736184498635100</v>
      </c>
      <c r="D1092" s="7" t="s">
        <v>235</v>
      </c>
      <c r="E1092" s="6" t="s">
        <v>128</v>
      </c>
      <c r="F1092" s="6"/>
      <c r="G1092" s="19" t="s">
        <v>103</v>
      </c>
      <c r="H1092" s="19"/>
      <c r="I1092" s="19"/>
      <c r="J1092" s="19"/>
      <c r="K1092" s="19"/>
      <c r="L1092" s="14" t="s">
        <v>110</v>
      </c>
      <c r="M1092" s="22">
        <v>44986</v>
      </c>
      <c r="N1092" s="19" t="e">
        <v>#N/A</v>
      </c>
      <c r="O1092" s="19" t="e">
        <v>#N/A</v>
      </c>
      <c r="P1092" s="15">
        <v>35100</v>
      </c>
      <c r="Q1092" s="15">
        <v>407843.38</v>
      </c>
      <c r="R1092" s="15" t="e">
        <v>#N/A</v>
      </c>
      <c r="S1092" s="15">
        <v>15</v>
      </c>
      <c r="T1092" s="19" t="e">
        <v>#N/A</v>
      </c>
      <c r="U1092" s="19" t="e">
        <v>#N/A</v>
      </c>
      <c r="V1092" s="16">
        <f t="shared" ref="V1092:V1155" si="213">Q1092*S1092%</f>
        <v>61176.506999999998</v>
      </c>
      <c r="W1092" s="16">
        <f t="shared" ref="W1092:W1155" si="214">V1092*0.1</f>
        <v>6117.6507000000001</v>
      </c>
      <c r="X1092" s="16">
        <f t="shared" ref="X1092:X1155" si="215">V1092+W1092</f>
        <v>67294.157699999996</v>
      </c>
      <c r="Y1092" s="16">
        <f t="shared" ref="Y1092:Y1155" si="216">X1092/P1092</f>
        <v>1.91721247008547</v>
      </c>
      <c r="Z1092" s="16">
        <f t="shared" ref="Z1092:Z1155" si="217">Q1092/P1092</f>
        <v>11.619469515669516</v>
      </c>
      <c r="AA1092" s="17">
        <f t="shared" ref="AA1092:AA1155" si="218">P1092</f>
        <v>35100</v>
      </c>
      <c r="AB1092" s="10">
        <v>540</v>
      </c>
      <c r="AC1092" s="18">
        <f t="shared" ref="AC1092:AC1138" si="219">AB1092*Y1092</f>
        <v>1035.2947338461538</v>
      </c>
      <c r="AD1092" s="12">
        <f t="shared" si="211"/>
        <v>540</v>
      </c>
      <c r="AE1092" s="13">
        <f t="shared" ref="AE1092:AE1155" si="220">AA1092-AD1092</f>
        <v>34560</v>
      </c>
    </row>
    <row r="1093" spans="1:31">
      <c r="A1093" s="6">
        <v>6</v>
      </c>
      <c r="B1093" s="6">
        <f t="shared" si="209"/>
        <v>53</v>
      </c>
      <c r="C1093" s="6" t="str">
        <f t="shared" si="212"/>
        <v>625090202BTAPE, IC, CONTINUOUS, 13.0 MM., PET 3M 842149411354499523400</v>
      </c>
      <c r="D1093" s="7" t="s">
        <v>235</v>
      </c>
      <c r="E1093" s="6" t="s">
        <v>128</v>
      </c>
      <c r="F1093" s="6"/>
      <c r="G1093" s="19" t="s">
        <v>103</v>
      </c>
      <c r="H1093" s="19"/>
      <c r="I1093" s="19"/>
      <c r="J1093" s="19"/>
      <c r="K1093" s="19"/>
      <c r="L1093" s="14" t="s">
        <v>111</v>
      </c>
      <c r="M1093" s="22">
        <v>44995</v>
      </c>
      <c r="N1093" s="19" t="e">
        <v>#N/A</v>
      </c>
      <c r="O1093" s="19" t="e">
        <v>#N/A</v>
      </c>
      <c r="P1093" s="15">
        <v>23400</v>
      </c>
      <c r="Q1093" s="15">
        <v>290501.53000000003</v>
      </c>
      <c r="R1093" s="15" t="e">
        <v>#N/A</v>
      </c>
      <c r="S1093" s="15">
        <v>15</v>
      </c>
      <c r="T1093" s="19" t="e">
        <v>#N/A</v>
      </c>
      <c r="U1093" s="19" t="e">
        <v>#N/A</v>
      </c>
      <c r="V1093" s="16">
        <f t="shared" si="213"/>
        <v>43575.229500000001</v>
      </c>
      <c r="W1093" s="16">
        <f t="shared" si="214"/>
        <v>4357.5229500000005</v>
      </c>
      <c r="X1093" s="16">
        <f t="shared" si="215"/>
        <v>47932.75245</v>
      </c>
      <c r="Y1093" s="16">
        <f t="shared" si="216"/>
        <v>2.0484082243589743</v>
      </c>
      <c r="Z1093" s="16">
        <f t="shared" si="217"/>
        <v>12.414595299145301</v>
      </c>
      <c r="AA1093" s="17">
        <f t="shared" si="218"/>
        <v>23400</v>
      </c>
      <c r="AB1093" s="10">
        <v>360</v>
      </c>
      <c r="AC1093" s="18">
        <f t="shared" si="219"/>
        <v>737.42696076923073</v>
      </c>
      <c r="AD1093" s="12">
        <f t="shared" si="211"/>
        <v>360</v>
      </c>
      <c r="AE1093" s="13">
        <f t="shared" si="220"/>
        <v>23040</v>
      </c>
    </row>
    <row r="1094" spans="1:31">
      <c r="A1094" s="6">
        <v>6</v>
      </c>
      <c r="B1094" s="6">
        <f t="shared" si="209"/>
        <v>54</v>
      </c>
      <c r="C1094" s="6" t="str">
        <f t="shared" si="212"/>
        <v>625090202BTAPE, IC, CONTINUOUS, 13.0 MM., PET 3M 842151919694501035100</v>
      </c>
      <c r="D1094" s="7" t="s">
        <v>235</v>
      </c>
      <c r="E1094" s="6" t="s">
        <v>128</v>
      </c>
      <c r="F1094" s="6"/>
      <c r="G1094" s="19" t="s">
        <v>103</v>
      </c>
      <c r="H1094" s="19"/>
      <c r="I1094" s="19"/>
      <c r="J1094" s="19"/>
      <c r="K1094" s="19"/>
      <c r="L1094" s="14" t="s">
        <v>112</v>
      </c>
      <c r="M1094" s="22">
        <v>45010</v>
      </c>
      <c r="N1094" s="19" t="e">
        <v>#N/A</v>
      </c>
      <c r="O1094" s="19" t="e">
        <v>#N/A</v>
      </c>
      <c r="P1094" s="15">
        <v>35100</v>
      </c>
      <c r="Q1094" s="15">
        <v>408622.77</v>
      </c>
      <c r="R1094" s="15" t="e">
        <v>#N/A</v>
      </c>
      <c r="S1094" s="15">
        <v>15</v>
      </c>
      <c r="T1094" s="19" t="e">
        <v>#N/A</v>
      </c>
      <c r="U1094" s="19" t="e">
        <v>#N/A</v>
      </c>
      <c r="V1094" s="16">
        <f t="shared" si="213"/>
        <v>61293.415500000003</v>
      </c>
      <c r="W1094" s="16">
        <f t="shared" si="214"/>
        <v>6129.341550000001</v>
      </c>
      <c r="X1094" s="16">
        <f t="shared" si="215"/>
        <v>67422.75705</v>
      </c>
      <c r="Y1094" s="16">
        <f t="shared" si="216"/>
        <v>1.9208762692307693</v>
      </c>
      <c r="Z1094" s="16">
        <f t="shared" si="217"/>
        <v>11.64167435897436</v>
      </c>
      <c r="AA1094" s="17">
        <f t="shared" si="218"/>
        <v>35100</v>
      </c>
      <c r="AB1094" s="10">
        <v>175.68</v>
      </c>
      <c r="AC1094" s="18">
        <f t="shared" si="219"/>
        <v>337.45954297846157</v>
      </c>
      <c r="AD1094" s="12">
        <f t="shared" si="211"/>
        <v>539.68000000000006</v>
      </c>
      <c r="AE1094" s="13">
        <f t="shared" si="220"/>
        <v>34560.32</v>
      </c>
    </row>
    <row r="1095" spans="1:31">
      <c r="A1095" s="6">
        <v>6</v>
      </c>
      <c r="B1095" s="6">
        <f t="shared" si="209"/>
        <v>55</v>
      </c>
      <c r="C1095" s="6" t="str">
        <f t="shared" si="212"/>
        <v>656334800FCushion ICAB FI 2 Row C KSID, ASP5.1, BUTTON HOL395679944924360</v>
      </c>
      <c r="D1095" s="7" t="s">
        <v>235</v>
      </c>
      <c r="E1095" s="6" t="s">
        <v>131</v>
      </c>
      <c r="F1095" s="6"/>
      <c r="G1095" s="19" t="s">
        <v>104</v>
      </c>
      <c r="H1095" s="19"/>
      <c r="I1095" s="19"/>
      <c r="J1095" s="19"/>
      <c r="K1095" s="19"/>
      <c r="L1095" s="14" t="s">
        <v>113</v>
      </c>
      <c r="M1095" s="22">
        <v>44924</v>
      </c>
      <c r="N1095" s="19" t="e">
        <v>#N/A</v>
      </c>
      <c r="O1095" s="19" t="e">
        <v>#N/A</v>
      </c>
      <c r="P1095" s="15">
        <v>360</v>
      </c>
      <c r="Q1095" s="15">
        <v>329765.69</v>
      </c>
      <c r="R1095" s="15" t="e">
        <v>#N/A</v>
      </c>
      <c r="S1095" s="15">
        <v>5</v>
      </c>
      <c r="T1095" s="19" t="e">
        <v>#N/A</v>
      </c>
      <c r="U1095" s="19" t="e">
        <v>#N/A</v>
      </c>
      <c r="V1095" s="16">
        <f t="shared" si="213"/>
        <v>16488.284500000002</v>
      </c>
      <c r="W1095" s="16">
        <f t="shared" si="214"/>
        <v>1648.8284500000002</v>
      </c>
      <c r="X1095" s="16">
        <f t="shared" si="215"/>
        <v>18137.112950000002</v>
      </c>
      <c r="Y1095" s="16">
        <f t="shared" si="216"/>
        <v>50.380869305555564</v>
      </c>
      <c r="Z1095" s="16">
        <f t="shared" si="217"/>
        <v>916.01580555555552</v>
      </c>
      <c r="AA1095" s="17">
        <f t="shared" si="218"/>
        <v>360</v>
      </c>
      <c r="AB1095" s="10">
        <v>360</v>
      </c>
      <c r="AC1095" s="18">
        <f t="shared" si="219"/>
        <v>18137.112950000002</v>
      </c>
      <c r="AD1095" s="12">
        <f t="shared" si="211"/>
        <v>360</v>
      </c>
      <c r="AE1095" s="13">
        <f t="shared" si="220"/>
        <v>0</v>
      </c>
    </row>
    <row r="1096" spans="1:31">
      <c r="A1096" s="6">
        <v>6</v>
      </c>
      <c r="B1096" s="6">
        <f t="shared" si="209"/>
        <v>56</v>
      </c>
      <c r="C1096" s="6" t="str">
        <f t="shared" si="212"/>
        <v>656334800FCushion ICAB FI 2 Row C KSID, ASP5.1, BUTTON HOL3799404449141080</v>
      </c>
      <c r="D1096" s="7" t="s">
        <v>235</v>
      </c>
      <c r="E1096" s="6" t="s">
        <v>131</v>
      </c>
      <c r="F1096" s="6"/>
      <c r="G1096" s="19" t="s">
        <v>104</v>
      </c>
      <c r="H1096" s="19"/>
      <c r="I1096" s="19"/>
      <c r="J1096" s="19"/>
      <c r="K1096" s="19"/>
      <c r="L1096" s="14" t="s">
        <v>114</v>
      </c>
      <c r="M1096" s="22">
        <v>44914</v>
      </c>
      <c r="N1096" s="19" t="e">
        <v>#N/A</v>
      </c>
      <c r="O1096" s="19" t="e">
        <v>#N/A</v>
      </c>
      <c r="P1096" s="15">
        <v>1080</v>
      </c>
      <c r="Q1096" s="15">
        <v>979460.69</v>
      </c>
      <c r="R1096" s="15" t="e">
        <v>#N/A</v>
      </c>
      <c r="S1096" s="15">
        <v>5</v>
      </c>
      <c r="T1096" s="19" t="e">
        <v>#N/A</v>
      </c>
      <c r="U1096" s="19" t="e">
        <v>#N/A</v>
      </c>
      <c r="V1096" s="16">
        <f t="shared" si="213"/>
        <v>48973.034500000002</v>
      </c>
      <c r="W1096" s="16">
        <f t="shared" si="214"/>
        <v>4897.3034500000003</v>
      </c>
      <c r="X1096" s="16">
        <f t="shared" si="215"/>
        <v>53870.337950000001</v>
      </c>
      <c r="Y1096" s="16">
        <f t="shared" si="216"/>
        <v>49.879942546296299</v>
      </c>
      <c r="Z1096" s="16">
        <f t="shared" si="217"/>
        <v>906.90804629629622</v>
      </c>
      <c r="AA1096" s="17">
        <f t="shared" si="218"/>
        <v>1080</v>
      </c>
      <c r="AB1096" s="10">
        <v>1080</v>
      </c>
      <c r="AC1096" s="18">
        <f t="shared" si="219"/>
        <v>53870.337950000001</v>
      </c>
      <c r="AD1096" s="12">
        <f t="shared" si="211"/>
        <v>1080</v>
      </c>
      <c r="AE1096" s="13">
        <f t="shared" si="220"/>
        <v>0</v>
      </c>
    </row>
    <row r="1097" spans="1:31">
      <c r="A1097" s="6">
        <v>6</v>
      </c>
      <c r="B1097" s="6">
        <f t="shared" si="209"/>
        <v>57</v>
      </c>
      <c r="C1097" s="6" t="str">
        <f t="shared" si="212"/>
        <v>656334800FCushion ICAB FI 2 Row C KSID, ASP5.1, BUTTON HOL402007744930900</v>
      </c>
      <c r="D1097" s="7" t="s">
        <v>235</v>
      </c>
      <c r="E1097" s="6" t="s">
        <v>131</v>
      </c>
      <c r="F1097" s="6"/>
      <c r="G1097" s="19" t="s">
        <v>104</v>
      </c>
      <c r="H1097" s="19"/>
      <c r="I1097" s="19"/>
      <c r="J1097" s="19"/>
      <c r="K1097" s="19"/>
      <c r="L1097" s="14" t="s">
        <v>115</v>
      </c>
      <c r="M1097" s="22">
        <v>44930</v>
      </c>
      <c r="N1097" s="19" t="e">
        <v>#N/A</v>
      </c>
      <c r="O1097" s="19" t="e">
        <v>#N/A</v>
      </c>
      <c r="P1097" s="15">
        <v>900</v>
      </c>
      <c r="Q1097" s="15">
        <v>816217.24</v>
      </c>
      <c r="R1097" s="15" t="e">
        <v>#N/A</v>
      </c>
      <c r="S1097" s="15">
        <v>5</v>
      </c>
      <c r="T1097" s="19" t="e">
        <v>#N/A</v>
      </c>
      <c r="U1097" s="19" t="e">
        <v>#N/A</v>
      </c>
      <c r="V1097" s="16">
        <f t="shared" si="213"/>
        <v>40810.862000000001</v>
      </c>
      <c r="W1097" s="16">
        <f t="shared" si="214"/>
        <v>4081.0862000000002</v>
      </c>
      <c r="X1097" s="16">
        <f t="shared" si="215"/>
        <v>44891.948199999999</v>
      </c>
      <c r="Y1097" s="16">
        <f t="shared" si="216"/>
        <v>49.879942444444445</v>
      </c>
      <c r="Z1097" s="16">
        <f t="shared" si="217"/>
        <v>906.90804444444439</v>
      </c>
      <c r="AA1097" s="17">
        <f t="shared" si="218"/>
        <v>900</v>
      </c>
      <c r="AB1097" s="10">
        <v>900</v>
      </c>
      <c r="AC1097" s="18">
        <f t="shared" si="219"/>
        <v>44891.948199999999</v>
      </c>
      <c r="AD1097" s="12">
        <f t="shared" si="211"/>
        <v>900</v>
      </c>
      <c r="AE1097" s="13">
        <f t="shared" si="220"/>
        <v>0</v>
      </c>
    </row>
    <row r="1098" spans="1:31">
      <c r="A1098" s="6">
        <v>6</v>
      </c>
      <c r="B1098" s="6">
        <f t="shared" si="209"/>
        <v>58</v>
      </c>
      <c r="C1098" s="6" t="str">
        <f t="shared" si="212"/>
        <v>656334800FCushion ICAB FI 2 Row C KSID, ASP5.1, BUTTON HOL414361644942360</v>
      </c>
      <c r="D1098" s="7" t="s">
        <v>235</v>
      </c>
      <c r="E1098" s="6" t="s">
        <v>131</v>
      </c>
      <c r="F1098" s="6"/>
      <c r="G1098" s="19" t="s">
        <v>104</v>
      </c>
      <c r="H1098" s="19"/>
      <c r="I1098" s="19"/>
      <c r="J1098" s="19"/>
      <c r="K1098" s="19"/>
      <c r="L1098" s="14" t="s">
        <v>116</v>
      </c>
      <c r="M1098" s="22">
        <v>44942</v>
      </c>
      <c r="N1098" s="19" t="e">
        <v>#N/A</v>
      </c>
      <c r="O1098" s="19" t="e">
        <v>#N/A</v>
      </c>
      <c r="P1098" s="15">
        <v>360</v>
      </c>
      <c r="Q1098" s="15">
        <v>327178.09000000003</v>
      </c>
      <c r="R1098" s="15" t="e">
        <v>#N/A</v>
      </c>
      <c r="S1098" s="15">
        <v>5</v>
      </c>
      <c r="T1098" s="19" t="e">
        <v>#N/A</v>
      </c>
      <c r="U1098" s="19" t="e">
        <v>#N/A</v>
      </c>
      <c r="V1098" s="16">
        <f t="shared" si="213"/>
        <v>16358.904500000002</v>
      </c>
      <c r="W1098" s="16">
        <f t="shared" si="214"/>
        <v>1635.8904500000003</v>
      </c>
      <c r="X1098" s="16">
        <f t="shared" si="215"/>
        <v>17994.794950000003</v>
      </c>
      <c r="Y1098" s="16">
        <f t="shared" si="216"/>
        <v>49.985541527777784</v>
      </c>
      <c r="Z1098" s="16">
        <f t="shared" si="217"/>
        <v>908.82802777777783</v>
      </c>
      <c r="AA1098" s="17">
        <f t="shared" si="218"/>
        <v>360</v>
      </c>
      <c r="AB1098" s="10">
        <v>360</v>
      </c>
      <c r="AC1098" s="18">
        <f t="shared" si="219"/>
        <v>17994.794950000003</v>
      </c>
      <c r="AD1098" s="12">
        <f t="shared" si="211"/>
        <v>360</v>
      </c>
      <c r="AE1098" s="13">
        <f t="shared" si="220"/>
        <v>0</v>
      </c>
    </row>
    <row r="1099" spans="1:31">
      <c r="A1099" s="6">
        <v>6</v>
      </c>
      <c r="B1099" s="6">
        <f t="shared" si="209"/>
        <v>59</v>
      </c>
      <c r="C1099" s="6" t="str">
        <f t="shared" si="212"/>
        <v>656334800FCushion ICAB FI 2 Row C KSID, ASP5.1, BUTTON HOL426963444947540</v>
      </c>
      <c r="D1099" s="7" t="s">
        <v>235</v>
      </c>
      <c r="E1099" s="6" t="s">
        <v>131</v>
      </c>
      <c r="F1099" s="6"/>
      <c r="G1099" s="19" t="s">
        <v>104</v>
      </c>
      <c r="H1099" s="19"/>
      <c r="I1099" s="19"/>
      <c r="J1099" s="19"/>
      <c r="K1099" s="19"/>
      <c r="L1099" s="14" t="s">
        <v>117</v>
      </c>
      <c r="M1099" s="22">
        <v>44947</v>
      </c>
      <c r="N1099" s="19" t="e">
        <v>#N/A</v>
      </c>
      <c r="O1099" s="19" t="e">
        <v>#N/A</v>
      </c>
      <c r="P1099" s="15">
        <v>540</v>
      </c>
      <c r="Q1099" s="15">
        <v>483127.23</v>
      </c>
      <c r="R1099" s="15" t="e">
        <v>#N/A</v>
      </c>
      <c r="S1099" s="15">
        <v>5</v>
      </c>
      <c r="T1099" s="19" t="e">
        <v>#N/A</v>
      </c>
      <c r="U1099" s="19" t="e">
        <v>#N/A</v>
      </c>
      <c r="V1099" s="16">
        <f t="shared" si="213"/>
        <v>24156.361499999999</v>
      </c>
      <c r="W1099" s="16">
        <f t="shared" si="214"/>
        <v>2415.6361499999998</v>
      </c>
      <c r="X1099" s="16">
        <f t="shared" si="215"/>
        <v>26571.997649999998</v>
      </c>
      <c r="Y1099" s="16">
        <f t="shared" si="216"/>
        <v>49.207403055555552</v>
      </c>
      <c r="Z1099" s="16">
        <f t="shared" si="217"/>
        <v>894.68005555555555</v>
      </c>
      <c r="AA1099" s="17">
        <f t="shared" si="218"/>
        <v>540</v>
      </c>
      <c r="AB1099" s="10">
        <v>180</v>
      </c>
      <c r="AC1099" s="18">
        <f t="shared" si="219"/>
        <v>8857.3325499999992</v>
      </c>
      <c r="AD1099" s="12">
        <f t="shared" si="211"/>
        <v>540</v>
      </c>
      <c r="AE1099" s="13">
        <f t="shared" si="220"/>
        <v>0</v>
      </c>
    </row>
    <row r="1100" spans="1:31">
      <c r="A1100" s="6">
        <v>6</v>
      </c>
      <c r="B1100" s="6">
        <f t="shared" si="209"/>
        <v>60</v>
      </c>
      <c r="C1100" s="6" t="str">
        <f t="shared" si="212"/>
        <v>6242999AABFELT, OTHER OTHER7901235451922400</v>
      </c>
      <c r="D1100" s="7" t="s">
        <v>235</v>
      </c>
      <c r="E1100" s="6" t="s">
        <v>127</v>
      </c>
      <c r="F1100" s="6"/>
      <c r="G1100" s="19" t="s">
        <v>105</v>
      </c>
      <c r="H1100" s="19"/>
      <c r="I1100" s="19"/>
      <c r="J1100" s="19"/>
      <c r="K1100" s="19"/>
      <c r="L1100" s="14">
        <v>7901235</v>
      </c>
      <c r="M1100" s="22">
        <v>45192</v>
      </c>
      <c r="N1100" s="19" t="s">
        <v>196</v>
      </c>
      <c r="O1100" s="19" t="s">
        <v>333</v>
      </c>
      <c r="P1100" s="15">
        <v>2400</v>
      </c>
      <c r="Q1100" s="15">
        <v>32673.27</v>
      </c>
      <c r="R1100" s="15">
        <v>87082900</v>
      </c>
      <c r="S1100" s="15">
        <v>15</v>
      </c>
      <c r="T1100" s="19" t="s">
        <v>343</v>
      </c>
      <c r="U1100" s="19" t="s">
        <v>178</v>
      </c>
      <c r="V1100" s="16">
        <f t="shared" si="213"/>
        <v>4900.9904999999999</v>
      </c>
      <c r="W1100" s="16">
        <f t="shared" si="214"/>
        <v>490.09905000000003</v>
      </c>
      <c r="X1100" s="16">
        <f t="shared" si="215"/>
        <v>5391.0895499999997</v>
      </c>
      <c r="Y1100" s="16">
        <f t="shared" si="216"/>
        <v>2.2462873124999998</v>
      </c>
      <c r="Z1100" s="16">
        <f t="shared" si="217"/>
        <v>13.6138625</v>
      </c>
      <c r="AA1100" s="17">
        <f t="shared" si="218"/>
        <v>2400</v>
      </c>
      <c r="AB1100" s="10">
        <v>529.92000000000007</v>
      </c>
      <c r="AC1100" s="18">
        <f t="shared" si="219"/>
        <v>1190.3525726400001</v>
      </c>
      <c r="AD1100" s="12">
        <f t="shared" si="211"/>
        <v>2196.48</v>
      </c>
      <c r="AE1100" s="13">
        <f t="shared" si="220"/>
        <v>203.51999999999998</v>
      </c>
    </row>
    <row r="1101" spans="1:31">
      <c r="A1101" s="6">
        <v>7</v>
      </c>
      <c r="B1101" s="6">
        <v>1</v>
      </c>
      <c r="C1101" s="6" t="str">
        <f t="shared" si="212"/>
        <v>654590600ASU2ID STD CUSHION COMPON CVR NON-WOVEN RH7309975451492700</v>
      </c>
      <c r="D1101" s="7" t="s">
        <v>235</v>
      </c>
      <c r="E1101" s="6" t="s">
        <v>78</v>
      </c>
      <c r="F1101" s="6"/>
      <c r="G1101" s="7" t="s">
        <v>38</v>
      </c>
      <c r="H1101" s="19"/>
      <c r="I1101" s="19"/>
      <c r="J1101" s="19"/>
      <c r="K1101" s="19"/>
      <c r="L1101" s="14">
        <v>7309975</v>
      </c>
      <c r="M1101" s="22">
        <v>45149</v>
      </c>
      <c r="N1101" s="19" t="s">
        <v>196</v>
      </c>
      <c r="O1101" s="19" t="s">
        <v>333</v>
      </c>
      <c r="P1101" s="15">
        <v>2700</v>
      </c>
      <c r="Q1101" s="15">
        <v>39279.21</v>
      </c>
      <c r="R1101" s="15">
        <v>87089500</v>
      </c>
      <c r="S1101" s="15">
        <v>15</v>
      </c>
      <c r="T1101" s="19" t="s">
        <v>227</v>
      </c>
      <c r="U1101" s="19" t="s">
        <v>178</v>
      </c>
      <c r="V1101" s="16">
        <f t="shared" si="213"/>
        <v>5891.8814999999995</v>
      </c>
      <c r="W1101" s="16">
        <f t="shared" si="214"/>
        <v>589.18814999999995</v>
      </c>
      <c r="X1101" s="16">
        <f t="shared" si="215"/>
        <v>6481.0696499999995</v>
      </c>
      <c r="Y1101" s="16">
        <f t="shared" si="216"/>
        <v>2.4003961666666664</v>
      </c>
      <c r="Z1101" s="16">
        <f t="shared" si="217"/>
        <v>14.547855555555556</v>
      </c>
      <c r="AA1101" s="17">
        <f t="shared" si="218"/>
        <v>2700</v>
      </c>
      <c r="AB1101" s="10">
        <v>1428</v>
      </c>
      <c r="AC1101" s="18">
        <f t="shared" si="219"/>
        <v>3427.7657259999996</v>
      </c>
      <c r="AD1101" s="12">
        <f t="shared" si="211"/>
        <v>2700</v>
      </c>
      <c r="AE1101" s="13">
        <f t="shared" si="220"/>
        <v>0</v>
      </c>
    </row>
    <row r="1102" spans="1:31">
      <c r="A1102" s="6">
        <v>7</v>
      </c>
      <c r="B1102" s="6">
        <f t="shared" ref="B1102:B1164" si="221">B1101+1</f>
        <v>2</v>
      </c>
      <c r="C1102" s="6" t="str">
        <f t="shared" si="212"/>
        <v>621343500CNUT, ISO, M5, NYLON INSE NYLON INSERT417070644928390000</v>
      </c>
      <c r="D1102" s="7" t="s">
        <v>234</v>
      </c>
      <c r="E1102" s="6" t="s">
        <v>45</v>
      </c>
      <c r="F1102" s="6"/>
      <c r="G1102" s="7" t="s">
        <v>7</v>
      </c>
      <c r="H1102" s="19"/>
      <c r="I1102" s="19"/>
      <c r="J1102" s="19"/>
      <c r="K1102" s="19"/>
      <c r="L1102" s="14">
        <v>4170706</v>
      </c>
      <c r="M1102" s="22">
        <v>44928</v>
      </c>
      <c r="N1102" s="19" t="s">
        <v>196</v>
      </c>
      <c r="O1102" s="19" t="s">
        <v>332</v>
      </c>
      <c r="P1102" s="15">
        <v>390000</v>
      </c>
      <c r="Q1102" s="15">
        <v>806536.88</v>
      </c>
      <c r="R1102" s="15">
        <v>87089500</v>
      </c>
      <c r="S1102" s="15">
        <v>15</v>
      </c>
      <c r="T1102" s="19" t="s">
        <v>301</v>
      </c>
      <c r="U1102" s="19" t="s">
        <v>178</v>
      </c>
      <c r="V1102" s="16">
        <f t="shared" si="213"/>
        <v>120980.53199999999</v>
      </c>
      <c r="W1102" s="16">
        <f t="shared" si="214"/>
        <v>12098.0532</v>
      </c>
      <c r="X1102" s="16">
        <f t="shared" si="215"/>
        <v>133078.5852</v>
      </c>
      <c r="Y1102" s="16">
        <f t="shared" si="216"/>
        <v>0.34122714153846156</v>
      </c>
      <c r="Z1102" s="16">
        <f t="shared" si="217"/>
        <v>2.0680432820512822</v>
      </c>
      <c r="AA1102" s="17">
        <f t="shared" si="218"/>
        <v>390000</v>
      </c>
      <c r="AB1102" s="10">
        <v>24480</v>
      </c>
      <c r="AC1102" s="18">
        <f t="shared" si="219"/>
        <v>8353.2404248615385</v>
      </c>
      <c r="AD1102" s="12">
        <f t="shared" si="211"/>
        <v>385128</v>
      </c>
      <c r="AE1102" s="13">
        <f t="shared" si="220"/>
        <v>4872</v>
      </c>
    </row>
    <row r="1103" spans="1:31">
      <c r="A1103" s="6">
        <v>7</v>
      </c>
      <c r="B1103" s="6">
        <f t="shared" si="221"/>
        <v>3</v>
      </c>
      <c r="C1103" s="6" t="str">
        <f t="shared" si="212"/>
        <v>643302000AINFLATOR, ADP-1.3B, MP, MIB, SQUARE, NO STUD48666694498725920</v>
      </c>
      <c r="D1103" s="7" t="s">
        <v>234</v>
      </c>
      <c r="E1103" s="6" t="s">
        <v>46</v>
      </c>
      <c r="F1103" s="6"/>
      <c r="G1103" s="7" t="s">
        <v>8</v>
      </c>
      <c r="H1103" s="19"/>
      <c r="I1103" s="19"/>
      <c r="J1103" s="19"/>
      <c r="K1103" s="19"/>
      <c r="L1103" s="14">
        <v>4866669</v>
      </c>
      <c r="M1103" s="22">
        <v>44987</v>
      </c>
      <c r="N1103" s="19" t="s">
        <v>199</v>
      </c>
      <c r="O1103" s="19" t="s">
        <v>333</v>
      </c>
      <c r="P1103" s="15">
        <v>25920</v>
      </c>
      <c r="Q1103" s="15">
        <v>9541861.9800000004</v>
      </c>
      <c r="R1103" s="15">
        <v>87089500</v>
      </c>
      <c r="S1103" s="15">
        <v>15</v>
      </c>
      <c r="T1103" s="19" t="s">
        <v>202</v>
      </c>
      <c r="U1103" s="19" t="s">
        <v>200</v>
      </c>
      <c r="V1103" s="16">
        <f t="shared" si="213"/>
        <v>1431279.297</v>
      </c>
      <c r="W1103" s="16">
        <f t="shared" si="214"/>
        <v>143127.92970000001</v>
      </c>
      <c r="X1103" s="16">
        <f t="shared" si="215"/>
        <v>1574407.2267</v>
      </c>
      <c r="Y1103" s="16">
        <f t="shared" si="216"/>
        <v>60.741019548611114</v>
      </c>
      <c r="Z1103" s="16">
        <f t="shared" si="217"/>
        <v>368.12739120370372</v>
      </c>
      <c r="AA1103" s="17">
        <f t="shared" si="218"/>
        <v>25920</v>
      </c>
      <c r="AB1103" s="10">
        <v>5616</v>
      </c>
      <c r="AC1103" s="18">
        <f t="shared" si="219"/>
        <v>341121.56578500004</v>
      </c>
      <c r="AD1103" s="12">
        <f t="shared" si="211"/>
        <v>25920</v>
      </c>
      <c r="AE1103" s="13">
        <f t="shared" si="220"/>
        <v>0</v>
      </c>
    </row>
    <row r="1104" spans="1:31">
      <c r="A1104" s="6">
        <v>7</v>
      </c>
      <c r="B1104" s="6">
        <f t="shared" si="221"/>
        <v>4</v>
      </c>
      <c r="C1104" s="6" t="str">
        <f t="shared" si="212"/>
        <v>570028800FNUT, ISO, M5, LOCK, THRE LOCK, THREE SIDED TAMPER393103644928624000</v>
      </c>
      <c r="D1104" s="7" t="s">
        <v>234</v>
      </c>
      <c r="E1104" s="6" t="s">
        <v>47</v>
      </c>
      <c r="F1104" s="6"/>
      <c r="G1104" s="7" t="s">
        <v>9</v>
      </c>
      <c r="H1104" s="19"/>
      <c r="I1104" s="19"/>
      <c r="J1104" s="19"/>
      <c r="K1104" s="19"/>
      <c r="L1104" s="14">
        <v>3931036</v>
      </c>
      <c r="M1104" s="22">
        <v>44928</v>
      </c>
      <c r="N1104" s="19" t="s">
        <v>185</v>
      </c>
      <c r="O1104" s="19" t="s">
        <v>332</v>
      </c>
      <c r="P1104" s="15">
        <v>624000</v>
      </c>
      <c r="Q1104" s="15">
        <v>1155867.1000000001</v>
      </c>
      <c r="R1104" s="15">
        <v>87089500</v>
      </c>
      <c r="S1104" s="15">
        <v>15</v>
      </c>
      <c r="T1104" s="19" t="s">
        <v>302</v>
      </c>
      <c r="U1104" s="19" t="s">
        <v>178</v>
      </c>
      <c r="V1104" s="16">
        <f t="shared" si="213"/>
        <v>173380.065</v>
      </c>
      <c r="W1104" s="16">
        <f t="shared" si="214"/>
        <v>17338.0065</v>
      </c>
      <c r="X1104" s="16">
        <f t="shared" si="215"/>
        <v>190718.07149999999</v>
      </c>
      <c r="Y1104" s="16">
        <f t="shared" si="216"/>
        <v>0.30563793509615383</v>
      </c>
      <c r="Z1104" s="16">
        <f t="shared" si="217"/>
        <v>1.852351121794872</v>
      </c>
      <c r="AA1104" s="17">
        <f t="shared" si="218"/>
        <v>624000</v>
      </c>
      <c r="AB1104" s="10">
        <v>14112</v>
      </c>
      <c r="AC1104" s="18">
        <f t="shared" si="219"/>
        <v>4313.1625400769226</v>
      </c>
      <c r="AD1104" s="12">
        <f t="shared" si="211"/>
        <v>227952</v>
      </c>
      <c r="AE1104" s="13">
        <f t="shared" si="220"/>
        <v>396048</v>
      </c>
    </row>
    <row r="1105" spans="1:31">
      <c r="A1105" s="6">
        <v>7</v>
      </c>
      <c r="B1105" s="6">
        <f t="shared" si="221"/>
        <v>5</v>
      </c>
      <c r="C1105" s="6" t="str">
        <f t="shared" si="212"/>
        <v>655116100ALABEL, BLANK, 50.0, 25.0  LABEL, BLANK, 2PCS, 50X42294544483145000</v>
      </c>
      <c r="D1105" s="7" t="s">
        <v>234</v>
      </c>
      <c r="E1105" s="6" t="s">
        <v>49</v>
      </c>
      <c r="F1105" s="6"/>
      <c r="G1105" s="7" t="s">
        <v>11</v>
      </c>
      <c r="H1105" s="19"/>
      <c r="I1105" s="19"/>
      <c r="J1105" s="19"/>
      <c r="K1105" s="19"/>
      <c r="L1105" s="14">
        <v>4229454</v>
      </c>
      <c r="M1105" s="22">
        <v>44831</v>
      </c>
      <c r="N1105" s="19" t="s">
        <v>196</v>
      </c>
      <c r="O1105" s="19" t="s">
        <v>333</v>
      </c>
      <c r="P1105" s="15">
        <v>45000</v>
      </c>
      <c r="Q1105" s="15">
        <v>127149.27</v>
      </c>
      <c r="R1105" s="15">
        <v>87089500</v>
      </c>
      <c r="S1105" s="15">
        <v>15</v>
      </c>
      <c r="T1105" s="19" t="s">
        <v>303</v>
      </c>
      <c r="U1105" s="19" t="s">
        <v>178</v>
      </c>
      <c r="V1105" s="16">
        <f t="shared" si="213"/>
        <v>19072.390500000001</v>
      </c>
      <c r="W1105" s="16">
        <f t="shared" si="214"/>
        <v>1907.2390500000001</v>
      </c>
      <c r="X1105" s="16">
        <f t="shared" si="215"/>
        <v>20979.629550000001</v>
      </c>
      <c r="Y1105" s="16">
        <f t="shared" si="216"/>
        <v>0.46621399000000002</v>
      </c>
      <c r="Z1105" s="16">
        <f t="shared" si="217"/>
        <v>2.8255393333333334</v>
      </c>
      <c r="AA1105" s="17">
        <f t="shared" si="218"/>
        <v>45000</v>
      </c>
      <c r="AB1105" s="10">
        <v>4032</v>
      </c>
      <c r="AC1105" s="18">
        <f t="shared" si="219"/>
        <v>1879.7748076800001</v>
      </c>
      <c r="AD1105" s="12">
        <f t="shared" si="211"/>
        <v>45000</v>
      </c>
      <c r="AE1105" s="13">
        <f t="shared" si="220"/>
        <v>0</v>
      </c>
    </row>
    <row r="1106" spans="1:31">
      <c r="A1106" s="6">
        <v>7</v>
      </c>
      <c r="B1106" s="6">
        <f t="shared" si="221"/>
        <v>6</v>
      </c>
      <c r="C1106" s="6" t="str">
        <f t="shared" si="212"/>
        <v>609183701ASTUD, M6 X 1.0, 16.0561310344974140000</v>
      </c>
      <c r="D1106" s="7" t="s">
        <v>234</v>
      </c>
      <c r="E1106" s="6" t="s">
        <v>51</v>
      </c>
      <c r="F1106" s="6"/>
      <c r="G1106" s="7" t="s">
        <v>411</v>
      </c>
      <c r="H1106" s="19"/>
      <c r="I1106" s="19"/>
      <c r="J1106" s="19"/>
      <c r="K1106" s="19"/>
      <c r="L1106" s="14">
        <v>5613103</v>
      </c>
      <c r="M1106" s="22">
        <v>44974</v>
      </c>
      <c r="N1106" s="19" t="s">
        <v>185</v>
      </c>
      <c r="O1106" s="19" t="s">
        <v>332</v>
      </c>
      <c r="P1106" s="15">
        <v>140000</v>
      </c>
      <c r="Q1106" s="15">
        <v>402663.89</v>
      </c>
      <c r="R1106" s="15">
        <v>87082900</v>
      </c>
      <c r="S1106" s="15">
        <v>15</v>
      </c>
      <c r="T1106" s="19" t="s">
        <v>304</v>
      </c>
      <c r="U1106" s="19" t="s">
        <v>178</v>
      </c>
      <c r="V1106" s="16">
        <f t="shared" si="213"/>
        <v>60399.583500000001</v>
      </c>
      <c r="W1106" s="16">
        <f t="shared" si="214"/>
        <v>6039.9583500000008</v>
      </c>
      <c r="X1106" s="16">
        <f t="shared" si="215"/>
        <v>66439.541850000009</v>
      </c>
      <c r="Y1106" s="16">
        <f t="shared" si="216"/>
        <v>0.47456815607142866</v>
      </c>
      <c r="Z1106" s="16">
        <f t="shared" si="217"/>
        <v>2.8761706428571427</v>
      </c>
      <c r="AA1106" s="17">
        <f t="shared" si="218"/>
        <v>140000</v>
      </c>
      <c r="AB1106" s="10">
        <v>11904</v>
      </c>
      <c r="AC1106" s="18">
        <f t="shared" si="219"/>
        <v>5649.2593298742868</v>
      </c>
      <c r="AD1106" s="12">
        <f t="shared" si="211"/>
        <v>140000</v>
      </c>
      <c r="AE1106" s="13">
        <f t="shared" si="220"/>
        <v>0</v>
      </c>
    </row>
    <row r="1107" spans="1:31">
      <c r="A1107" s="6">
        <v>7</v>
      </c>
      <c r="B1107" s="6">
        <f t="shared" si="221"/>
        <v>7</v>
      </c>
      <c r="C1107" s="6" t="str">
        <f t="shared" si="212"/>
        <v>616531900ARING, CRIMP, CLAMP, BAND466647844973100000</v>
      </c>
      <c r="D1107" s="7" t="s">
        <v>234</v>
      </c>
      <c r="E1107" s="6" t="s">
        <v>52</v>
      </c>
      <c r="F1107" s="6"/>
      <c r="G1107" s="7" t="s">
        <v>410</v>
      </c>
      <c r="H1107" s="19"/>
      <c r="I1107" s="19"/>
      <c r="J1107" s="19"/>
      <c r="K1107" s="19"/>
      <c r="L1107" s="14">
        <v>4666478</v>
      </c>
      <c r="M1107" s="22">
        <v>44973</v>
      </c>
      <c r="N1107" s="19" t="s">
        <v>199</v>
      </c>
      <c r="O1107" s="19" t="s">
        <v>333</v>
      </c>
      <c r="P1107" s="15">
        <v>100000</v>
      </c>
      <c r="Q1107" s="15">
        <v>1733493.63</v>
      </c>
      <c r="R1107" s="15">
        <v>87089500</v>
      </c>
      <c r="S1107" s="15">
        <v>15</v>
      </c>
      <c r="T1107" s="19" t="s">
        <v>305</v>
      </c>
      <c r="U1107" s="19" t="s">
        <v>178</v>
      </c>
      <c r="V1107" s="16">
        <f t="shared" si="213"/>
        <v>260024.04449999996</v>
      </c>
      <c r="W1107" s="16">
        <f t="shared" si="214"/>
        <v>26002.404449999998</v>
      </c>
      <c r="X1107" s="16">
        <f t="shared" si="215"/>
        <v>286026.44894999993</v>
      </c>
      <c r="Y1107" s="16">
        <f t="shared" si="216"/>
        <v>2.8602644894999991</v>
      </c>
      <c r="Z1107" s="16">
        <f t="shared" si="217"/>
        <v>17.334936299999999</v>
      </c>
      <c r="AA1107" s="17">
        <f t="shared" si="218"/>
        <v>100000</v>
      </c>
      <c r="AB1107" s="10">
        <v>7680</v>
      </c>
      <c r="AC1107" s="18">
        <f t="shared" si="219"/>
        <v>21966.831279359994</v>
      </c>
      <c r="AD1107" s="12">
        <f t="shared" si="211"/>
        <v>100000</v>
      </c>
      <c r="AE1107" s="13">
        <f t="shared" si="220"/>
        <v>0</v>
      </c>
    </row>
    <row r="1108" spans="1:31">
      <c r="A1108" s="6">
        <v>7</v>
      </c>
      <c r="B1108" s="6">
        <f t="shared" si="221"/>
        <v>8</v>
      </c>
      <c r="C1108" s="6" t="str">
        <f t="shared" si="212"/>
        <v>PC47516-3810SNAP-IN-FASTENER, PUSH P PUSH PIN, BLACK43773094523742000</v>
      </c>
      <c r="D1108" s="7" t="s">
        <v>234</v>
      </c>
      <c r="E1108" s="6" t="s">
        <v>54</v>
      </c>
      <c r="F1108" s="6"/>
      <c r="G1108" s="7" t="s">
        <v>14</v>
      </c>
      <c r="H1108" s="19"/>
      <c r="I1108" s="19"/>
      <c r="J1108" s="19"/>
      <c r="K1108" s="19"/>
      <c r="L1108" s="14">
        <v>4377309</v>
      </c>
      <c r="M1108" s="22">
        <v>45237</v>
      </c>
      <c r="N1108" s="19" t="s">
        <v>196</v>
      </c>
      <c r="O1108" s="19" t="s">
        <v>333</v>
      </c>
      <c r="P1108" s="15">
        <v>42000</v>
      </c>
      <c r="Q1108" s="15">
        <v>48121.48</v>
      </c>
      <c r="R1108" s="15">
        <v>87089500</v>
      </c>
      <c r="S1108" s="15">
        <v>15</v>
      </c>
      <c r="T1108" s="19" t="s">
        <v>306</v>
      </c>
      <c r="U1108" s="19" t="s">
        <v>178</v>
      </c>
      <c r="V1108" s="16">
        <f t="shared" si="213"/>
        <v>7218.2220000000007</v>
      </c>
      <c r="W1108" s="16">
        <f t="shared" si="214"/>
        <v>721.82220000000007</v>
      </c>
      <c r="X1108" s="16">
        <f t="shared" si="215"/>
        <v>7940.0442000000003</v>
      </c>
      <c r="Y1108" s="16">
        <f t="shared" si="216"/>
        <v>0.18904867142857143</v>
      </c>
      <c r="Z1108" s="16">
        <f t="shared" si="217"/>
        <v>1.1457495238095239</v>
      </c>
      <c r="AA1108" s="17">
        <f t="shared" si="218"/>
        <v>42000</v>
      </c>
      <c r="AB1108" s="10">
        <v>1728</v>
      </c>
      <c r="AC1108" s="18">
        <f t="shared" si="219"/>
        <v>326.67610422857143</v>
      </c>
      <c r="AD1108" s="12">
        <f t="shared" si="211"/>
        <v>41976</v>
      </c>
      <c r="AE1108" s="13">
        <f t="shared" si="220"/>
        <v>24</v>
      </c>
    </row>
    <row r="1109" spans="1:31">
      <c r="A1109" s="6">
        <v>7</v>
      </c>
      <c r="B1109" s="6">
        <f t="shared" si="221"/>
        <v>9</v>
      </c>
      <c r="C1109" s="6" t="str">
        <f t="shared" si="212"/>
        <v>566098600CWEBBING PIN, RETRACTOR, AGB, AGB-95POM FARBE:SCH432749644950120000</v>
      </c>
      <c r="D1109" s="7" t="s">
        <v>234</v>
      </c>
      <c r="E1109" s="6" t="s">
        <v>57</v>
      </c>
      <c r="F1109" s="6"/>
      <c r="G1109" s="7" t="s">
        <v>17</v>
      </c>
      <c r="H1109" s="19"/>
      <c r="I1109" s="19"/>
      <c r="J1109" s="19"/>
      <c r="K1109" s="19"/>
      <c r="L1109" s="14">
        <v>4327496</v>
      </c>
      <c r="M1109" s="22">
        <v>44950</v>
      </c>
      <c r="N1109" s="19" t="s">
        <v>199</v>
      </c>
      <c r="O1109" s="19" t="s">
        <v>332</v>
      </c>
      <c r="P1109" s="15">
        <v>120000</v>
      </c>
      <c r="Q1109" s="15">
        <v>117311.7</v>
      </c>
      <c r="R1109" s="15">
        <v>87082900</v>
      </c>
      <c r="S1109" s="15">
        <v>15</v>
      </c>
      <c r="T1109" s="19" t="s">
        <v>307</v>
      </c>
      <c r="U1109" s="19" t="s">
        <v>178</v>
      </c>
      <c r="V1109" s="16">
        <f t="shared" si="213"/>
        <v>17596.754999999997</v>
      </c>
      <c r="W1109" s="16">
        <f t="shared" si="214"/>
        <v>1759.6754999999998</v>
      </c>
      <c r="X1109" s="16">
        <f t="shared" si="215"/>
        <v>19356.430499999999</v>
      </c>
      <c r="Y1109" s="16">
        <f t="shared" si="216"/>
        <v>0.16130358749999998</v>
      </c>
      <c r="Z1109" s="16">
        <f t="shared" si="217"/>
        <v>0.97759750000000001</v>
      </c>
      <c r="AA1109" s="17">
        <f t="shared" si="218"/>
        <v>120000</v>
      </c>
      <c r="AB1109" s="10">
        <v>6360</v>
      </c>
      <c r="AC1109" s="18">
        <f t="shared" si="219"/>
        <v>1025.8908164999998</v>
      </c>
      <c r="AD1109" s="12">
        <f t="shared" si="211"/>
        <v>86652</v>
      </c>
      <c r="AE1109" s="13">
        <f t="shared" si="220"/>
        <v>33348</v>
      </c>
    </row>
    <row r="1110" spans="1:31">
      <c r="A1110" s="6">
        <v>7</v>
      </c>
      <c r="B1110" s="6">
        <f t="shared" si="221"/>
        <v>10</v>
      </c>
      <c r="C1110" s="6" t="str">
        <f t="shared" si="212"/>
        <v>566253211EADAPTER, CAR SENS, RETRA ALL VERSIONS390969644984216000</v>
      </c>
      <c r="D1110" s="7" t="s">
        <v>234</v>
      </c>
      <c r="E1110" s="6" t="s">
        <v>58</v>
      </c>
      <c r="F1110" s="6"/>
      <c r="G1110" s="7" t="s">
        <v>18</v>
      </c>
      <c r="H1110" s="19"/>
      <c r="I1110" s="19"/>
      <c r="J1110" s="19"/>
      <c r="K1110" s="19"/>
      <c r="L1110" s="14">
        <v>3909696</v>
      </c>
      <c r="M1110" s="22">
        <v>44984</v>
      </c>
      <c r="N1110" s="19" t="s">
        <v>199</v>
      </c>
      <c r="O1110" s="19" t="s">
        <v>332</v>
      </c>
      <c r="P1110" s="15">
        <v>216000</v>
      </c>
      <c r="Q1110" s="15">
        <v>549354.86</v>
      </c>
      <c r="R1110" s="15">
        <v>87082900</v>
      </c>
      <c r="S1110" s="15">
        <v>15</v>
      </c>
      <c r="T1110" s="19" t="s">
        <v>308</v>
      </c>
      <c r="U1110" s="19" t="s">
        <v>178</v>
      </c>
      <c r="V1110" s="16">
        <f t="shared" si="213"/>
        <v>82403.228999999992</v>
      </c>
      <c r="W1110" s="16">
        <f t="shared" si="214"/>
        <v>8240.3228999999992</v>
      </c>
      <c r="X1110" s="16">
        <f t="shared" si="215"/>
        <v>90643.551899999991</v>
      </c>
      <c r="Y1110" s="16">
        <f t="shared" si="216"/>
        <v>0.41964607361111106</v>
      </c>
      <c r="Z1110" s="16">
        <f t="shared" si="217"/>
        <v>2.5433095370370369</v>
      </c>
      <c r="AA1110" s="17">
        <f t="shared" si="218"/>
        <v>216000</v>
      </c>
      <c r="AB1110" s="10">
        <v>6360</v>
      </c>
      <c r="AC1110" s="18">
        <f t="shared" si="219"/>
        <v>2668.9490281666663</v>
      </c>
      <c r="AD1110" s="12">
        <f t="shared" si="211"/>
        <v>86652</v>
      </c>
      <c r="AE1110" s="13">
        <f t="shared" si="220"/>
        <v>129348</v>
      </c>
    </row>
    <row r="1111" spans="1:31">
      <c r="A1111" s="6">
        <v>7</v>
      </c>
      <c r="B1111" s="6">
        <f t="shared" si="221"/>
        <v>11</v>
      </c>
      <c r="C1111" s="6" t="str">
        <f t="shared" si="212"/>
        <v>600188700BLEVER, WEB SENS, RETRACT ALL VERSIONS421599144956270000</v>
      </c>
      <c r="D1111" s="7" t="s">
        <v>234</v>
      </c>
      <c r="E1111" s="6" t="s">
        <v>60</v>
      </c>
      <c r="F1111" s="6"/>
      <c r="G1111" s="7" t="s">
        <v>20</v>
      </c>
      <c r="H1111" s="19"/>
      <c r="I1111" s="19"/>
      <c r="J1111" s="19"/>
      <c r="K1111" s="19"/>
      <c r="L1111" s="14">
        <v>4215991</v>
      </c>
      <c r="M1111" s="22">
        <v>44956</v>
      </c>
      <c r="N1111" s="19" t="s">
        <v>199</v>
      </c>
      <c r="O1111" s="19" t="s">
        <v>332</v>
      </c>
      <c r="P1111" s="15">
        <v>270000</v>
      </c>
      <c r="Q1111" s="15">
        <v>1513733.76</v>
      </c>
      <c r="R1111" s="15">
        <v>87082900</v>
      </c>
      <c r="S1111" s="15">
        <v>15</v>
      </c>
      <c r="T1111" s="19" t="s">
        <v>310</v>
      </c>
      <c r="U1111" s="19" t="s">
        <v>178</v>
      </c>
      <c r="V1111" s="16">
        <f t="shared" si="213"/>
        <v>227060.06399999998</v>
      </c>
      <c r="W1111" s="16">
        <f t="shared" si="214"/>
        <v>22706.006399999998</v>
      </c>
      <c r="X1111" s="16">
        <f t="shared" si="215"/>
        <v>249766.07039999997</v>
      </c>
      <c r="Y1111" s="16">
        <f t="shared" si="216"/>
        <v>0.92505951999999991</v>
      </c>
      <c r="Z1111" s="16">
        <f t="shared" si="217"/>
        <v>5.6064213333333335</v>
      </c>
      <c r="AA1111" s="17">
        <f t="shared" si="218"/>
        <v>270000</v>
      </c>
      <c r="AB1111" s="10">
        <v>6360</v>
      </c>
      <c r="AC1111" s="18">
        <f t="shared" si="219"/>
        <v>5883.378547199999</v>
      </c>
      <c r="AD1111" s="12">
        <f t="shared" si="211"/>
        <v>86652</v>
      </c>
      <c r="AE1111" s="13">
        <f t="shared" si="220"/>
        <v>183348</v>
      </c>
    </row>
    <row r="1112" spans="1:31">
      <c r="A1112" s="6">
        <v>7</v>
      </c>
      <c r="B1112" s="6">
        <f t="shared" si="221"/>
        <v>12</v>
      </c>
      <c r="C1112" s="6" t="str">
        <f t="shared" si="212"/>
        <v>601182600ASPINDLE, RETRACTOR, R27, STD43790984493343008</v>
      </c>
      <c r="D1112" s="7" t="s">
        <v>234</v>
      </c>
      <c r="E1112" s="6" t="s">
        <v>61</v>
      </c>
      <c r="F1112" s="6"/>
      <c r="G1112" s="7" t="s">
        <v>21</v>
      </c>
      <c r="H1112" s="19"/>
      <c r="I1112" s="19"/>
      <c r="J1112" s="19"/>
      <c r="K1112" s="19"/>
      <c r="L1112" s="14">
        <v>4379098</v>
      </c>
      <c r="M1112" s="22">
        <v>44933</v>
      </c>
      <c r="N1112" s="19" t="s">
        <v>185</v>
      </c>
      <c r="O1112" s="19" t="s">
        <v>332</v>
      </c>
      <c r="P1112" s="15">
        <v>43008</v>
      </c>
      <c r="Q1112" s="15">
        <v>1835488.61</v>
      </c>
      <c r="R1112" s="15">
        <v>87082900</v>
      </c>
      <c r="S1112" s="15">
        <v>15</v>
      </c>
      <c r="T1112" s="19" t="s">
        <v>311</v>
      </c>
      <c r="U1112" s="19" t="s">
        <v>178</v>
      </c>
      <c r="V1112" s="16">
        <f t="shared" si="213"/>
        <v>275323.29149999999</v>
      </c>
      <c r="W1112" s="16">
        <f t="shared" si="214"/>
        <v>27532.329150000001</v>
      </c>
      <c r="X1112" s="16">
        <f t="shared" si="215"/>
        <v>302855.62065</v>
      </c>
      <c r="Y1112" s="16">
        <f t="shared" si="216"/>
        <v>7.0418438581194192</v>
      </c>
      <c r="Z1112" s="16">
        <f t="shared" si="217"/>
        <v>42.677841564360122</v>
      </c>
      <c r="AA1112" s="17">
        <f t="shared" si="218"/>
        <v>43008</v>
      </c>
      <c r="AB1112" s="10">
        <v>6360</v>
      </c>
      <c r="AC1112" s="18">
        <f t="shared" si="219"/>
        <v>44786.126937639507</v>
      </c>
      <c r="AD1112" s="12">
        <f t="shared" si="211"/>
        <v>43008</v>
      </c>
      <c r="AE1112" s="13">
        <f t="shared" si="220"/>
        <v>0</v>
      </c>
    </row>
    <row r="1113" spans="1:31">
      <c r="A1113" s="6">
        <v>7</v>
      </c>
      <c r="B1113" s="6">
        <f t="shared" si="221"/>
        <v>13</v>
      </c>
      <c r="C1113" s="6" t="str">
        <f t="shared" si="212"/>
        <v>601256700GBUSH, RETRACTOR, R27, AL ALL VERSIONS405080544944160000</v>
      </c>
      <c r="D1113" s="7" t="s">
        <v>234</v>
      </c>
      <c r="E1113" s="6" t="s">
        <v>62</v>
      </c>
      <c r="F1113" s="6"/>
      <c r="G1113" s="7" t="s">
        <v>22</v>
      </c>
      <c r="H1113" s="19"/>
      <c r="I1113" s="19"/>
      <c r="J1113" s="19"/>
      <c r="K1113" s="19"/>
      <c r="L1113" s="14">
        <v>4050805</v>
      </c>
      <c r="M1113" s="22">
        <v>44944</v>
      </c>
      <c r="N1113" s="19" t="s">
        <v>196</v>
      </c>
      <c r="O1113" s="19" t="s">
        <v>333</v>
      </c>
      <c r="P1113" s="15">
        <v>160000</v>
      </c>
      <c r="Q1113" s="15">
        <v>278597.26</v>
      </c>
      <c r="R1113" s="15">
        <v>87082900</v>
      </c>
      <c r="S1113" s="15">
        <v>15</v>
      </c>
      <c r="T1113" s="19" t="s">
        <v>312</v>
      </c>
      <c r="U1113" s="19" t="s">
        <v>178</v>
      </c>
      <c r="V1113" s="16">
        <f t="shared" si="213"/>
        <v>41789.589</v>
      </c>
      <c r="W1113" s="16">
        <f t="shared" si="214"/>
        <v>4178.9589000000005</v>
      </c>
      <c r="X1113" s="16">
        <f t="shared" si="215"/>
        <v>45968.547899999998</v>
      </c>
      <c r="Y1113" s="16">
        <f t="shared" si="216"/>
        <v>0.287303424375</v>
      </c>
      <c r="Z1113" s="16">
        <f t="shared" si="217"/>
        <v>1.7412328750000001</v>
      </c>
      <c r="AA1113" s="17">
        <f t="shared" si="218"/>
        <v>160000</v>
      </c>
      <c r="AB1113" s="10">
        <v>6360</v>
      </c>
      <c r="AC1113" s="18">
        <f t="shared" si="219"/>
        <v>1827.249779025</v>
      </c>
      <c r="AD1113" s="12">
        <f t="shared" si="211"/>
        <v>86652</v>
      </c>
      <c r="AE1113" s="13">
        <f t="shared" si="220"/>
        <v>73348</v>
      </c>
    </row>
    <row r="1114" spans="1:31">
      <c r="A1114" s="6">
        <v>7</v>
      </c>
      <c r="B1114" s="6">
        <f t="shared" si="221"/>
        <v>14</v>
      </c>
      <c r="C1114" s="6" t="str">
        <f t="shared" si="212"/>
        <v>601472600ALATCH, RETRACTOR, R27, A ALL VERSIONS421598844951162000</v>
      </c>
      <c r="D1114" s="7" t="s">
        <v>234</v>
      </c>
      <c r="E1114" s="6" t="s">
        <v>63</v>
      </c>
      <c r="F1114" s="6"/>
      <c r="G1114" s="7" t="s">
        <v>23</v>
      </c>
      <c r="H1114" s="19"/>
      <c r="I1114" s="19"/>
      <c r="J1114" s="19"/>
      <c r="K1114" s="19"/>
      <c r="L1114" s="14">
        <v>4215988</v>
      </c>
      <c r="M1114" s="22">
        <v>44951</v>
      </c>
      <c r="N1114" s="19" t="s">
        <v>199</v>
      </c>
      <c r="O1114" s="19" t="s">
        <v>332</v>
      </c>
      <c r="P1114" s="15">
        <v>162000</v>
      </c>
      <c r="Q1114" s="15">
        <v>1167023.94</v>
      </c>
      <c r="R1114" s="15">
        <v>87082900</v>
      </c>
      <c r="S1114" s="15">
        <v>15</v>
      </c>
      <c r="T1114" s="19" t="s">
        <v>313</v>
      </c>
      <c r="U1114" s="19" t="s">
        <v>178</v>
      </c>
      <c r="V1114" s="16">
        <f t="shared" si="213"/>
        <v>175053.59099999999</v>
      </c>
      <c r="W1114" s="16">
        <f t="shared" si="214"/>
        <v>17505.359099999998</v>
      </c>
      <c r="X1114" s="16">
        <f t="shared" si="215"/>
        <v>192558.95009999999</v>
      </c>
      <c r="Y1114" s="16">
        <f t="shared" si="216"/>
        <v>1.1886354944444444</v>
      </c>
      <c r="Z1114" s="16">
        <f t="shared" si="217"/>
        <v>7.2038514814814816</v>
      </c>
      <c r="AA1114" s="17">
        <f t="shared" si="218"/>
        <v>162000</v>
      </c>
      <c r="AB1114" s="10">
        <v>6360</v>
      </c>
      <c r="AC1114" s="18">
        <f t="shared" si="219"/>
        <v>7559.7217446666664</v>
      </c>
      <c r="AD1114" s="12">
        <f t="shared" si="211"/>
        <v>86652</v>
      </c>
      <c r="AE1114" s="13">
        <f t="shared" si="220"/>
        <v>75348</v>
      </c>
    </row>
    <row r="1115" spans="1:31">
      <c r="A1115" s="6">
        <v>7</v>
      </c>
      <c r="B1115" s="6">
        <f t="shared" si="221"/>
        <v>15</v>
      </c>
      <c r="C1115" s="6" t="str">
        <f t="shared" si="212"/>
        <v>601487200CCOVER, RETRACTOR, R27, S SYSTEMKAPPE DELRIN 100T43274964495048000</v>
      </c>
      <c r="D1115" s="7" t="s">
        <v>234</v>
      </c>
      <c r="E1115" s="6" t="s">
        <v>64</v>
      </c>
      <c r="F1115" s="6"/>
      <c r="G1115" s="7" t="s">
        <v>24</v>
      </c>
      <c r="H1115" s="19"/>
      <c r="I1115" s="19"/>
      <c r="J1115" s="19"/>
      <c r="K1115" s="19"/>
      <c r="L1115" s="14">
        <v>4327496</v>
      </c>
      <c r="M1115" s="22">
        <v>44950</v>
      </c>
      <c r="N1115" s="19" t="s">
        <v>199</v>
      </c>
      <c r="O1115" s="19" t="s">
        <v>332</v>
      </c>
      <c r="P1115" s="15">
        <v>48000</v>
      </c>
      <c r="Q1115" s="15">
        <v>514349.16</v>
      </c>
      <c r="R1115" s="15">
        <v>87082900</v>
      </c>
      <c r="S1115" s="15">
        <v>15</v>
      </c>
      <c r="T1115" s="19" t="s">
        <v>307</v>
      </c>
      <c r="U1115" s="19" t="s">
        <v>178</v>
      </c>
      <c r="V1115" s="16">
        <f t="shared" si="213"/>
        <v>77152.373999999996</v>
      </c>
      <c r="W1115" s="16">
        <f t="shared" si="214"/>
        <v>7715.2374</v>
      </c>
      <c r="X1115" s="16">
        <f t="shared" si="215"/>
        <v>84867.611399999994</v>
      </c>
      <c r="Y1115" s="16">
        <f t="shared" si="216"/>
        <v>1.7680752375</v>
      </c>
      <c r="Z1115" s="16">
        <f t="shared" si="217"/>
        <v>10.715607499999999</v>
      </c>
      <c r="AA1115" s="17">
        <f t="shared" si="218"/>
        <v>48000</v>
      </c>
      <c r="AB1115" s="10">
        <v>6360</v>
      </c>
      <c r="AC1115" s="18">
        <f t="shared" si="219"/>
        <v>11244.958510500001</v>
      </c>
      <c r="AD1115" s="12">
        <f t="shared" si="211"/>
        <v>47964</v>
      </c>
      <c r="AE1115" s="13">
        <f t="shared" si="220"/>
        <v>36</v>
      </c>
    </row>
    <row r="1116" spans="1:31">
      <c r="A1116" s="6">
        <v>7</v>
      </c>
      <c r="B1116" s="6">
        <f t="shared" si="221"/>
        <v>16</v>
      </c>
      <c r="C1116" s="6" t="str">
        <f t="shared" si="212"/>
        <v>605151600ASPRING, SHEET, LEAF, RET ALL VERSIONS, WS US407852744933100000</v>
      </c>
      <c r="D1116" s="7" t="s">
        <v>234</v>
      </c>
      <c r="E1116" s="6" t="s">
        <v>65</v>
      </c>
      <c r="F1116" s="6"/>
      <c r="G1116" s="7" t="s">
        <v>25</v>
      </c>
      <c r="H1116" s="19"/>
      <c r="I1116" s="19"/>
      <c r="J1116" s="19"/>
      <c r="K1116" s="19"/>
      <c r="L1116" s="14">
        <v>4078527</v>
      </c>
      <c r="M1116" s="22">
        <v>44933</v>
      </c>
      <c r="N1116" s="19" t="s">
        <v>196</v>
      </c>
      <c r="O1116" s="19" t="s">
        <v>333</v>
      </c>
      <c r="P1116" s="15">
        <v>100000</v>
      </c>
      <c r="Q1116" s="15">
        <v>147318.03</v>
      </c>
      <c r="R1116" s="15">
        <v>87082900</v>
      </c>
      <c r="S1116" s="15">
        <v>15</v>
      </c>
      <c r="T1116" s="19" t="s">
        <v>314</v>
      </c>
      <c r="U1116" s="19" t="s">
        <v>178</v>
      </c>
      <c r="V1116" s="16">
        <f t="shared" si="213"/>
        <v>22097.7045</v>
      </c>
      <c r="W1116" s="16">
        <f t="shared" si="214"/>
        <v>2209.77045</v>
      </c>
      <c r="X1116" s="16">
        <f t="shared" si="215"/>
        <v>24307.47495</v>
      </c>
      <c r="Y1116" s="16">
        <f t="shared" si="216"/>
        <v>0.24307474949999999</v>
      </c>
      <c r="Z1116" s="16">
        <f t="shared" si="217"/>
        <v>1.4731802999999999</v>
      </c>
      <c r="AA1116" s="17">
        <f t="shared" si="218"/>
        <v>100000</v>
      </c>
      <c r="AB1116" s="10">
        <v>6360</v>
      </c>
      <c r="AC1116" s="18">
        <f t="shared" si="219"/>
        <v>1545.95540682</v>
      </c>
      <c r="AD1116" s="12">
        <f t="shared" ref="AD1116:AD1147" si="222">SUMIF($C$2:$C$2284,C1116,$AB$2:$AB$2284)</f>
        <v>86652</v>
      </c>
      <c r="AE1116" s="13">
        <f t="shared" si="220"/>
        <v>13348</v>
      </c>
    </row>
    <row r="1117" spans="1:31">
      <c r="A1117" s="6">
        <v>7</v>
      </c>
      <c r="B1117" s="6">
        <f t="shared" si="221"/>
        <v>17</v>
      </c>
      <c r="C1117" s="6" t="str">
        <f t="shared" si="212"/>
        <v>618470500EBEARING, CAR SENS, RETRA All Versions, Noise redu717838944902100800</v>
      </c>
      <c r="D1117" s="7" t="s">
        <v>234</v>
      </c>
      <c r="E1117" s="6" t="s">
        <v>68</v>
      </c>
      <c r="F1117" s="6"/>
      <c r="G1117" s="7" t="s">
        <v>28</v>
      </c>
      <c r="H1117" s="19"/>
      <c r="I1117" s="19"/>
      <c r="J1117" s="19"/>
      <c r="K1117" s="19"/>
      <c r="L1117" s="14">
        <v>7178389</v>
      </c>
      <c r="M1117" s="22">
        <v>44902</v>
      </c>
      <c r="N1117" s="19" t="s">
        <v>185</v>
      </c>
      <c r="O1117" s="19" t="s">
        <v>332</v>
      </c>
      <c r="P1117" s="15">
        <v>100800</v>
      </c>
      <c r="Q1117" s="15">
        <v>397158.13</v>
      </c>
      <c r="R1117" s="15">
        <v>87082900</v>
      </c>
      <c r="S1117" s="15">
        <v>15</v>
      </c>
      <c r="T1117" s="19" t="s">
        <v>315</v>
      </c>
      <c r="U1117" s="19" t="s">
        <v>178</v>
      </c>
      <c r="V1117" s="16">
        <f t="shared" si="213"/>
        <v>59573.719499999999</v>
      </c>
      <c r="W1117" s="16">
        <f t="shared" si="214"/>
        <v>5957.3719500000007</v>
      </c>
      <c r="X1117" s="16">
        <f t="shared" si="215"/>
        <v>65531.09145</v>
      </c>
      <c r="Y1117" s="16">
        <f t="shared" si="216"/>
        <v>0.65011003422619051</v>
      </c>
      <c r="Z1117" s="16">
        <f t="shared" si="217"/>
        <v>3.9400608134920634</v>
      </c>
      <c r="AA1117" s="17">
        <f t="shared" si="218"/>
        <v>100800</v>
      </c>
      <c r="AB1117" s="10">
        <v>6360</v>
      </c>
      <c r="AC1117" s="18">
        <f t="shared" si="219"/>
        <v>4134.6998176785719</v>
      </c>
      <c r="AD1117" s="12">
        <f t="shared" si="222"/>
        <v>31068</v>
      </c>
      <c r="AE1117" s="13">
        <f t="shared" si="220"/>
        <v>69732</v>
      </c>
    </row>
    <row r="1118" spans="1:31">
      <c r="A1118" s="6">
        <v>7</v>
      </c>
      <c r="B1118" s="6">
        <f t="shared" si="221"/>
        <v>18</v>
      </c>
      <c r="C1118" s="6" t="str">
        <f t="shared" si="212"/>
        <v>618470500EBEARING, CAR SENS, RETRA All Versions, Noise redu408531144933170000</v>
      </c>
      <c r="D1118" s="7" t="s">
        <v>234</v>
      </c>
      <c r="E1118" s="6" t="s">
        <v>68</v>
      </c>
      <c r="F1118" s="6"/>
      <c r="G1118" s="7" t="s">
        <v>28</v>
      </c>
      <c r="H1118" s="19"/>
      <c r="I1118" s="19"/>
      <c r="J1118" s="19"/>
      <c r="K1118" s="19"/>
      <c r="L1118" s="14">
        <v>4085311</v>
      </c>
      <c r="M1118" s="22">
        <v>44933</v>
      </c>
      <c r="N1118" s="19" t="s">
        <v>196</v>
      </c>
      <c r="O1118" s="19" t="s">
        <v>333</v>
      </c>
      <c r="P1118" s="15">
        <v>170000</v>
      </c>
      <c r="Q1118" s="15">
        <v>305828.40000000002</v>
      </c>
      <c r="R1118" s="15">
        <v>87082900</v>
      </c>
      <c r="S1118" s="15">
        <v>15</v>
      </c>
      <c r="T1118" s="19" t="s">
        <v>316</v>
      </c>
      <c r="U1118" s="19" t="s">
        <v>178</v>
      </c>
      <c r="V1118" s="16">
        <f t="shared" si="213"/>
        <v>45874.26</v>
      </c>
      <c r="W1118" s="16">
        <f t="shared" si="214"/>
        <v>4587.4260000000004</v>
      </c>
      <c r="X1118" s="16">
        <f t="shared" si="215"/>
        <v>50461.686000000002</v>
      </c>
      <c r="Y1118" s="16">
        <f t="shared" si="216"/>
        <v>0.29683344705882353</v>
      </c>
      <c r="Z1118" s="16">
        <f t="shared" si="217"/>
        <v>1.7989905882352943</v>
      </c>
      <c r="AA1118" s="17">
        <f t="shared" si="218"/>
        <v>170000</v>
      </c>
      <c r="AB1118" s="10">
        <v>6360</v>
      </c>
      <c r="AC1118" s="18">
        <f t="shared" si="219"/>
        <v>1887.8607232941176</v>
      </c>
      <c r="AD1118" s="12">
        <f t="shared" si="222"/>
        <v>61944</v>
      </c>
      <c r="AE1118" s="13">
        <f t="shared" si="220"/>
        <v>108056</v>
      </c>
    </row>
    <row r="1119" spans="1:31">
      <c r="A1119" s="6">
        <v>7</v>
      </c>
      <c r="B1119" s="6">
        <f t="shared" si="221"/>
        <v>19</v>
      </c>
      <c r="C1119" s="6" t="str">
        <f t="shared" si="212"/>
        <v>618472000BLEVER, CAR SENS, RETRACT ALL VERSIONS, NOISE REDU408531144933170000</v>
      </c>
      <c r="D1119" s="7" t="s">
        <v>234</v>
      </c>
      <c r="E1119" s="6" t="s">
        <v>69</v>
      </c>
      <c r="F1119" s="6"/>
      <c r="G1119" s="7" t="s">
        <v>29</v>
      </c>
      <c r="H1119" s="19"/>
      <c r="I1119" s="19"/>
      <c r="J1119" s="19"/>
      <c r="K1119" s="19"/>
      <c r="L1119" s="14">
        <v>4085311</v>
      </c>
      <c r="M1119" s="22">
        <v>44933</v>
      </c>
      <c r="N1119" s="19" t="s">
        <v>196</v>
      </c>
      <c r="O1119" s="19" t="s">
        <v>333</v>
      </c>
      <c r="P1119" s="15">
        <v>170000</v>
      </c>
      <c r="Q1119" s="15">
        <v>247799.42</v>
      </c>
      <c r="R1119" s="15">
        <v>87082900</v>
      </c>
      <c r="S1119" s="15">
        <v>15</v>
      </c>
      <c r="T1119" s="19" t="s">
        <v>316</v>
      </c>
      <c r="U1119" s="19" t="s">
        <v>178</v>
      </c>
      <c r="V1119" s="16">
        <f t="shared" si="213"/>
        <v>37169.913</v>
      </c>
      <c r="W1119" s="16">
        <f t="shared" si="214"/>
        <v>3716.9913000000001</v>
      </c>
      <c r="X1119" s="16">
        <f t="shared" si="215"/>
        <v>40886.904300000002</v>
      </c>
      <c r="Y1119" s="16">
        <f t="shared" si="216"/>
        <v>0.24051120176470589</v>
      </c>
      <c r="Z1119" s="16">
        <f t="shared" si="217"/>
        <v>1.4576436470588237</v>
      </c>
      <c r="AA1119" s="17">
        <f t="shared" si="218"/>
        <v>170000</v>
      </c>
      <c r="AB1119" s="10">
        <v>6360</v>
      </c>
      <c r="AC1119" s="18">
        <f t="shared" si="219"/>
        <v>1529.6512432235295</v>
      </c>
      <c r="AD1119" s="12">
        <f t="shared" si="222"/>
        <v>86652</v>
      </c>
      <c r="AE1119" s="13">
        <f t="shared" si="220"/>
        <v>83348</v>
      </c>
    </row>
    <row r="1120" spans="1:31">
      <c r="A1120" s="6">
        <v>7</v>
      </c>
      <c r="B1120" s="6">
        <f t="shared" si="221"/>
        <v>20</v>
      </c>
      <c r="C1120" s="6" t="str">
        <f t="shared" si="212"/>
        <v>618472300CMASS, CAR SENS, RETRACTO ALL VERSIONS, CAR 2-PIN406183045012209560</v>
      </c>
      <c r="D1120" s="7" t="s">
        <v>234</v>
      </c>
      <c r="E1120" s="6" t="s">
        <v>70</v>
      </c>
      <c r="F1120" s="6"/>
      <c r="G1120" s="7" t="s">
        <v>30</v>
      </c>
      <c r="H1120" s="19"/>
      <c r="I1120" s="19"/>
      <c r="J1120" s="19"/>
      <c r="K1120" s="19"/>
      <c r="L1120" s="14">
        <v>4061830</v>
      </c>
      <c r="M1120" s="22">
        <v>45012</v>
      </c>
      <c r="N1120" s="19" t="s">
        <v>196</v>
      </c>
      <c r="O1120" s="19" t="s">
        <v>333</v>
      </c>
      <c r="P1120" s="15">
        <v>209560</v>
      </c>
      <c r="Q1120" s="15">
        <v>786307.66</v>
      </c>
      <c r="R1120" s="15">
        <v>87082900</v>
      </c>
      <c r="S1120" s="15">
        <v>15</v>
      </c>
      <c r="T1120" s="19" t="s">
        <v>317</v>
      </c>
      <c r="U1120" s="19" t="s">
        <v>178</v>
      </c>
      <c r="V1120" s="16">
        <f t="shared" si="213"/>
        <v>117946.149</v>
      </c>
      <c r="W1120" s="16">
        <f t="shared" si="214"/>
        <v>11794.6149</v>
      </c>
      <c r="X1120" s="16">
        <f t="shared" si="215"/>
        <v>129740.76390000001</v>
      </c>
      <c r="Y1120" s="16">
        <f t="shared" si="216"/>
        <v>0.61911034500858941</v>
      </c>
      <c r="Z1120" s="16">
        <f t="shared" si="217"/>
        <v>3.7521839091429663</v>
      </c>
      <c r="AA1120" s="17">
        <f t="shared" si="218"/>
        <v>209560</v>
      </c>
      <c r="AB1120" s="10">
        <v>6360</v>
      </c>
      <c r="AC1120" s="18">
        <f t="shared" si="219"/>
        <v>3937.5417942546287</v>
      </c>
      <c r="AD1120" s="12">
        <f t="shared" si="222"/>
        <v>86652</v>
      </c>
      <c r="AE1120" s="13">
        <f t="shared" si="220"/>
        <v>122908</v>
      </c>
    </row>
    <row r="1121" spans="1:31">
      <c r="A1121" s="6">
        <v>7</v>
      </c>
      <c r="B1121" s="6">
        <f t="shared" si="221"/>
        <v>21</v>
      </c>
      <c r="C1121" s="6" t="str">
        <f t="shared" si="212"/>
        <v>630580800ALABEL, RAW MATERIAL, BLA K12 TPC BUCKLE5160585449362400000</v>
      </c>
      <c r="D1121" s="7" t="s">
        <v>234</v>
      </c>
      <c r="E1121" s="6" t="s">
        <v>71</v>
      </c>
      <c r="F1121" s="6"/>
      <c r="G1121" s="7" t="s">
        <v>31</v>
      </c>
      <c r="H1121" s="19"/>
      <c r="I1121" s="19"/>
      <c r="J1121" s="19"/>
      <c r="K1121" s="19"/>
      <c r="L1121" s="14">
        <v>5160585</v>
      </c>
      <c r="M1121" s="22">
        <v>44936</v>
      </c>
      <c r="N1121" s="19" t="s">
        <v>196</v>
      </c>
      <c r="O1121" s="19" t="s">
        <v>333</v>
      </c>
      <c r="P1121" s="15">
        <v>2400000</v>
      </c>
      <c r="Q1121" s="15">
        <v>86522.34</v>
      </c>
      <c r="R1121" s="15">
        <v>87082900</v>
      </c>
      <c r="S1121" s="15">
        <v>15</v>
      </c>
      <c r="T1121" s="19" t="s">
        <v>265</v>
      </c>
      <c r="U1121" s="19" t="s">
        <v>178</v>
      </c>
      <c r="V1121" s="16">
        <f t="shared" si="213"/>
        <v>12978.350999999999</v>
      </c>
      <c r="W1121" s="16">
        <f t="shared" si="214"/>
        <v>1297.8351</v>
      </c>
      <c r="X1121" s="16">
        <f t="shared" si="215"/>
        <v>14276.186099999999</v>
      </c>
      <c r="Y1121" s="16">
        <f t="shared" si="216"/>
        <v>5.9484108749999999E-3</v>
      </c>
      <c r="Z1121" s="16">
        <f t="shared" si="217"/>
        <v>3.6050974999999999E-2</v>
      </c>
      <c r="AA1121" s="17">
        <f t="shared" si="218"/>
        <v>2400000</v>
      </c>
      <c r="AB1121" s="10">
        <v>16056</v>
      </c>
      <c r="AC1121" s="18">
        <f t="shared" si="219"/>
        <v>95.507685008999999</v>
      </c>
      <c r="AD1121" s="12">
        <f t="shared" si="222"/>
        <v>548546</v>
      </c>
      <c r="AE1121" s="13">
        <f t="shared" si="220"/>
        <v>1851454</v>
      </c>
    </row>
    <row r="1122" spans="1:31">
      <c r="A1122" s="6">
        <v>7</v>
      </c>
      <c r="B1122" s="6">
        <f t="shared" si="221"/>
        <v>22</v>
      </c>
      <c r="C1122" s="6" t="str">
        <f t="shared" si="212"/>
        <v>560050622CCHANNEL, BUCKLE, K12 ROA K12A/AT, RIVET BUCKLE, S505596944994224000</v>
      </c>
      <c r="D1122" s="7" t="s">
        <v>234</v>
      </c>
      <c r="E1122" s="6" t="s">
        <v>72</v>
      </c>
      <c r="F1122" s="6"/>
      <c r="G1122" s="7" t="s">
        <v>32</v>
      </c>
      <c r="H1122" s="19"/>
      <c r="I1122" s="19"/>
      <c r="J1122" s="19"/>
      <c r="K1122" s="19"/>
      <c r="L1122" s="14">
        <v>5055969</v>
      </c>
      <c r="M1122" s="22">
        <v>44994</v>
      </c>
      <c r="N1122" s="19" t="s">
        <v>197</v>
      </c>
      <c r="O1122" s="19" t="s">
        <v>333</v>
      </c>
      <c r="P1122" s="15">
        <v>224000</v>
      </c>
      <c r="Q1122" s="15">
        <v>3980591.44</v>
      </c>
      <c r="R1122" s="15">
        <v>87082900</v>
      </c>
      <c r="S1122" s="15">
        <v>15</v>
      </c>
      <c r="T1122" s="19" t="s">
        <v>318</v>
      </c>
      <c r="U1122" s="19" t="s">
        <v>178</v>
      </c>
      <c r="V1122" s="16">
        <f t="shared" si="213"/>
        <v>597088.71600000001</v>
      </c>
      <c r="W1122" s="16">
        <f t="shared" si="214"/>
        <v>59708.871600000006</v>
      </c>
      <c r="X1122" s="16">
        <f t="shared" si="215"/>
        <v>656797.58759999997</v>
      </c>
      <c r="Y1122" s="16">
        <f t="shared" si="216"/>
        <v>2.9321320874999999</v>
      </c>
      <c r="Z1122" s="16">
        <f t="shared" si="217"/>
        <v>17.770497500000001</v>
      </c>
      <c r="AA1122" s="17">
        <f t="shared" si="218"/>
        <v>224000</v>
      </c>
      <c r="AB1122" s="10">
        <v>6464</v>
      </c>
      <c r="AC1122" s="18">
        <f t="shared" si="219"/>
        <v>18953.301813599999</v>
      </c>
      <c r="AD1122" s="12">
        <f t="shared" si="222"/>
        <v>67232</v>
      </c>
      <c r="AE1122" s="13">
        <f t="shared" si="220"/>
        <v>156768</v>
      </c>
    </row>
    <row r="1123" spans="1:31">
      <c r="A1123" s="6">
        <v>7</v>
      </c>
      <c r="B1123" s="6">
        <f t="shared" si="221"/>
        <v>23</v>
      </c>
      <c r="C1123" s="6" t="str">
        <f t="shared" si="212"/>
        <v>560130122ASPRING, WIRE, COMPRESSIO K12A/AT495151045028300000</v>
      </c>
      <c r="D1123" s="7" t="s">
        <v>234</v>
      </c>
      <c r="E1123" s="6" t="s">
        <v>73</v>
      </c>
      <c r="F1123" s="6"/>
      <c r="G1123" s="7" t="s">
        <v>33</v>
      </c>
      <c r="H1123" s="19"/>
      <c r="I1123" s="19"/>
      <c r="J1123" s="19"/>
      <c r="K1123" s="19"/>
      <c r="L1123" s="14">
        <v>4951510</v>
      </c>
      <c r="M1123" s="22">
        <v>45028</v>
      </c>
      <c r="N1123" s="19" t="s">
        <v>199</v>
      </c>
      <c r="O1123" s="19" t="s">
        <v>332</v>
      </c>
      <c r="P1123" s="15">
        <v>300000</v>
      </c>
      <c r="Q1123" s="15">
        <v>285155.93</v>
      </c>
      <c r="R1123" s="15">
        <v>87082900</v>
      </c>
      <c r="S1123" s="15">
        <v>15</v>
      </c>
      <c r="T1123" s="19" t="s">
        <v>319</v>
      </c>
      <c r="U1123" s="19" t="s">
        <v>178</v>
      </c>
      <c r="V1123" s="16">
        <f t="shared" si="213"/>
        <v>42773.389499999997</v>
      </c>
      <c r="W1123" s="16">
        <f t="shared" si="214"/>
        <v>4277.3389500000003</v>
      </c>
      <c r="X1123" s="16">
        <f t="shared" si="215"/>
        <v>47050.728449999995</v>
      </c>
      <c r="Y1123" s="16">
        <f t="shared" si="216"/>
        <v>0.15683576149999998</v>
      </c>
      <c r="Z1123" s="16">
        <f t="shared" si="217"/>
        <v>0.9505197666666666</v>
      </c>
      <c r="AA1123" s="17">
        <f t="shared" si="218"/>
        <v>300000</v>
      </c>
      <c r="AB1123" s="10">
        <v>6464</v>
      </c>
      <c r="AC1123" s="18">
        <f t="shared" si="219"/>
        <v>1013.7863623359998</v>
      </c>
      <c r="AD1123" s="12">
        <f t="shared" si="222"/>
        <v>94048</v>
      </c>
      <c r="AE1123" s="13">
        <f t="shared" si="220"/>
        <v>205952</v>
      </c>
    </row>
    <row r="1124" spans="1:31">
      <c r="A1124" s="6">
        <v>7</v>
      </c>
      <c r="B1124" s="6">
        <f t="shared" si="221"/>
        <v>24</v>
      </c>
      <c r="C1124" s="6" t="str">
        <f t="shared" si="212"/>
        <v>560762022ALATCH, BUCKLE, K12 ROADM K12A/AT, SILVER, LATCH W54569304493980000</v>
      </c>
      <c r="D1124" s="7" t="s">
        <v>234</v>
      </c>
      <c r="E1124" s="6" t="s">
        <v>74</v>
      </c>
      <c r="F1124" s="6"/>
      <c r="G1124" s="7" t="s">
        <v>34</v>
      </c>
      <c r="H1124" s="19"/>
      <c r="I1124" s="19"/>
      <c r="J1124" s="19"/>
      <c r="K1124" s="19"/>
      <c r="L1124" s="14">
        <v>5456930</v>
      </c>
      <c r="M1124" s="22">
        <v>44939</v>
      </c>
      <c r="N1124" s="19" t="s">
        <v>185</v>
      </c>
      <c r="O1124" s="19" t="s">
        <v>332</v>
      </c>
      <c r="P1124" s="15">
        <v>80000</v>
      </c>
      <c r="Q1124" s="15">
        <v>680240</v>
      </c>
      <c r="R1124" s="15">
        <v>87082900</v>
      </c>
      <c r="S1124" s="15">
        <v>15</v>
      </c>
      <c r="T1124" s="19" t="s">
        <v>320</v>
      </c>
      <c r="U1124" s="19" t="s">
        <v>178</v>
      </c>
      <c r="V1124" s="16">
        <f t="shared" si="213"/>
        <v>102036</v>
      </c>
      <c r="W1124" s="16">
        <f t="shared" si="214"/>
        <v>10203.6</v>
      </c>
      <c r="X1124" s="16">
        <f t="shared" si="215"/>
        <v>112239.6</v>
      </c>
      <c r="Y1124" s="16">
        <f t="shared" si="216"/>
        <v>1.402995</v>
      </c>
      <c r="Z1124" s="16">
        <f t="shared" si="217"/>
        <v>8.5030000000000001</v>
      </c>
      <c r="AA1124" s="17">
        <f t="shared" si="218"/>
        <v>80000</v>
      </c>
      <c r="AB1124" s="10">
        <v>6464</v>
      </c>
      <c r="AC1124" s="18">
        <f t="shared" si="219"/>
        <v>9068.9596799999999</v>
      </c>
      <c r="AD1124" s="12">
        <f t="shared" si="222"/>
        <v>74976</v>
      </c>
      <c r="AE1124" s="13">
        <f t="shared" si="220"/>
        <v>5024</v>
      </c>
    </row>
    <row r="1125" spans="1:31">
      <c r="A1125" s="6">
        <v>7</v>
      </c>
      <c r="B1125" s="6">
        <f t="shared" si="221"/>
        <v>25</v>
      </c>
      <c r="C1125" s="6" t="str">
        <f t="shared" si="212"/>
        <v>604213200ALOCKING BAR, BUCKLE, K12 K12A/AT, L=34.3, silver415111844909306000</v>
      </c>
      <c r="D1125" s="7" t="s">
        <v>234</v>
      </c>
      <c r="E1125" s="6" t="s">
        <v>75</v>
      </c>
      <c r="F1125" s="6"/>
      <c r="G1125" s="7" t="s">
        <v>35</v>
      </c>
      <c r="H1125" s="19"/>
      <c r="I1125" s="19"/>
      <c r="J1125" s="19"/>
      <c r="K1125" s="19"/>
      <c r="L1125" s="14">
        <v>4151118</v>
      </c>
      <c r="M1125" s="22">
        <v>44909</v>
      </c>
      <c r="N1125" s="19" t="s">
        <v>199</v>
      </c>
      <c r="O1125" s="19" t="s">
        <v>332</v>
      </c>
      <c r="P1125" s="15">
        <v>306000</v>
      </c>
      <c r="Q1125" s="15">
        <v>347494.89</v>
      </c>
      <c r="R1125" s="15">
        <v>87082900</v>
      </c>
      <c r="S1125" s="15">
        <v>15</v>
      </c>
      <c r="T1125" s="19" t="s">
        <v>319</v>
      </c>
      <c r="U1125" s="19" t="s">
        <v>178</v>
      </c>
      <c r="V1125" s="16">
        <f t="shared" si="213"/>
        <v>52124.233500000002</v>
      </c>
      <c r="W1125" s="16">
        <f t="shared" si="214"/>
        <v>5212.4233500000009</v>
      </c>
      <c r="X1125" s="16">
        <f t="shared" si="215"/>
        <v>57336.656849999999</v>
      </c>
      <c r="Y1125" s="16">
        <f t="shared" si="216"/>
        <v>0.1873746955882353</v>
      </c>
      <c r="Z1125" s="16">
        <f t="shared" si="217"/>
        <v>1.1356042156862745</v>
      </c>
      <c r="AA1125" s="17">
        <f t="shared" si="218"/>
        <v>306000</v>
      </c>
      <c r="AB1125" s="10">
        <v>6464</v>
      </c>
      <c r="AC1125" s="18">
        <f t="shared" si="219"/>
        <v>1211.1900322823531</v>
      </c>
      <c r="AD1125" s="12">
        <f t="shared" si="222"/>
        <v>94048</v>
      </c>
      <c r="AE1125" s="13">
        <f t="shared" si="220"/>
        <v>211952</v>
      </c>
    </row>
    <row r="1126" spans="1:31">
      <c r="A1126" s="6">
        <v>7</v>
      </c>
      <c r="B1126" s="6">
        <f t="shared" si="221"/>
        <v>26</v>
      </c>
      <c r="C1126" s="6" t="str">
        <f t="shared" si="212"/>
        <v>NPB10271-ZKSCREW, SELF-TAPPING, MET OTHER, HEXALOBULAR INTER406701444998150000</v>
      </c>
      <c r="D1126" s="7" t="s">
        <v>234</v>
      </c>
      <c r="E1126" s="6" t="s">
        <v>76</v>
      </c>
      <c r="F1126" s="6"/>
      <c r="G1126" s="7" t="s">
        <v>36</v>
      </c>
      <c r="H1126" s="19"/>
      <c r="I1126" s="19"/>
      <c r="J1126" s="19"/>
      <c r="K1126" s="19"/>
      <c r="L1126" s="14">
        <v>4067014</v>
      </c>
      <c r="M1126" s="22">
        <v>44998</v>
      </c>
      <c r="N1126" s="19" t="s">
        <v>196</v>
      </c>
      <c r="O1126" s="19" t="s">
        <v>333</v>
      </c>
      <c r="P1126" s="15">
        <v>150000</v>
      </c>
      <c r="Q1126" s="15">
        <v>146157.25</v>
      </c>
      <c r="R1126" s="15">
        <v>87082900</v>
      </c>
      <c r="S1126" s="15">
        <v>15</v>
      </c>
      <c r="T1126" s="19" t="s">
        <v>321</v>
      </c>
      <c r="U1126" s="19" t="s">
        <v>178</v>
      </c>
      <c r="V1126" s="16">
        <f t="shared" si="213"/>
        <v>21923.587499999998</v>
      </c>
      <c r="W1126" s="16">
        <f t="shared" si="214"/>
        <v>2192.3587499999999</v>
      </c>
      <c r="X1126" s="16">
        <f t="shared" si="215"/>
        <v>24115.946249999997</v>
      </c>
      <c r="Y1126" s="16">
        <f t="shared" si="216"/>
        <v>0.16077297499999998</v>
      </c>
      <c r="Z1126" s="16">
        <f t="shared" si="217"/>
        <v>0.9743816666666667</v>
      </c>
      <c r="AA1126" s="17">
        <f t="shared" si="218"/>
        <v>150000</v>
      </c>
      <c r="AB1126" s="10">
        <v>12928</v>
      </c>
      <c r="AC1126" s="18">
        <f t="shared" si="219"/>
        <v>2078.4730207999996</v>
      </c>
      <c r="AD1126" s="12">
        <f t="shared" si="222"/>
        <v>149952</v>
      </c>
      <c r="AE1126" s="13">
        <f t="shared" si="220"/>
        <v>48</v>
      </c>
    </row>
    <row r="1127" spans="1:31">
      <c r="A1127" s="6">
        <v>7</v>
      </c>
      <c r="B1127" s="6">
        <f t="shared" si="221"/>
        <v>27</v>
      </c>
      <c r="C1127" s="6" t="str">
        <f t="shared" si="212"/>
        <v>NWB2834WASHER, WAVED 69498204512640000</v>
      </c>
      <c r="D1127" s="7" t="s">
        <v>234</v>
      </c>
      <c r="E1127" s="6" t="s">
        <v>77</v>
      </c>
      <c r="F1127" s="6"/>
      <c r="G1127" s="7" t="s">
        <v>37</v>
      </c>
      <c r="H1127" s="19"/>
      <c r="I1127" s="19"/>
      <c r="J1127" s="19"/>
      <c r="K1127" s="19"/>
      <c r="L1127" s="14">
        <v>6949820</v>
      </c>
      <c r="M1127" s="22">
        <v>45126</v>
      </c>
      <c r="N1127" s="19" t="s">
        <v>196</v>
      </c>
      <c r="O1127" s="19" t="s">
        <v>333</v>
      </c>
      <c r="P1127" s="15">
        <v>40000</v>
      </c>
      <c r="Q1127" s="15">
        <v>70563.69</v>
      </c>
      <c r="R1127" s="15">
        <v>87082900</v>
      </c>
      <c r="S1127" s="15">
        <v>15</v>
      </c>
      <c r="T1127" s="19" t="s">
        <v>207</v>
      </c>
      <c r="U1127" s="19" t="s">
        <v>178</v>
      </c>
      <c r="V1127" s="16">
        <f t="shared" si="213"/>
        <v>10584.5535</v>
      </c>
      <c r="W1127" s="16">
        <f t="shared" si="214"/>
        <v>1058.45535</v>
      </c>
      <c r="X1127" s="16">
        <f t="shared" si="215"/>
        <v>11643.00885</v>
      </c>
      <c r="Y1127" s="16">
        <f t="shared" si="216"/>
        <v>0.29107522125000002</v>
      </c>
      <c r="Z1127" s="16">
        <f t="shared" si="217"/>
        <v>1.76409225</v>
      </c>
      <c r="AA1127" s="17">
        <f t="shared" si="218"/>
        <v>40000</v>
      </c>
      <c r="AB1127" s="10">
        <v>6464</v>
      </c>
      <c r="AC1127" s="18">
        <f t="shared" si="219"/>
        <v>1881.51023016</v>
      </c>
      <c r="AD1127" s="12">
        <f t="shared" si="222"/>
        <v>36128</v>
      </c>
      <c r="AE1127" s="13">
        <f t="shared" si="220"/>
        <v>3872</v>
      </c>
    </row>
    <row r="1128" spans="1:31">
      <c r="A1128" s="6">
        <v>7</v>
      </c>
      <c r="B1128" s="6">
        <f t="shared" si="221"/>
        <v>28</v>
      </c>
      <c r="C1128" s="6" t="str">
        <f t="shared" si="212"/>
        <v>566305721BSPRING, SHEET, LEAF, RET ALL VERSIONS, WS ECE4742807449445000</v>
      </c>
      <c r="D1128" s="7" t="s">
        <v>234</v>
      </c>
      <c r="E1128" s="6" t="s">
        <v>59</v>
      </c>
      <c r="F1128" s="6"/>
      <c r="G1128" s="7" t="s">
        <v>19</v>
      </c>
      <c r="H1128" s="19"/>
      <c r="I1128" s="19"/>
      <c r="J1128" s="19"/>
      <c r="K1128" s="19"/>
      <c r="L1128" s="14">
        <v>4742807</v>
      </c>
      <c r="M1128" s="22">
        <v>44944</v>
      </c>
      <c r="N1128" s="19" t="s">
        <v>196</v>
      </c>
      <c r="O1128" s="19" t="s">
        <v>337</v>
      </c>
      <c r="P1128" s="15">
        <v>5000</v>
      </c>
      <c r="Q1128" s="15">
        <v>143362.42000000001</v>
      </c>
      <c r="R1128" s="15">
        <v>87082900</v>
      </c>
      <c r="S1128" s="15">
        <v>15</v>
      </c>
      <c r="T1128" s="19" t="s">
        <v>309</v>
      </c>
      <c r="U1128" s="19" t="s">
        <v>178</v>
      </c>
      <c r="V1128" s="16">
        <f t="shared" si="213"/>
        <v>21504.363000000001</v>
      </c>
      <c r="W1128" s="16">
        <f t="shared" si="214"/>
        <v>2150.4363000000003</v>
      </c>
      <c r="X1128" s="16">
        <f t="shared" si="215"/>
        <v>23654.799300000002</v>
      </c>
      <c r="Y1128" s="16">
        <f t="shared" si="216"/>
        <v>4.7309598600000005</v>
      </c>
      <c r="Z1128" s="16">
        <f t="shared" si="217"/>
        <v>28.672484000000004</v>
      </c>
      <c r="AA1128" s="17">
        <f t="shared" si="218"/>
        <v>5000</v>
      </c>
      <c r="AB1128" s="10">
        <v>108.12</v>
      </c>
      <c r="AC1128" s="18">
        <f t="shared" si="219"/>
        <v>511.51138006320008</v>
      </c>
      <c r="AD1128" s="12">
        <f t="shared" si="222"/>
        <v>1540.98</v>
      </c>
      <c r="AE1128" s="13">
        <v>0</v>
      </c>
    </row>
    <row r="1129" spans="1:31">
      <c r="A1129" s="6">
        <v>7</v>
      </c>
      <c r="B1129" s="6">
        <f t="shared" si="221"/>
        <v>29</v>
      </c>
      <c r="C1129" s="6" t="str">
        <f t="shared" si="212"/>
        <v>615795701BPILLAR LOOP, OVERMOULDED LIGHT GRAY, STD, WITH CA5569844450342328</v>
      </c>
      <c r="D1129" s="7" t="s">
        <v>234</v>
      </c>
      <c r="E1129" s="6" t="s">
        <v>67</v>
      </c>
      <c r="F1129" s="6"/>
      <c r="G1129" s="7" t="s">
        <v>27</v>
      </c>
      <c r="H1129" s="19"/>
      <c r="I1129" s="19"/>
      <c r="J1129" s="19"/>
      <c r="K1129" s="19"/>
      <c r="L1129" s="14">
        <v>5569844</v>
      </c>
      <c r="M1129" s="22">
        <v>45034</v>
      </c>
      <c r="N1129" s="19" t="s">
        <v>196</v>
      </c>
      <c r="O1129" s="19" t="s">
        <v>333</v>
      </c>
      <c r="P1129" s="15">
        <v>2328</v>
      </c>
      <c r="Q1129" s="15">
        <v>254544.89</v>
      </c>
      <c r="R1129" s="15">
        <v>87082900</v>
      </c>
      <c r="S1129" s="15">
        <v>15</v>
      </c>
      <c r="T1129" s="19" t="s">
        <v>322</v>
      </c>
      <c r="U1129" s="19" t="s">
        <v>178</v>
      </c>
      <c r="V1129" s="16">
        <f t="shared" si="213"/>
        <v>38181.733500000002</v>
      </c>
      <c r="W1129" s="16">
        <f t="shared" si="214"/>
        <v>3818.1733500000005</v>
      </c>
      <c r="X1129" s="16">
        <f t="shared" si="215"/>
        <v>41999.906849999999</v>
      </c>
      <c r="Y1129" s="16">
        <f t="shared" si="216"/>
        <v>18.041197100515465</v>
      </c>
      <c r="Z1129" s="16">
        <f t="shared" si="217"/>
        <v>109.34058848797251</v>
      </c>
      <c r="AA1129" s="17">
        <f t="shared" si="218"/>
        <v>2328</v>
      </c>
      <c r="AB1129" s="10">
        <v>2328</v>
      </c>
      <c r="AC1129" s="18">
        <f t="shared" si="219"/>
        <v>41999.906849999999</v>
      </c>
      <c r="AD1129" s="12">
        <f t="shared" si="222"/>
        <v>2328</v>
      </c>
      <c r="AE1129" s="13">
        <f t="shared" si="220"/>
        <v>0</v>
      </c>
    </row>
    <row r="1130" spans="1:31">
      <c r="A1130" s="6">
        <v>7</v>
      </c>
      <c r="B1130" s="6">
        <f t="shared" si="221"/>
        <v>30</v>
      </c>
      <c r="C1130" s="6" t="str">
        <f t="shared" si="212"/>
        <v>632154400AADHESIVE, PAD 48354474498520000</v>
      </c>
      <c r="D1130" s="7" t="s">
        <v>234</v>
      </c>
      <c r="E1130" s="6" t="s">
        <v>79</v>
      </c>
      <c r="F1130" s="6"/>
      <c r="G1130" s="7" t="s">
        <v>39</v>
      </c>
      <c r="H1130" s="19"/>
      <c r="I1130" s="19"/>
      <c r="J1130" s="19"/>
      <c r="K1130" s="19"/>
      <c r="L1130" s="14">
        <v>4835447</v>
      </c>
      <c r="M1130" s="22">
        <v>44985</v>
      </c>
      <c r="N1130" s="19" t="s">
        <v>196</v>
      </c>
      <c r="O1130" s="19" t="s">
        <v>333</v>
      </c>
      <c r="P1130" s="15">
        <v>20000</v>
      </c>
      <c r="Q1130" s="15">
        <v>70260</v>
      </c>
      <c r="R1130" s="15">
        <v>87082900</v>
      </c>
      <c r="S1130" s="15">
        <v>15</v>
      </c>
      <c r="T1130" s="19" t="s">
        <v>201</v>
      </c>
      <c r="U1130" s="19" t="s">
        <v>178</v>
      </c>
      <c r="V1130" s="16">
        <f t="shared" si="213"/>
        <v>10539</v>
      </c>
      <c r="W1130" s="16">
        <f t="shared" si="214"/>
        <v>1053.9000000000001</v>
      </c>
      <c r="X1130" s="16">
        <f t="shared" si="215"/>
        <v>11592.9</v>
      </c>
      <c r="Y1130" s="16">
        <f t="shared" si="216"/>
        <v>0.57964499999999997</v>
      </c>
      <c r="Z1130" s="16">
        <f t="shared" si="217"/>
        <v>3.5129999999999999</v>
      </c>
      <c r="AA1130" s="17">
        <f t="shared" si="218"/>
        <v>20000</v>
      </c>
      <c r="AB1130" s="10">
        <v>6360</v>
      </c>
      <c r="AC1130" s="18">
        <f t="shared" si="219"/>
        <v>3686.5421999999999</v>
      </c>
      <c r="AD1130" s="12">
        <f t="shared" si="222"/>
        <v>17952</v>
      </c>
      <c r="AE1130" s="13">
        <f t="shared" si="220"/>
        <v>2048</v>
      </c>
    </row>
    <row r="1131" spans="1:31">
      <c r="A1131" s="6">
        <v>7</v>
      </c>
      <c r="B1131" s="6">
        <f t="shared" si="221"/>
        <v>31</v>
      </c>
      <c r="C1131" s="6" t="str">
        <f t="shared" si="212"/>
        <v>603171100BTAPE, ADHESIVE, TERAOKA TERAOKA NO.560S 265725514510150000</v>
      </c>
      <c r="D1131" s="7" t="s">
        <v>234</v>
      </c>
      <c r="E1131" s="6" t="s">
        <v>50</v>
      </c>
      <c r="F1131" s="6"/>
      <c r="G1131" s="7" t="s">
        <v>12</v>
      </c>
      <c r="H1131" s="19"/>
      <c r="I1131" s="19"/>
      <c r="J1131" s="19"/>
      <c r="K1131" s="19"/>
      <c r="L1131" s="14">
        <v>6572551</v>
      </c>
      <c r="M1131" s="22">
        <v>45101</v>
      </c>
      <c r="N1131" s="19" t="s">
        <v>196</v>
      </c>
      <c r="O1131" s="19" t="s">
        <v>333</v>
      </c>
      <c r="P1131" s="15">
        <v>50000</v>
      </c>
      <c r="Q1131" s="15">
        <v>313708.49</v>
      </c>
      <c r="R1131" s="15">
        <v>87082900</v>
      </c>
      <c r="S1131" s="15">
        <v>15</v>
      </c>
      <c r="T1131" s="19" t="s">
        <v>323</v>
      </c>
      <c r="U1131" s="19" t="s">
        <v>178</v>
      </c>
      <c r="V1131" s="16">
        <f t="shared" si="213"/>
        <v>47056.273499999996</v>
      </c>
      <c r="W1131" s="16">
        <f t="shared" si="214"/>
        <v>4705.6273499999998</v>
      </c>
      <c r="X1131" s="16">
        <f t="shared" si="215"/>
        <v>51761.900849999998</v>
      </c>
      <c r="Y1131" s="16">
        <f t="shared" si="216"/>
        <v>1.035238017</v>
      </c>
      <c r="Z1131" s="16">
        <f t="shared" si="217"/>
        <v>6.2741698000000001</v>
      </c>
      <c r="AA1131" s="17">
        <f t="shared" si="218"/>
        <v>50000</v>
      </c>
      <c r="AB1131" s="10">
        <v>202.8</v>
      </c>
      <c r="AC1131" s="18">
        <f t="shared" si="219"/>
        <v>209.94626984760001</v>
      </c>
      <c r="AD1131" s="12">
        <f t="shared" si="222"/>
        <v>970.40000000000009</v>
      </c>
      <c r="AE1131" s="13">
        <f t="shared" si="220"/>
        <v>49029.599999999999</v>
      </c>
    </row>
    <row r="1132" spans="1:31">
      <c r="A1132" s="6">
        <v>7</v>
      </c>
      <c r="B1132" s="6">
        <f t="shared" si="221"/>
        <v>32</v>
      </c>
      <c r="C1132" s="6" t="str">
        <f t="shared" si="212"/>
        <v>649421100AINFLATOR, ASP-5.1, P20, SRR, IMI, SERV, NO STUDS4359111449525184</v>
      </c>
      <c r="D1132" s="7" t="s">
        <v>234</v>
      </c>
      <c r="E1132" s="6" t="s">
        <v>469</v>
      </c>
      <c r="F1132" s="6"/>
      <c r="G1132" s="7" t="s">
        <v>16</v>
      </c>
      <c r="H1132" s="19"/>
      <c r="I1132" s="19"/>
      <c r="J1132" s="19"/>
      <c r="K1132" s="19"/>
      <c r="L1132" s="14" t="s">
        <v>83</v>
      </c>
      <c r="M1132" s="22">
        <v>44952</v>
      </c>
      <c r="N1132" s="19" t="e">
        <v>#N/A</v>
      </c>
      <c r="O1132" s="19" t="e">
        <v>#N/A</v>
      </c>
      <c r="P1132" s="15">
        <v>5184</v>
      </c>
      <c r="Q1132" s="15">
        <v>990685.13</v>
      </c>
      <c r="R1132" s="15" t="e">
        <v>#N/A</v>
      </c>
      <c r="S1132" s="15">
        <v>15</v>
      </c>
      <c r="T1132" s="19" t="e">
        <v>#N/A</v>
      </c>
      <c r="U1132" s="19" t="e">
        <v>#N/A</v>
      </c>
      <c r="V1132" s="16">
        <f t="shared" si="213"/>
        <v>148602.76949999999</v>
      </c>
      <c r="W1132" s="16">
        <f t="shared" si="214"/>
        <v>14860.276949999999</v>
      </c>
      <c r="X1132" s="16">
        <f t="shared" si="215"/>
        <v>163463.04644999999</v>
      </c>
      <c r="Y1132" s="16">
        <f t="shared" si="216"/>
        <v>31.532223466435184</v>
      </c>
      <c r="Z1132" s="16">
        <f t="shared" si="217"/>
        <v>191.10438464506174</v>
      </c>
      <c r="AA1132" s="17">
        <f t="shared" si="218"/>
        <v>5184</v>
      </c>
      <c r="AB1132" s="10">
        <v>24</v>
      </c>
      <c r="AC1132" s="18">
        <f t="shared" si="219"/>
        <v>756.77336319444441</v>
      </c>
      <c r="AD1132" s="12">
        <f t="shared" si="222"/>
        <v>5184</v>
      </c>
      <c r="AE1132" s="13">
        <f t="shared" si="220"/>
        <v>0</v>
      </c>
    </row>
    <row r="1133" spans="1:31">
      <c r="A1133" s="6">
        <v>7</v>
      </c>
      <c r="B1133" s="6">
        <f t="shared" si="221"/>
        <v>33</v>
      </c>
      <c r="C1133" s="6" t="str">
        <f t="shared" si="212"/>
        <v>653328100ACUSHION, C AND S, SIDE, LH, BUTTON HOLE STYLE, S7245128451467000</v>
      </c>
      <c r="D1133" s="7" t="s">
        <v>234</v>
      </c>
      <c r="E1133" s="6" t="s">
        <v>53</v>
      </c>
      <c r="F1133" s="6"/>
      <c r="G1133" s="19" t="s">
        <v>13</v>
      </c>
      <c r="H1133" s="19"/>
      <c r="I1133" s="19"/>
      <c r="J1133" s="19"/>
      <c r="K1133" s="19"/>
      <c r="L1133" s="14">
        <v>7245128</v>
      </c>
      <c r="M1133" s="22">
        <v>45146</v>
      </c>
      <c r="N1133" s="19" t="s">
        <v>197</v>
      </c>
      <c r="O1133" s="19" t="s">
        <v>333</v>
      </c>
      <c r="P1133" s="15">
        <v>7000</v>
      </c>
      <c r="Q1133" s="15">
        <v>6028305.8899999997</v>
      </c>
      <c r="R1133" s="15">
        <v>87089500</v>
      </c>
      <c r="S1133" s="15">
        <v>5</v>
      </c>
      <c r="T1133" s="19" t="s">
        <v>204</v>
      </c>
      <c r="U1133" s="19" t="s">
        <v>178</v>
      </c>
      <c r="V1133" s="16">
        <f t="shared" si="213"/>
        <v>301415.29450000002</v>
      </c>
      <c r="W1133" s="16">
        <f t="shared" si="214"/>
        <v>30141.529450000002</v>
      </c>
      <c r="X1133" s="16">
        <f t="shared" si="215"/>
        <v>331556.82394999999</v>
      </c>
      <c r="Y1133" s="16">
        <f t="shared" si="216"/>
        <v>47.365260564285713</v>
      </c>
      <c r="Z1133" s="16">
        <f t="shared" si="217"/>
        <v>861.18655571428565</v>
      </c>
      <c r="AA1133" s="17">
        <f t="shared" si="218"/>
        <v>7000</v>
      </c>
      <c r="AB1133" s="10">
        <v>1536</v>
      </c>
      <c r="AC1133" s="18">
        <f t="shared" si="219"/>
        <v>72753.040226742858</v>
      </c>
      <c r="AD1133" s="12">
        <f t="shared" si="222"/>
        <v>4568</v>
      </c>
      <c r="AE1133" s="13">
        <f t="shared" si="220"/>
        <v>2432</v>
      </c>
    </row>
    <row r="1134" spans="1:31">
      <c r="A1134" s="6">
        <v>7</v>
      </c>
      <c r="B1134" s="6">
        <f t="shared" si="221"/>
        <v>34</v>
      </c>
      <c r="C1134" s="6" t="str">
        <f t="shared" si="212"/>
        <v>632955901AINFLATORS, APP-4.6 73007354514912960</v>
      </c>
      <c r="D1134" s="7" t="s">
        <v>234</v>
      </c>
      <c r="E1134" s="6" t="s">
        <v>48</v>
      </c>
      <c r="F1134" s="6"/>
      <c r="G1134" s="7" t="s">
        <v>10</v>
      </c>
      <c r="H1134" s="19"/>
      <c r="I1134" s="19"/>
      <c r="J1134" s="19"/>
      <c r="K1134" s="19"/>
      <c r="L1134" s="14">
        <v>7300735</v>
      </c>
      <c r="M1134" s="22">
        <v>45149</v>
      </c>
      <c r="N1134" s="19" t="s">
        <v>197</v>
      </c>
      <c r="O1134" s="19" t="s">
        <v>333</v>
      </c>
      <c r="P1134" s="15">
        <v>12960</v>
      </c>
      <c r="Q1134" s="15">
        <v>5726355.8700000001</v>
      </c>
      <c r="R1134" s="15">
        <v>87089500</v>
      </c>
      <c r="S1134" s="15">
        <v>15</v>
      </c>
      <c r="T1134" s="19" t="s">
        <v>202</v>
      </c>
      <c r="U1134" s="19" t="s">
        <v>200</v>
      </c>
      <c r="V1134" s="16">
        <f t="shared" si="213"/>
        <v>858953.38049999997</v>
      </c>
      <c r="W1134" s="16">
        <f t="shared" si="214"/>
        <v>85895.338050000006</v>
      </c>
      <c r="X1134" s="16">
        <f t="shared" si="215"/>
        <v>944848.71854999999</v>
      </c>
      <c r="Y1134" s="16">
        <f t="shared" si="216"/>
        <v>72.904993715277783</v>
      </c>
      <c r="Z1134" s="16">
        <f t="shared" si="217"/>
        <v>441.84844675925928</v>
      </c>
      <c r="AA1134" s="17">
        <f t="shared" si="218"/>
        <v>12960</v>
      </c>
      <c r="AB1134" s="10">
        <v>3528</v>
      </c>
      <c r="AC1134" s="18">
        <f t="shared" si="219"/>
        <v>257208.81782750002</v>
      </c>
      <c r="AD1134" s="12">
        <f t="shared" si="222"/>
        <v>12312</v>
      </c>
      <c r="AE1134" s="13">
        <f t="shared" si="220"/>
        <v>648</v>
      </c>
    </row>
    <row r="1135" spans="1:31">
      <c r="A1135" s="6">
        <v>7</v>
      </c>
      <c r="B1135" s="6">
        <f t="shared" si="221"/>
        <v>35</v>
      </c>
      <c r="C1135" s="6" t="str">
        <f t="shared" si="212"/>
        <v>619591801AINFLATOR, ASP-2, GEN15, MRR, STD COOL, UC, W STU5926701450583456</v>
      </c>
      <c r="D1135" s="7" t="s">
        <v>234</v>
      </c>
      <c r="E1135" s="6" t="s">
        <v>55</v>
      </c>
      <c r="F1135" s="6"/>
      <c r="G1135" s="19" t="s">
        <v>15</v>
      </c>
      <c r="H1135" s="19"/>
      <c r="I1135" s="19"/>
      <c r="J1135" s="19"/>
      <c r="K1135" s="19"/>
      <c r="L1135" s="14">
        <v>5926701</v>
      </c>
      <c r="M1135" s="22">
        <v>45058</v>
      </c>
      <c r="N1135" s="19" t="s">
        <v>197</v>
      </c>
      <c r="O1135" s="19" t="s">
        <v>333</v>
      </c>
      <c r="P1135" s="15">
        <v>3456</v>
      </c>
      <c r="Q1135" s="15">
        <v>920152.3</v>
      </c>
      <c r="R1135" s="15">
        <v>87089500</v>
      </c>
      <c r="S1135" s="15">
        <v>15</v>
      </c>
      <c r="T1135" s="19" t="s">
        <v>202</v>
      </c>
      <c r="U1135" s="19" t="s">
        <v>200</v>
      </c>
      <c r="V1135" s="16">
        <f t="shared" si="213"/>
        <v>138022.845</v>
      </c>
      <c r="W1135" s="16">
        <f t="shared" si="214"/>
        <v>13802.284500000002</v>
      </c>
      <c r="X1135" s="16">
        <f t="shared" si="215"/>
        <v>151825.12950000001</v>
      </c>
      <c r="Y1135" s="16">
        <f t="shared" si="216"/>
        <v>43.930882378472226</v>
      </c>
      <c r="Z1135" s="16">
        <f t="shared" si="217"/>
        <v>266.24777199074077</v>
      </c>
      <c r="AA1135" s="17">
        <f t="shared" si="218"/>
        <v>3456</v>
      </c>
      <c r="AB1135" s="10">
        <v>0</v>
      </c>
      <c r="AC1135" s="18">
        <f t="shared" si="219"/>
        <v>0</v>
      </c>
      <c r="AD1135" s="12">
        <f t="shared" si="222"/>
        <v>1824</v>
      </c>
      <c r="AE1135" s="13">
        <f t="shared" si="220"/>
        <v>1632</v>
      </c>
    </row>
    <row r="1136" spans="1:31">
      <c r="A1136" s="6">
        <v>7</v>
      </c>
      <c r="B1136" s="6">
        <f t="shared" si="221"/>
        <v>36</v>
      </c>
      <c r="C1136" s="6" t="str">
        <f t="shared" si="212"/>
        <v>654590600ASU2ID STD CUSHION COMPON CVR NON-WOVEN RH8495606452266300</v>
      </c>
      <c r="D1136" s="7" t="s">
        <v>234</v>
      </c>
      <c r="E1136" s="6" t="s">
        <v>78</v>
      </c>
      <c r="F1136" s="6"/>
      <c r="G1136" s="7" t="s">
        <v>38</v>
      </c>
      <c r="H1136" s="19"/>
      <c r="I1136" s="19"/>
      <c r="J1136" s="19"/>
      <c r="K1136" s="19"/>
      <c r="L1136" s="14">
        <v>8495606</v>
      </c>
      <c r="M1136" s="22">
        <v>45226</v>
      </c>
      <c r="N1136" s="19" t="s">
        <v>185</v>
      </c>
      <c r="O1136" s="19" t="s">
        <v>333</v>
      </c>
      <c r="P1136" s="15">
        <v>6300</v>
      </c>
      <c r="Q1136" s="15">
        <v>79993.72</v>
      </c>
      <c r="R1136" s="15">
        <v>87089500</v>
      </c>
      <c r="S1136" s="15">
        <v>5</v>
      </c>
      <c r="T1136" s="19" t="s">
        <v>340</v>
      </c>
      <c r="U1136" s="19" t="s">
        <v>178</v>
      </c>
      <c r="V1136" s="16">
        <f t="shared" si="213"/>
        <v>3999.6860000000001</v>
      </c>
      <c r="W1136" s="16">
        <f t="shared" si="214"/>
        <v>399.96860000000004</v>
      </c>
      <c r="X1136" s="16">
        <f t="shared" si="215"/>
        <v>4399.6545999999998</v>
      </c>
      <c r="Y1136" s="16">
        <f t="shared" si="216"/>
        <v>0.69835787301587304</v>
      </c>
      <c r="Z1136" s="16">
        <f t="shared" si="217"/>
        <v>12.697415873015872</v>
      </c>
      <c r="AA1136" s="17">
        <f t="shared" si="218"/>
        <v>6300</v>
      </c>
      <c r="AB1136" s="10">
        <v>4476</v>
      </c>
      <c r="AC1136" s="18">
        <f t="shared" si="219"/>
        <v>3125.8498396190475</v>
      </c>
      <c r="AD1136" s="12">
        <f t="shared" si="222"/>
        <v>5856</v>
      </c>
      <c r="AE1136" s="13">
        <f t="shared" si="220"/>
        <v>444</v>
      </c>
    </row>
    <row r="1137" spans="1:31">
      <c r="A1137" s="6">
        <v>7</v>
      </c>
      <c r="B1137" s="6">
        <f t="shared" si="221"/>
        <v>37</v>
      </c>
      <c r="C1137" s="6" t="str">
        <f t="shared" si="212"/>
        <v>654590600ASU2ID STD CUSHION COMPON CVR NON-WOVEN RH4050877449311800</v>
      </c>
      <c r="D1137" s="7" t="s">
        <v>234</v>
      </c>
      <c r="E1137" s="6" t="s">
        <v>78</v>
      </c>
      <c r="F1137" s="6"/>
      <c r="G1137" s="7" t="s">
        <v>38</v>
      </c>
      <c r="H1137" s="19"/>
      <c r="I1137" s="19"/>
      <c r="J1137" s="19"/>
      <c r="K1137" s="19"/>
      <c r="L1137" s="14">
        <v>4050877</v>
      </c>
      <c r="M1137" s="22">
        <v>44931</v>
      </c>
      <c r="N1137" s="19" t="s">
        <v>196</v>
      </c>
      <c r="O1137" s="19" t="s">
        <v>333</v>
      </c>
      <c r="P1137" s="15">
        <v>1800</v>
      </c>
      <c r="Q1137" s="15">
        <v>24960.39</v>
      </c>
      <c r="R1137" s="15">
        <v>87089500</v>
      </c>
      <c r="S1137" s="15">
        <v>15</v>
      </c>
      <c r="T1137" s="19" t="s">
        <v>338</v>
      </c>
      <c r="U1137" s="19" t="s">
        <v>178</v>
      </c>
      <c r="V1137" s="16">
        <f t="shared" si="213"/>
        <v>3744.0584999999996</v>
      </c>
      <c r="W1137" s="16">
        <f t="shared" si="214"/>
        <v>374.40584999999999</v>
      </c>
      <c r="X1137" s="16">
        <f t="shared" si="215"/>
        <v>4118.4643499999993</v>
      </c>
      <c r="Y1137" s="16">
        <f t="shared" si="216"/>
        <v>2.2880357499999997</v>
      </c>
      <c r="Z1137" s="16">
        <f t="shared" si="217"/>
        <v>13.866883333333334</v>
      </c>
      <c r="AA1137" s="17">
        <f t="shared" si="218"/>
        <v>1800</v>
      </c>
      <c r="AB1137" s="10">
        <v>996</v>
      </c>
      <c r="AC1137" s="18">
        <f t="shared" si="219"/>
        <v>2278.8836069999998</v>
      </c>
      <c r="AD1137" s="12">
        <f t="shared" si="222"/>
        <v>1800</v>
      </c>
      <c r="AE1137" s="13">
        <f t="shared" si="220"/>
        <v>0</v>
      </c>
    </row>
    <row r="1138" spans="1:31">
      <c r="A1138" s="6">
        <v>7</v>
      </c>
      <c r="B1138" s="6">
        <f t="shared" si="221"/>
        <v>38</v>
      </c>
      <c r="C1138" s="6" t="str">
        <f t="shared" si="212"/>
        <v>655226900AINFLATOR APP-4.6, 325KPA 1.8MOL, STANDARD MIB SQU3855694449172592</v>
      </c>
      <c r="D1138" s="7" t="s">
        <v>234</v>
      </c>
      <c r="E1138" s="6" t="s">
        <v>130</v>
      </c>
      <c r="F1138" s="6"/>
      <c r="G1138" s="7" t="s">
        <v>102</v>
      </c>
      <c r="H1138" s="19"/>
      <c r="I1138" s="19"/>
      <c r="J1138" s="19"/>
      <c r="K1138" s="19"/>
      <c r="L1138" s="14">
        <v>3855694</v>
      </c>
      <c r="M1138" s="22">
        <v>44917</v>
      </c>
      <c r="N1138" s="19" t="s">
        <v>185</v>
      </c>
      <c r="O1138" s="19" t="s">
        <v>332</v>
      </c>
      <c r="P1138" s="15">
        <v>2592</v>
      </c>
      <c r="Q1138" s="15">
        <v>1002657.31</v>
      </c>
      <c r="R1138" s="15">
        <v>87089500</v>
      </c>
      <c r="S1138" s="15">
        <v>15</v>
      </c>
      <c r="T1138" s="19" t="s">
        <v>203</v>
      </c>
      <c r="U1138" s="19" t="s">
        <v>200</v>
      </c>
      <c r="V1138" s="16">
        <f t="shared" si="213"/>
        <v>150398.59650000001</v>
      </c>
      <c r="W1138" s="16">
        <f t="shared" si="214"/>
        <v>15039.859650000002</v>
      </c>
      <c r="X1138" s="16">
        <f t="shared" si="215"/>
        <v>165438.45615000001</v>
      </c>
      <c r="Y1138" s="16">
        <f t="shared" si="216"/>
        <v>63.826564872685189</v>
      </c>
      <c r="Z1138" s="16">
        <f t="shared" si="217"/>
        <v>386.82766589506173</v>
      </c>
      <c r="AA1138" s="17">
        <f t="shared" si="218"/>
        <v>2592</v>
      </c>
      <c r="AB1138" s="10">
        <v>504</v>
      </c>
      <c r="AC1138" s="18">
        <f t="shared" si="219"/>
        <v>32168.588695833336</v>
      </c>
      <c r="AD1138" s="12">
        <f t="shared" si="222"/>
        <v>2394</v>
      </c>
      <c r="AE1138" s="13">
        <f t="shared" si="220"/>
        <v>198</v>
      </c>
    </row>
    <row r="1139" spans="1:31">
      <c r="A1139" s="6">
        <v>7</v>
      </c>
      <c r="B1139" s="6">
        <f t="shared" si="221"/>
        <v>39</v>
      </c>
      <c r="C1139" s="6" t="str">
        <f t="shared" si="212"/>
        <v>625090202BTAPE, IC, CONTINUOUS, 13.0 MM., PET 3M 842151919694501035100</v>
      </c>
      <c r="D1139" s="7" t="s">
        <v>234</v>
      </c>
      <c r="E1139" s="6" t="s">
        <v>128</v>
      </c>
      <c r="F1139" s="6"/>
      <c r="G1139" s="19" t="s">
        <v>103</v>
      </c>
      <c r="H1139" s="19"/>
      <c r="I1139" s="19"/>
      <c r="J1139" s="19"/>
      <c r="K1139" s="19"/>
      <c r="L1139" s="14" t="s">
        <v>112</v>
      </c>
      <c r="M1139" s="22">
        <v>45010</v>
      </c>
      <c r="N1139" s="19" t="e">
        <v>#N/A</v>
      </c>
      <c r="O1139" s="19" t="e">
        <v>#N/A</v>
      </c>
      <c r="P1139" s="15">
        <v>35100</v>
      </c>
      <c r="Q1139" s="15">
        <v>408622.77</v>
      </c>
      <c r="R1139" s="15" t="e">
        <v>#N/A</v>
      </c>
      <c r="S1139" s="15">
        <v>15</v>
      </c>
      <c r="T1139" s="19" t="e">
        <v>#N/A</v>
      </c>
      <c r="U1139" s="19" t="e">
        <v>#N/A</v>
      </c>
      <c r="V1139" s="16">
        <f t="shared" si="213"/>
        <v>61293.415500000003</v>
      </c>
      <c r="W1139" s="16">
        <f t="shared" si="214"/>
        <v>6129.341550000001</v>
      </c>
      <c r="X1139" s="16">
        <f t="shared" si="215"/>
        <v>67422.75705</v>
      </c>
      <c r="Y1139" s="16">
        <f t="shared" si="216"/>
        <v>1.9208762692307693</v>
      </c>
      <c r="Z1139" s="16">
        <f t="shared" si="217"/>
        <v>11.64167435897436</v>
      </c>
      <c r="AA1139" s="17">
        <f t="shared" si="218"/>
        <v>35100</v>
      </c>
      <c r="AB1139" s="10">
        <v>364</v>
      </c>
      <c r="AC1139" s="18">
        <f>AB1139*Y1139</f>
        <v>699.19896200000005</v>
      </c>
      <c r="AD1139" s="12">
        <f t="shared" si="222"/>
        <v>539.68000000000006</v>
      </c>
      <c r="AE1139" s="13">
        <f t="shared" si="220"/>
        <v>34560.32</v>
      </c>
    </row>
    <row r="1140" spans="1:31">
      <c r="A1140" s="6">
        <v>7</v>
      </c>
      <c r="B1140" s="6">
        <f t="shared" si="221"/>
        <v>40</v>
      </c>
      <c r="C1140" s="6" t="str">
        <f t="shared" si="212"/>
        <v>656334800FCushion ICAB FI 2 Row C KSID, ASP5.1, BUTTON HOL402007744930900</v>
      </c>
      <c r="D1140" s="7" t="s">
        <v>234</v>
      </c>
      <c r="E1140" s="6" t="s">
        <v>131</v>
      </c>
      <c r="F1140" s="6"/>
      <c r="G1140" s="19" t="s">
        <v>104</v>
      </c>
      <c r="H1140" s="19"/>
      <c r="I1140" s="19"/>
      <c r="J1140" s="19"/>
      <c r="K1140" s="19"/>
      <c r="L1140" s="14" t="s">
        <v>115</v>
      </c>
      <c r="M1140" s="22">
        <v>44930</v>
      </c>
      <c r="N1140" s="19" t="e">
        <v>#N/A</v>
      </c>
      <c r="O1140" s="19" t="e">
        <v>#N/A</v>
      </c>
      <c r="P1140" s="15">
        <v>900</v>
      </c>
      <c r="Q1140" s="15">
        <v>816217.24</v>
      </c>
      <c r="R1140" s="15" t="e">
        <v>#N/A</v>
      </c>
      <c r="S1140" s="15">
        <v>5</v>
      </c>
      <c r="T1140" s="19" t="e">
        <v>#N/A</v>
      </c>
      <c r="U1140" s="19" t="e">
        <v>#N/A</v>
      </c>
      <c r="V1140" s="16">
        <f t="shared" si="213"/>
        <v>40810.862000000001</v>
      </c>
      <c r="W1140" s="16">
        <f t="shared" si="214"/>
        <v>4081.0862000000002</v>
      </c>
      <c r="X1140" s="16">
        <f t="shared" si="215"/>
        <v>44891.948199999999</v>
      </c>
      <c r="Y1140" s="16">
        <f t="shared" si="216"/>
        <v>49.879942444444445</v>
      </c>
      <c r="Z1140" s="16">
        <f t="shared" si="217"/>
        <v>906.90804444444439</v>
      </c>
      <c r="AA1140" s="17">
        <f t="shared" si="218"/>
        <v>900</v>
      </c>
      <c r="AB1140" s="10">
        <v>0</v>
      </c>
      <c r="AC1140" s="18">
        <f>AB1140*Y1140</f>
        <v>0</v>
      </c>
      <c r="AD1140" s="12">
        <f t="shared" si="222"/>
        <v>900</v>
      </c>
      <c r="AE1140" s="13">
        <f t="shared" si="220"/>
        <v>0</v>
      </c>
    </row>
    <row r="1141" spans="1:31">
      <c r="A1141" s="6">
        <v>7</v>
      </c>
      <c r="B1141" s="6">
        <f t="shared" si="221"/>
        <v>41</v>
      </c>
      <c r="C1141" s="6" t="str">
        <f t="shared" si="212"/>
        <v>656334800FCushion ICAB FI 2 Row C KSID, ASP5.1, BUTTON HOL414361644942360</v>
      </c>
      <c r="D1141" s="7" t="s">
        <v>234</v>
      </c>
      <c r="E1141" s="6" t="s">
        <v>131</v>
      </c>
      <c r="F1141" s="6"/>
      <c r="G1141" s="19" t="s">
        <v>104</v>
      </c>
      <c r="H1141" s="19"/>
      <c r="I1141" s="19"/>
      <c r="J1141" s="19"/>
      <c r="K1141" s="19"/>
      <c r="L1141" s="14" t="s">
        <v>116</v>
      </c>
      <c r="M1141" s="22">
        <v>44942</v>
      </c>
      <c r="N1141" s="19" t="e">
        <v>#N/A</v>
      </c>
      <c r="O1141" s="19" t="e">
        <v>#N/A</v>
      </c>
      <c r="P1141" s="15">
        <v>360</v>
      </c>
      <c r="Q1141" s="15">
        <v>327178.09000000003</v>
      </c>
      <c r="R1141" s="15" t="e">
        <v>#N/A</v>
      </c>
      <c r="S1141" s="15">
        <v>5</v>
      </c>
      <c r="T1141" s="19" t="e">
        <v>#N/A</v>
      </c>
      <c r="U1141" s="19" t="e">
        <v>#N/A</v>
      </c>
      <c r="V1141" s="16">
        <f t="shared" si="213"/>
        <v>16358.904500000002</v>
      </c>
      <c r="W1141" s="16">
        <f t="shared" si="214"/>
        <v>1635.8904500000003</v>
      </c>
      <c r="X1141" s="16">
        <f t="shared" si="215"/>
        <v>17994.794950000003</v>
      </c>
      <c r="Y1141" s="16">
        <f t="shared" si="216"/>
        <v>49.985541527777784</v>
      </c>
      <c r="Z1141" s="16">
        <f t="shared" si="217"/>
        <v>908.82802777777783</v>
      </c>
      <c r="AA1141" s="17">
        <f t="shared" si="218"/>
        <v>360</v>
      </c>
      <c r="AB1141" s="10">
        <v>0</v>
      </c>
      <c r="AC1141" s="18">
        <f>AB1141*Y1141</f>
        <v>0</v>
      </c>
      <c r="AD1141" s="12">
        <f t="shared" si="222"/>
        <v>360</v>
      </c>
      <c r="AE1141" s="13">
        <f t="shared" si="220"/>
        <v>0</v>
      </c>
    </row>
    <row r="1142" spans="1:31">
      <c r="A1142" s="6">
        <v>7</v>
      </c>
      <c r="B1142" s="6">
        <f t="shared" si="221"/>
        <v>42</v>
      </c>
      <c r="C1142" s="6" t="str">
        <f t="shared" si="212"/>
        <v>656334800FCushion ICAB FI 2 Row C KSID, ASP5.1, BUTTON HOL426963444947540</v>
      </c>
      <c r="D1142" s="7" t="s">
        <v>234</v>
      </c>
      <c r="E1142" s="6" t="s">
        <v>131</v>
      </c>
      <c r="F1142" s="6"/>
      <c r="G1142" s="19" t="s">
        <v>104</v>
      </c>
      <c r="H1142" s="19"/>
      <c r="I1142" s="19"/>
      <c r="J1142" s="19"/>
      <c r="K1142" s="19"/>
      <c r="L1142" s="14" t="s">
        <v>117</v>
      </c>
      <c r="M1142" s="22">
        <v>44947</v>
      </c>
      <c r="N1142" s="19" t="e">
        <v>#N/A</v>
      </c>
      <c r="O1142" s="19" t="e">
        <v>#N/A</v>
      </c>
      <c r="P1142" s="15">
        <v>540</v>
      </c>
      <c r="Q1142" s="15">
        <v>483127.23</v>
      </c>
      <c r="R1142" s="15" t="e">
        <v>#N/A</v>
      </c>
      <c r="S1142" s="15">
        <v>5</v>
      </c>
      <c r="T1142" s="19" t="e">
        <v>#N/A</v>
      </c>
      <c r="U1142" s="19" t="e">
        <v>#N/A</v>
      </c>
      <c r="V1142" s="16">
        <f t="shared" si="213"/>
        <v>24156.361499999999</v>
      </c>
      <c r="W1142" s="16">
        <f t="shared" si="214"/>
        <v>2415.6361499999998</v>
      </c>
      <c r="X1142" s="16">
        <f t="shared" si="215"/>
        <v>26571.997649999998</v>
      </c>
      <c r="Y1142" s="16">
        <f t="shared" si="216"/>
        <v>49.207403055555552</v>
      </c>
      <c r="Z1142" s="16">
        <f t="shared" si="217"/>
        <v>894.68005555555555</v>
      </c>
      <c r="AA1142" s="17">
        <f t="shared" si="218"/>
        <v>540</v>
      </c>
      <c r="AB1142" s="10">
        <v>360</v>
      </c>
      <c r="AC1142" s="18">
        <f>AB1142*Y1142</f>
        <v>17714.665099999998</v>
      </c>
      <c r="AD1142" s="12">
        <f t="shared" si="222"/>
        <v>540</v>
      </c>
      <c r="AE1142" s="13">
        <f t="shared" si="220"/>
        <v>0</v>
      </c>
    </row>
    <row r="1143" spans="1:31">
      <c r="A1143" s="6">
        <v>7</v>
      </c>
      <c r="B1143" s="6">
        <f t="shared" si="221"/>
        <v>43</v>
      </c>
      <c r="C1143" s="6" t="str">
        <f t="shared" si="212"/>
        <v>6242999AABFELT, OTHER OTHER7901235451922400</v>
      </c>
      <c r="D1143" s="7" t="s">
        <v>234</v>
      </c>
      <c r="E1143" s="6" t="s">
        <v>127</v>
      </c>
      <c r="F1143" s="6"/>
      <c r="G1143" s="19" t="s">
        <v>105</v>
      </c>
      <c r="H1143" s="19"/>
      <c r="I1143" s="19"/>
      <c r="J1143" s="19"/>
      <c r="K1143" s="19"/>
      <c r="L1143" s="14">
        <v>7901235</v>
      </c>
      <c r="M1143" s="22">
        <v>45192</v>
      </c>
      <c r="N1143" s="19" t="s">
        <v>196</v>
      </c>
      <c r="O1143" s="19" t="s">
        <v>333</v>
      </c>
      <c r="P1143" s="15">
        <v>2400</v>
      </c>
      <c r="Q1143" s="15">
        <v>32673.27</v>
      </c>
      <c r="R1143" s="15">
        <v>87082900</v>
      </c>
      <c r="S1143" s="15">
        <v>15</v>
      </c>
      <c r="T1143" s="19" t="s">
        <v>343</v>
      </c>
      <c r="U1143" s="19" t="s">
        <v>178</v>
      </c>
      <c r="V1143" s="16">
        <f t="shared" si="213"/>
        <v>4900.9904999999999</v>
      </c>
      <c r="W1143" s="16">
        <f t="shared" si="214"/>
        <v>490.09905000000003</v>
      </c>
      <c r="X1143" s="16">
        <f t="shared" si="215"/>
        <v>5391.0895499999997</v>
      </c>
      <c r="Y1143" s="16">
        <f t="shared" si="216"/>
        <v>2.2462873124999998</v>
      </c>
      <c r="Z1143" s="16">
        <f t="shared" si="217"/>
        <v>13.6138625</v>
      </c>
      <c r="AA1143" s="17">
        <f t="shared" si="218"/>
        <v>2400</v>
      </c>
      <c r="AB1143" s="10">
        <v>353.28000000000003</v>
      </c>
      <c r="AC1143" s="18">
        <f t="shared" ref="AC1143:AC1206" si="223">AB1143*Y1143</f>
        <v>793.56838175999997</v>
      </c>
      <c r="AD1143" s="12">
        <f t="shared" si="222"/>
        <v>2196.48</v>
      </c>
      <c r="AE1143" s="13">
        <f t="shared" si="220"/>
        <v>203.51999999999998</v>
      </c>
    </row>
    <row r="1144" spans="1:31">
      <c r="A1144" s="6">
        <v>7</v>
      </c>
      <c r="B1144" s="6">
        <f t="shared" si="221"/>
        <v>44</v>
      </c>
      <c r="C1144" s="6" t="str">
        <f t="shared" si="212"/>
        <v>656334800FCushion ICAB FI 2 Row C KSID, ASP5.1, BUTTON HOL524855045013900</v>
      </c>
      <c r="D1144" s="7" t="s">
        <v>234</v>
      </c>
      <c r="E1144" s="6" t="s">
        <v>131</v>
      </c>
      <c r="F1144" s="6"/>
      <c r="G1144" s="19" t="s">
        <v>104</v>
      </c>
      <c r="H1144" s="19"/>
      <c r="I1144" s="19"/>
      <c r="J1144" s="19"/>
      <c r="K1144" s="19"/>
      <c r="L1144" s="14" t="s">
        <v>119</v>
      </c>
      <c r="M1144" s="22">
        <v>45013</v>
      </c>
      <c r="N1144" s="19" t="e">
        <v>#N/A</v>
      </c>
      <c r="O1144" s="19" t="e">
        <v>#N/A</v>
      </c>
      <c r="P1144" s="15">
        <v>900</v>
      </c>
      <c r="Q1144" s="15">
        <v>772603.67</v>
      </c>
      <c r="R1144" s="15" t="e">
        <v>#N/A</v>
      </c>
      <c r="S1144" s="15">
        <v>5</v>
      </c>
      <c r="T1144" s="19" t="e">
        <v>#N/A</v>
      </c>
      <c r="U1144" s="19" t="e">
        <v>#N/A</v>
      </c>
      <c r="V1144" s="16">
        <f t="shared" si="213"/>
        <v>38630.183500000006</v>
      </c>
      <c r="W1144" s="16">
        <f t="shared" si="214"/>
        <v>3863.0183500000007</v>
      </c>
      <c r="X1144" s="16">
        <f t="shared" si="215"/>
        <v>42493.201850000005</v>
      </c>
      <c r="Y1144" s="16">
        <f t="shared" si="216"/>
        <v>47.214668722222228</v>
      </c>
      <c r="Z1144" s="16">
        <f t="shared" si="217"/>
        <v>858.44852222222232</v>
      </c>
      <c r="AA1144" s="17">
        <f t="shared" si="218"/>
        <v>900</v>
      </c>
      <c r="AB1144" s="10">
        <v>900</v>
      </c>
      <c r="AC1144" s="18">
        <f t="shared" si="223"/>
        <v>42493.201850000005</v>
      </c>
      <c r="AD1144" s="12">
        <f t="shared" si="222"/>
        <v>900</v>
      </c>
      <c r="AE1144" s="13">
        <f t="shared" si="220"/>
        <v>0</v>
      </c>
    </row>
    <row r="1145" spans="1:31">
      <c r="A1145" s="6">
        <v>7</v>
      </c>
      <c r="B1145" s="6">
        <f t="shared" si="221"/>
        <v>45</v>
      </c>
      <c r="C1145" s="6" t="str">
        <f t="shared" si="212"/>
        <v>653328000ACUSHION, C AND S, SIDE,  IC, ASP5.1, INDIA, RH,7245128451467000</v>
      </c>
      <c r="D1145" s="7" t="s">
        <v>234</v>
      </c>
      <c r="E1145" s="6" t="s">
        <v>129</v>
      </c>
      <c r="F1145" s="6"/>
      <c r="G1145" s="19" t="s">
        <v>118</v>
      </c>
      <c r="H1145" s="19"/>
      <c r="I1145" s="19"/>
      <c r="J1145" s="19"/>
      <c r="K1145" s="19"/>
      <c r="L1145" s="14">
        <v>7245128</v>
      </c>
      <c r="M1145" s="22">
        <v>45146</v>
      </c>
      <c r="N1145" s="19" t="s">
        <v>197</v>
      </c>
      <c r="O1145" s="19" t="s">
        <v>333</v>
      </c>
      <c r="P1145" s="15">
        <v>7000</v>
      </c>
      <c r="Q1145" s="15">
        <v>6028305.8899999997</v>
      </c>
      <c r="R1145" s="15">
        <v>87089500</v>
      </c>
      <c r="S1145" s="15">
        <v>5</v>
      </c>
      <c r="T1145" s="19" t="s">
        <v>204</v>
      </c>
      <c r="U1145" s="19" t="s">
        <v>178</v>
      </c>
      <c r="V1145" s="16">
        <f t="shared" si="213"/>
        <v>301415.29450000002</v>
      </c>
      <c r="W1145" s="16">
        <f t="shared" si="214"/>
        <v>30141.529450000002</v>
      </c>
      <c r="X1145" s="16">
        <f t="shared" si="215"/>
        <v>331556.82394999999</v>
      </c>
      <c r="Y1145" s="16">
        <f t="shared" si="216"/>
        <v>47.365260564285713</v>
      </c>
      <c r="Z1145" s="16">
        <f t="shared" si="217"/>
        <v>861.18655571428565</v>
      </c>
      <c r="AA1145" s="17">
        <f t="shared" si="218"/>
        <v>7000</v>
      </c>
      <c r="AB1145" s="10">
        <v>192</v>
      </c>
      <c r="AC1145" s="18">
        <f t="shared" si="223"/>
        <v>9094.1300283428573</v>
      </c>
      <c r="AD1145" s="12">
        <f t="shared" si="222"/>
        <v>192</v>
      </c>
      <c r="AE1145" s="13">
        <f t="shared" si="220"/>
        <v>6808</v>
      </c>
    </row>
    <row r="1146" spans="1:31">
      <c r="A1146" s="6">
        <v>7</v>
      </c>
      <c r="B1146" s="6">
        <f t="shared" si="221"/>
        <v>46</v>
      </c>
      <c r="C1146" s="6" t="str">
        <f t="shared" si="212"/>
        <v>619591801AINFLATOR, ASP-2, GEN15, MRR, STD COOL, UC, W STU77256744517610368</v>
      </c>
      <c r="D1146" s="7" t="s">
        <v>234</v>
      </c>
      <c r="E1146" s="6" t="s">
        <v>55</v>
      </c>
      <c r="F1146" s="6"/>
      <c r="G1146" s="19" t="s">
        <v>15</v>
      </c>
      <c r="H1146" s="19"/>
      <c r="I1146" s="19"/>
      <c r="J1146" s="19"/>
      <c r="K1146" s="19"/>
      <c r="L1146" s="14">
        <v>7725674</v>
      </c>
      <c r="M1146" s="22">
        <v>45176</v>
      </c>
      <c r="N1146" s="19" t="s">
        <v>197</v>
      </c>
      <c r="O1146" s="19" t="s">
        <v>333</v>
      </c>
      <c r="P1146" s="15">
        <v>10368</v>
      </c>
      <c r="Q1146" s="15">
        <v>2805099.26</v>
      </c>
      <c r="R1146" s="15">
        <v>87089500</v>
      </c>
      <c r="S1146" s="15">
        <v>15</v>
      </c>
      <c r="T1146" s="19" t="s">
        <v>202</v>
      </c>
      <c r="U1146" s="19" t="s">
        <v>200</v>
      </c>
      <c r="V1146" s="16">
        <f t="shared" si="213"/>
        <v>420764.88899999997</v>
      </c>
      <c r="W1146" s="16">
        <f t="shared" si="214"/>
        <v>42076.488899999997</v>
      </c>
      <c r="X1146" s="16">
        <f t="shared" si="215"/>
        <v>462841.37789999996</v>
      </c>
      <c r="Y1146" s="16">
        <f t="shared" si="216"/>
        <v>44.641336603009258</v>
      </c>
      <c r="Z1146" s="16">
        <f t="shared" si="217"/>
        <v>270.55355516975305</v>
      </c>
      <c r="AA1146" s="17">
        <f t="shared" si="218"/>
        <v>10368</v>
      </c>
      <c r="AB1146" s="10">
        <v>5472</v>
      </c>
      <c r="AC1146" s="18">
        <f t="shared" si="223"/>
        <v>244277.39389166667</v>
      </c>
      <c r="AD1146" s="12">
        <f t="shared" si="222"/>
        <v>5472</v>
      </c>
      <c r="AE1146" s="13">
        <f t="shared" si="220"/>
        <v>4896</v>
      </c>
    </row>
    <row r="1147" spans="1:31">
      <c r="A1147" s="6">
        <v>7</v>
      </c>
      <c r="B1147" s="6">
        <f t="shared" si="221"/>
        <v>47</v>
      </c>
      <c r="C1147" s="6" t="str">
        <f t="shared" si="212"/>
        <v>649421100AINFLATOR, ASP-5.1, P20, SRR, IMI, SERV, NO STUDS4830495449856912</v>
      </c>
      <c r="D1147" s="7" t="s">
        <v>234</v>
      </c>
      <c r="E1147" s="6" t="s">
        <v>469</v>
      </c>
      <c r="F1147" s="6"/>
      <c r="G1147" s="7" t="s">
        <v>16</v>
      </c>
      <c r="H1147" s="19"/>
      <c r="I1147" s="19"/>
      <c r="J1147" s="19"/>
      <c r="K1147" s="19"/>
      <c r="L1147" s="14">
        <v>4830495</v>
      </c>
      <c r="M1147" s="22">
        <v>44985</v>
      </c>
      <c r="N1147" s="19" t="s">
        <v>336</v>
      </c>
      <c r="O1147" s="19" t="s">
        <v>332</v>
      </c>
      <c r="P1147" s="15">
        <v>6912</v>
      </c>
      <c r="Q1147" s="15">
        <v>1473773.93</v>
      </c>
      <c r="R1147" s="15">
        <v>87089500</v>
      </c>
      <c r="S1147" s="15">
        <v>15</v>
      </c>
      <c r="T1147" s="19" t="s">
        <v>203</v>
      </c>
      <c r="U1147" s="19" t="s">
        <v>200</v>
      </c>
      <c r="V1147" s="16">
        <f t="shared" si="213"/>
        <v>221066.08949999997</v>
      </c>
      <c r="W1147" s="16">
        <f t="shared" si="214"/>
        <v>22106.608949999998</v>
      </c>
      <c r="X1147" s="16">
        <f t="shared" si="215"/>
        <v>243172.69844999997</v>
      </c>
      <c r="Y1147" s="16">
        <f t="shared" si="216"/>
        <v>35.181235308159721</v>
      </c>
      <c r="Z1147" s="16">
        <f t="shared" si="217"/>
        <v>213.21960792824072</v>
      </c>
      <c r="AA1147" s="17">
        <f t="shared" si="218"/>
        <v>6912</v>
      </c>
      <c r="AB1147" s="10">
        <v>3816</v>
      </c>
      <c r="AC1147" s="18">
        <f t="shared" si="223"/>
        <v>134251.5939359375</v>
      </c>
      <c r="AD1147" s="12">
        <f t="shared" si="222"/>
        <v>6696</v>
      </c>
      <c r="AE1147" s="13">
        <f t="shared" si="220"/>
        <v>216</v>
      </c>
    </row>
    <row r="1148" spans="1:31">
      <c r="A1148" s="6">
        <v>7</v>
      </c>
      <c r="B1148" s="6">
        <f t="shared" si="221"/>
        <v>48</v>
      </c>
      <c r="C1148" s="6" t="str">
        <f t="shared" si="212"/>
        <v>615795701BPILLAR LOOP, OVERMOULDED LIGHT GRAY, STD, WITH CA6542028451004000</v>
      </c>
      <c r="D1148" s="7" t="s">
        <v>234</v>
      </c>
      <c r="E1148" s="6" t="s">
        <v>67</v>
      </c>
      <c r="F1148" s="6"/>
      <c r="G1148" s="7" t="s">
        <v>27</v>
      </c>
      <c r="H1148" s="19"/>
      <c r="I1148" s="19"/>
      <c r="J1148" s="19"/>
      <c r="K1148" s="19"/>
      <c r="L1148" s="14">
        <v>6542028</v>
      </c>
      <c r="M1148" s="22">
        <v>45100</v>
      </c>
      <c r="N1148" s="19" t="s">
        <v>185</v>
      </c>
      <c r="O1148" s="19" t="s">
        <v>332</v>
      </c>
      <c r="P1148" s="15">
        <v>4000</v>
      </c>
      <c r="Q1148" s="15">
        <v>235057.51</v>
      </c>
      <c r="R1148" s="15">
        <v>87082900</v>
      </c>
      <c r="S1148" s="15">
        <v>15</v>
      </c>
      <c r="T1148" s="19" t="s">
        <v>198</v>
      </c>
      <c r="U1148" s="19" t="s">
        <v>178</v>
      </c>
      <c r="V1148" s="16">
        <f t="shared" si="213"/>
        <v>35258.626499999998</v>
      </c>
      <c r="W1148" s="16">
        <f t="shared" si="214"/>
        <v>3525.86265</v>
      </c>
      <c r="X1148" s="16">
        <f t="shared" si="215"/>
        <v>38784.489150000001</v>
      </c>
      <c r="Y1148" s="16">
        <f t="shared" si="216"/>
        <v>9.6961222874999997</v>
      </c>
      <c r="Z1148" s="16">
        <f t="shared" si="217"/>
        <v>58.764377500000002</v>
      </c>
      <c r="AA1148" s="17">
        <f t="shared" si="218"/>
        <v>4000</v>
      </c>
      <c r="AB1148" s="10">
        <v>3892</v>
      </c>
      <c r="AC1148" s="18">
        <f t="shared" si="223"/>
        <v>37737.307942949999</v>
      </c>
      <c r="AD1148" s="12">
        <f t="shared" ref="AD1148:AD1175" si="224">SUMIF($C$2:$C$2284,C1148,$AB$2:$AB$2284)</f>
        <v>3892</v>
      </c>
      <c r="AE1148" s="13">
        <f t="shared" si="220"/>
        <v>108</v>
      </c>
    </row>
    <row r="1149" spans="1:31">
      <c r="A1149" s="6">
        <v>7</v>
      </c>
      <c r="B1149" s="6">
        <f t="shared" si="221"/>
        <v>49</v>
      </c>
      <c r="C1149" s="6" t="str">
        <f t="shared" si="212"/>
        <v>615795701BPILLAR LOOP, OVERMOULDED LIGHT GRAY, STD, WITH CA7068910451344000</v>
      </c>
      <c r="D1149" s="7" t="s">
        <v>234</v>
      </c>
      <c r="E1149" s="6" t="s">
        <v>67</v>
      </c>
      <c r="F1149" s="6"/>
      <c r="G1149" s="7" t="s">
        <v>27</v>
      </c>
      <c r="H1149" s="19"/>
      <c r="I1149" s="19"/>
      <c r="J1149" s="19"/>
      <c r="K1149" s="19"/>
      <c r="L1149" s="14">
        <v>7068910</v>
      </c>
      <c r="M1149" s="22">
        <v>45134</v>
      </c>
      <c r="N1149" s="19" t="s">
        <v>185</v>
      </c>
      <c r="O1149" s="19" t="s">
        <v>332</v>
      </c>
      <c r="P1149" s="15">
        <v>4000</v>
      </c>
      <c r="Q1149" s="15">
        <v>232964.48000000001</v>
      </c>
      <c r="R1149" s="15">
        <v>87082900</v>
      </c>
      <c r="S1149" s="15">
        <v>15</v>
      </c>
      <c r="T1149" s="19" t="s">
        <v>198</v>
      </c>
      <c r="U1149" s="19" t="s">
        <v>178</v>
      </c>
      <c r="V1149" s="16">
        <f t="shared" si="213"/>
        <v>34944.671999999999</v>
      </c>
      <c r="W1149" s="16">
        <f t="shared" si="214"/>
        <v>3494.4672</v>
      </c>
      <c r="X1149" s="16">
        <f t="shared" si="215"/>
        <v>38439.139199999998</v>
      </c>
      <c r="Y1149" s="16">
        <f t="shared" si="216"/>
        <v>9.6097847999999999</v>
      </c>
      <c r="Z1149" s="16">
        <f t="shared" si="217"/>
        <v>58.241120000000002</v>
      </c>
      <c r="AA1149" s="17">
        <f t="shared" si="218"/>
        <v>4000</v>
      </c>
      <c r="AB1149" s="10">
        <v>140</v>
      </c>
      <c r="AC1149" s="18">
        <f t="shared" si="223"/>
        <v>1345.369872</v>
      </c>
      <c r="AD1149" s="12">
        <f t="shared" si="224"/>
        <v>4000</v>
      </c>
      <c r="AE1149" s="13">
        <f t="shared" si="220"/>
        <v>0</v>
      </c>
    </row>
    <row r="1150" spans="1:31">
      <c r="A1150" s="6">
        <v>7</v>
      </c>
      <c r="B1150" s="6">
        <f t="shared" si="221"/>
        <v>50</v>
      </c>
      <c r="C1150" s="6" t="str">
        <f t="shared" si="212"/>
        <v>654590600ASU2ID STD CUSHION COMPON CVR NON-WOVEN RH8495606452266300</v>
      </c>
      <c r="D1150" s="7" t="s">
        <v>234</v>
      </c>
      <c r="E1150" s="6" t="s">
        <v>78</v>
      </c>
      <c r="F1150" s="6"/>
      <c r="G1150" s="7" t="s">
        <v>38</v>
      </c>
      <c r="H1150" s="19"/>
      <c r="I1150" s="19"/>
      <c r="J1150" s="19"/>
      <c r="K1150" s="19"/>
      <c r="L1150" s="14">
        <v>8495606</v>
      </c>
      <c r="M1150" s="22">
        <v>45226</v>
      </c>
      <c r="N1150" s="19" t="s">
        <v>185</v>
      </c>
      <c r="O1150" s="19" t="s">
        <v>333</v>
      </c>
      <c r="P1150" s="15">
        <v>6300</v>
      </c>
      <c r="Q1150" s="15">
        <v>79993.72</v>
      </c>
      <c r="R1150" s="15">
        <v>87089500</v>
      </c>
      <c r="S1150" s="15">
        <v>5</v>
      </c>
      <c r="T1150" s="19" t="s">
        <v>340</v>
      </c>
      <c r="U1150" s="19" t="s">
        <v>178</v>
      </c>
      <c r="V1150" s="16">
        <f t="shared" si="213"/>
        <v>3999.6860000000001</v>
      </c>
      <c r="W1150" s="16">
        <f t="shared" si="214"/>
        <v>399.96860000000004</v>
      </c>
      <c r="X1150" s="16">
        <f t="shared" si="215"/>
        <v>4399.6545999999998</v>
      </c>
      <c r="Y1150" s="16">
        <f t="shared" si="216"/>
        <v>0.69835787301587304</v>
      </c>
      <c r="Z1150" s="16">
        <f t="shared" si="217"/>
        <v>12.697415873015872</v>
      </c>
      <c r="AA1150" s="17">
        <f t="shared" si="218"/>
        <v>6300</v>
      </c>
      <c r="AB1150" s="10">
        <v>0</v>
      </c>
      <c r="AC1150" s="18">
        <f t="shared" si="223"/>
        <v>0</v>
      </c>
      <c r="AD1150" s="12">
        <f t="shared" si="224"/>
        <v>5856</v>
      </c>
      <c r="AE1150" s="13">
        <f t="shared" si="220"/>
        <v>444</v>
      </c>
    </row>
    <row r="1151" spans="1:31">
      <c r="A1151" s="6">
        <v>7</v>
      </c>
      <c r="B1151" s="6">
        <f t="shared" si="221"/>
        <v>51</v>
      </c>
      <c r="C1151" s="6" t="str">
        <f t="shared" si="212"/>
        <v>625090202BTAPE, IC, CONTINUOUS, 13.0 MM., PET 3M 842155867174504035100</v>
      </c>
      <c r="D1151" s="7" t="s">
        <v>234</v>
      </c>
      <c r="E1151" s="6" t="s">
        <v>128</v>
      </c>
      <c r="F1151" s="6"/>
      <c r="G1151" s="19" t="s">
        <v>103</v>
      </c>
      <c r="H1151" s="19"/>
      <c r="I1151" s="19"/>
      <c r="J1151" s="19"/>
      <c r="K1151" s="19"/>
      <c r="L1151" s="14" t="s">
        <v>120</v>
      </c>
      <c r="M1151" s="22">
        <v>45040</v>
      </c>
      <c r="N1151" s="19" t="e">
        <v>#N/A</v>
      </c>
      <c r="O1151" s="19" t="e">
        <v>#N/A</v>
      </c>
      <c r="P1151" s="15">
        <v>35100</v>
      </c>
      <c r="Q1151" s="15">
        <v>403178.79</v>
      </c>
      <c r="R1151" s="15" t="e">
        <v>#N/A</v>
      </c>
      <c r="S1151" s="15">
        <v>15</v>
      </c>
      <c r="T1151" s="19" t="e">
        <v>#N/A</v>
      </c>
      <c r="U1151" s="19" t="e">
        <v>#N/A</v>
      </c>
      <c r="V1151" s="16">
        <f t="shared" si="213"/>
        <v>60476.818499999994</v>
      </c>
      <c r="W1151" s="16">
        <f t="shared" si="214"/>
        <v>6047.6818499999999</v>
      </c>
      <c r="X1151" s="16">
        <f t="shared" si="215"/>
        <v>66524.500349999988</v>
      </c>
      <c r="Y1151" s="16">
        <f t="shared" si="216"/>
        <v>1.89528491025641</v>
      </c>
      <c r="Z1151" s="16">
        <f t="shared" si="217"/>
        <v>11.486575213675213</v>
      </c>
      <c r="AA1151" s="17">
        <f t="shared" si="218"/>
        <v>35100</v>
      </c>
      <c r="AB1151" s="10">
        <v>540</v>
      </c>
      <c r="AC1151" s="18">
        <f t="shared" si="223"/>
        <v>1023.4538515384614</v>
      </c>
      <c r="AD1151" s="12">
        <f t="shared" si="224"/>
        <v>540</v>
      </c>
      <c r="AE1151" s="13">
        <f t="shared" si="220"/>
        <v>34560</v>
      </c>
    </row>
    <row r="1152" spans="1:31">
      <c r="A1152" s="6">
        <v>7</v>
      </c>
      <c r="B1152" s="6">
        <f t="shared" si="221"/>
        <v>52</v>
      </c>
      <c r="C1152" s="6" t="str">
        <f t="shared" si="212"/>
        <v>625090202BTAPE, IC, CONTINUOUS, 13.0 MM., PET 3M 842157850174505224300</v>
      </c>
      <c r="D1152" s="7" t="s">
        <v>234</v>
      </c>
      <c r="E1152" s="6" t="s">
        <v>128</v>
      </c>
      <c r="F1152" s="6"/>
      <c r="G1152" s="19" t="s">
        <v>103</v>
      </c>
      <c r="H1152" s="19"/>
      <c r="I1152" s="19"/>
      <c r="J1152" s="19"/>
      <c r="K1152" s="19"/>
      <c r="L1152" s="14" t="s">
        <v>121</v>
      </c>
      <c r="M1152" s="22">
        <v>45052</v>
      </c>
      <c r="N1152" s="19" t="e">
        <v>#N/A</v>
      </c>
      <c r="O1152" s="19" t="e">
        <v>#N/A</v>
      </c>
      <c r="P1152" s="15">
        <v>24300</v>
      </c>
      <c r="Q1152" s="15">
        <v>404563.45</v>
      </c>
      <c r="R1152" s="15" t="e">
        <v>#N/A</v>
      </c>
      <c r="S1152" s="15">
        <v>15</v>
      </c>
      <c r="T1152" s="19" t="e">
        <v>#N/A</v>
      </c>
      <c r="U1152" s="19" t="e">
        <v>#N/A</v>
      </c>
      <c r="V1152" s="16">
        <f t="shared" si="213"/>
        <v>60684.517500000002</v>
      </c>
      <c r="W1152" s="16">
        <f t="shared" si="214"/>
        <v>6068.4517500000002</v>
      </c>
      <c r="X1152" s="16">
        <f t="shared" si="215"/>
        <v>66752.969249999995</v>
      </c>
      <c r="Y1152" s="16">
        <f t="shared" si="216"/>
        <v>2.7470357716049381</v>
      </c>
      <c r="Z1152" s="16">
        <f t="shared" si="217"/>
        <v>16.648701646090537</v>
      </c>
      <c r="AA1152" s="17">
        <f t="shared" si="218"/>
        <v>24300</v>
      </c>
      <c r="AB1152" s="10">
        <v>540</v>
      </c>
      <c r="AC1152" s="18">
        <f t="shared" si="223"/>
        <v>1483.3993166666667</v>
      </c>
      <c r="AD1152" s="12">
        <f t="shared" si="224"/>
        <v>540</v>
      </c>
      <c r="AE1152" s="13">
        <f t="shared" si="220"/>
        <v>23760</v>
      </c>
    </row>
    <row r="1153" spans="1:31">
      <c r="A1153" s="6">
        <v>7</v>
      </c>
      <c r="B1153" s="6">
        <f t="shared" si="221"/>
        <v>53</v>
      </c>
      <c r="C1153" s="6" t="str">
        <f t="shared" si="212"/>
        <v>625090202BTAPE, IC, CONTINUOUS, 13.0 MM., PET 3M 842197653424513523400</v>
      </c>
      <c r="D1153" s="7" t="s">
        <v>234</v>
      </c>
      <c r="E1153" s="6" t="s">
        <v>128</v>
      </c>
      <c r="F1153" s="6"/>
      <c r="G1153" s="19" t="s">
        <v>103</v>
      </c>
      <c r="H1153" s="19"/>
      <c r="I1153" s="19"/>
      <c r="J1153" s="19"/>
      <c r="K1153" s="19"/>
      <c r="L1153" s="14">
        <v>9765342</v>
      </c>
      <c r="M1153" s="22">
        <v>45135</v>
      </c>
      <c r="N1153" s="19" t="s">
        <v>196</v>
      </c>
      <c r="O1153" s="19" t="s">
        <v>333</v>
      </c>
      <c r="P1153" s="15">
        <v>23400</v>
      </c>
      <c r="Q1153" s="15">
        <v>298786.98</v>
      </c>
      <c r="R1153" s="15">
        <v>87089500</v>
      </c>
      <c r="S1153" s="15">
        <v>15</v>
      </c>
      <c r="T1153" s="19" t="s">
        <v>341</v>
      </c>
      <c r="U1153" s="19" t="s">
        <v>178</v>
      </c>
      <c r="V1153" s="16">
        <f t="shared" si="213"/>
        <v>44818.046999999999</v>
      </c>
      <c r="W1153" s="16">
        <f t="shared" si="214"/>
        <v>4481.8046999999997</v>
      </c>
      <c r="X1153" s="16">
        <f t="shared" si="215"/>
        <v>49299.851699999999</v>
      </c>
      <c r="Y1153" s="16">
        <f t="shared" si="216"/>
        <v>2.1068312692307694</v>
      </c>
      <c r="Z1153" s="16">
        <f t="shared" si="217"/>
        <v>12.768674358974359</v>
      </c>
      <c r="AA1153" s="17">
        <f t="shared" si="218"/>
        <v>23400</v>
      </c>
      <c r="AB1153" s="10">
        <v>186</v>
      </c>
      <c r="AC1153" s="18">
        <f t="shared" si="223"/>
        <v>391.87061607692311</v>
      </c>
      <c r="AD1153" s="12">
        <f t="shared" si="224"/>
        <v>186</v>
      </c>
      <c r="AE1153" s="13">
        <f t="shared" si="220"/>
        <v>23214</v>
      </c>
    </row>
    <row r="1154" spans="1:31">
      <c r="A1154" s="6">
        <v>7</v>
      </c>
      <c r="B1154" s="6">
        <f t="shared" si="221"/>
        <v>54</v>
      </c>
      <c r="C1154" s="6" t="str">
        <f t="shared" ref="C1154:C1217" si="225">E1154&amp;G1154&amp;L1154&amp;M1154&amp;P1154</f>
        <v>603171100BTAPE, ADHESIVE, TERAOKA TERAOKA NO.560S 283492694503640000</v>
      </c>
      <c r="D1154" s="7" t="s">
        <v>234</v>
      </c>
      <c r="E1154" s="6" t="s">
        <v>50</v>
      </c>
      <c r="F1154" s="6"/>
      <c r="G1154" s="7" t="s">
        <v>12</v>
      </c>
      <c r="H1154" s="19"/>
      <c r="I1154" s="19"/>
      <c r="J1154" s="19"/>
      <c r="K1154" s="19"/>
      <c r="L1154" s="14">
        <v>8349269</v>
      </c>
      <c r="M1154" s="22">
        <v>45036</v>
      </c>
      <c r="N1154" s="19" t="s">
        <v>180</v>
      </c>
      <c r="O1154" s="19" t="s">
        <v>333</v>
      </c>
      <c r="P1154" s="15">
        <v>40000</v>
      </c>
      <c r="Q1154" s="15">
        <v>180520.2</v>
      </c>
      <c r="R1154" s="15">
        <v>39199090</v>
      </c>
      <c r="S1154" s="15">
        <v>15</v>
      </c>
      <c r="T1154" s="19" t="s">
        <v>342</v>
      </c>
      <c r="U1154" s="19" t="s">
        <v>178</v>
      </c>
      <c r="V1154" s="16">
        <f t="shared" si="213"/>
        <v>27078.030000000002</v>
      </c>
      <c r="W1154" s="16">
        <f t="shared" si="214"/>
        <v>2707.8030000000003</v>
      </c>
      <c r="X1154" s="16">
        <f t="shared" si="215"/>
        <v>29785.833000000002</v>
      </c>
      <c r="Y1154" s="16">
        <f t="shared" si="216"/>
        <v>0.74464582500000009</v>
      </c>
      <c r="Z1154" s="16">
        <f t="shared" si="217"/>
        <v>4.5130050000000006</v>
      </c>
      <c r="AA1154" s="17">
        <f t="shared" si="218"/>
        <v>40000</v>
      </c>
      <c r="AB1154" s="10">
        <v>315.60000000000002</v>
      </c>
      <c r="AC1154" s="18">
        <f t="shared" si="223"/>
        <v>235.01022237000004</v>
      </c>
      <c r="AD1154" s="12">
        <f t="shared" si="224"/>
        <v>12498</v>
      </c>
      <c r="AE1154" s="13">
        <f t="shared" si="220"/>
        <v>27502</v>
      </c>
    </row>
    <row r="1155" spans="1:31">
      <c r="A1155" s="6">
        <v>7</v>
      </c>
      <c r="B1155" s="6">
        <f t="shared" si="221"/>
        <v>55</v>
      </c>
      <c r="C1155" s="6" t="str">
        <f t="shared" si="225"/>
        <v>653328100ACUSHION, C AND S, SIDE, LH, BUTTON HOLE STYLE, S4291231449477040</v>
      </c>
      <c r="D1155" s="7" t="s">
        <v>234</v>
      </c>
      <c r="E1155" s="6" t="s">
        <v>53</v>
      </c>
      <c r="F1155" s="6"/>
      <c r="G1155" s="19" t="s">
        <v>13</v>
      </c>
      <c r="H1155" s="19"/>
      <c r="I1155" s="19"/>
      <c r="J1155" s="19"/>
      <c r="K1155" s="19"/>
      <c r="L1155" s="14">
        <v>4291231</v>
      </c>
      <c r="M1155" s="22">
        <v>44947</v>
      </c>
      <c r="N1155" s="19" t="s">
        <v>197</v>
      </c>
      <c r="O1155" s="19" t="s">
        <v>333</v>
      </c>
      <c r="P1155" s="15">
        <v>7040</v>
      </c>
      <c r="Q1155" s="15">
        <v>6001484.9800000004</v>
      </c>
      <c r="R1155" s="15">
        <v>87089500</v>
      </c>
      <c r="S1155" s="15">
        <v>5</v>
      </c>
      <c r="T1155" s="19" t="s">
        <v>204</v>
      </c>
      <c r="U1155" s="19" t="s">
        <v>178</v>
      </c>
      <c r="V1155" s="16">
        <f t="shared" si="213"/>
        <v>300074.24900000001</v>
      </c>
      <c r="W1155" s="16">
        <f t="shared" si="214"/>
        <v>30007.424900000002</v>
      </c>
      <c r="X1155" s="16">
        <f t="shared" si="215"/>
        <v>330081.67389999999</v>
      </c>
      <c r="Y1155" s="16">
        <f t="shared" si="216"/>
        <v>46.886601406250001</v>
      </c>
      <c r="Z1155" s="16">
        <f t="shared" si="217"/>
        <v>852.48366193181823</v>
      </c>
      <c r="AA1155" s="17">
        <f t="shared" si="218"/>
        <v>7040</v>
      </c>
      <c r="AB1155" s="10">
        <v>0</v>
      </c>
      <c r="AC1155" s="18">
        <f t="shared" si="223"/>
        <v>0</v>
      </c>
      <c r="AD1155" s="12">
        <f t="shared" si="224"/>
        <v>7040</v>
      </c>
      <c r="AE1155" s="13">
        <f t="shared" si="220"/>
        <v>0</v>
      </c>
    </row>
    <row r="1156" spans="1:31">
      <c r="A1156" s="6">
        <v>7</v>
      </c>
      <c r="B1156" s="6">
        <f t="shared" si="221"/>
        <v>56</v>
      </c>
      <c r="C1156" s="6" t="str">
        <f t="shared" si="225"/>
        <v>656334800FCushion ICAB FI 2 Row C KSID, ASP5.1, BUTTON HOL3599531449001260</v>
      </c>
      <c r="D1156" s="7" t="s">
        <v>234</v>
      </c>
      <c r="E1156" s="6" t="s">
        <v>131</v>
      </c>
      <c r="F1156" s="6"/>
      <c r="G1156" s="19" t="s">
        <v>104</v>
      </c>
      <c r="H1156" s="19"/>
      <c r="I1156" s="19"/>
      <c r="J1156" s="19"/>
      <c r="K1156" s="19"/>
      <c r="L1156" s="14">
        <v>3599531</v>
      </c>
      <c r="M1156" s="22">
        <v>44900</v>
      </c>
      <c r="N1156" s="19" t="s">
        <v>199</v>
      </c>
      <c r="O1156" s="19" t="s">
        <v>333</v>
      </c>
      <c r="P1156" s="15">
        <v>1260</v>
      </c>
      <c r="Q1156" s="15">
        <v>1123391.49</v>
      </c>
      <c r="R1156" s="15">
        <v>87089500</v>
      </c>
      <c r="S1156" s="15">
        <v>5</v>
      </c>
      <c r="T1156" s="19" t="s">
        <v>206</v>
      </c>
      <c r="U1156" s="19" t="s">
        <v>200</v>
      </c>
      <c r="V1156" s="16">
        <f t="shared" ref="V1156:V1219" si="226">Q1156*S1156%</f>
        <v>56169.574500000002</v>
      </c>
      <c r="W1156" s="16">
        <f t="shared" ref="W1156:W1219" si="227">V1156*0.1</f>
        <v>5616.9574500000008</v>
      </c>
      <c r="X1156" s="16">
        <f t="shared" ref="X1156:X1219" si="228">V1156+W1156</f>
        <v>61786.531950000004</v>
      </c>
      <c r="Y1156" s="16">
        <f t="shared" ref="Y1156:Y1219" si="229">X1156/P1156</f>
        <v>49.036930119047625</v>
      </c>
      <c r="Z1156" s="16">
        <f t="shared" ref="Z1156:Z1219" si="230">Q1156/P1156</f>
        <v>891.58054761904759</v>
      </c>
      <c r="AA1156" s="17">
        <f t="shared" ref="AA1156:AA1219" si="231">P1156</f>
        <v>1260</v>
      </c>
      <c r="AB1156" s="10">
        <v>852</v>
      </c>
      <c r="AC1156" s="18">
        <f t="shared" si="223"/>
        <v>41779.464461428579</v>
      </c>
      <c r="AD1156" s="12">
        <f t="shared" si="224"/>
        <v>1260</v>
      </c>
      <c r="AE1156" s="13">
        <f t="shared" ref="AE1156:AE1219" si="232">AA1156-AD1156</f>
        <v>0</v>
      </c>
    </row>
    <row r="1157" spans="1:31">
      <c r="A1157" s="6">
        <v>7</v>
      </c>
      <c r="B1157" s="6">
        <f t="shared" si="221"/>
        <v>57</v>
      </c>
      <c r="C1157" s="6" t="str">
        <f t="shared" si="225"/>
        <v>625090202BTAPE, IC, CONTINUOUS, 13.0 MM., PET 3M 842167570124511423400</v>
      </c>
      <c r="D1157" s="7" t="s">
        <v>234</v>
      </c>
      <c r="E1157" s="6" t="s">
        <v>128</v>
      </c>
      <c r="F1157" s="6"/>
      <c r="G1157" s="19" t="s">
        <v>103</v>
      </c>
      <c r="H1157" s="19"/>
      <c r="I1157" s="19"/>
      <c r="J1157" s="19"/>
      <c r="K1157" s="19"/>
      <c r="L1157" s="14">
        <v>6757012</v>
      </c>
      <c r="M1157" s="22">
        <v>45114</v>
      </c>
      <c r="N1157" s="19" t="s">
        <v>196</v>
      </c>
      <c r="O1157" s="19" t="s">
        <v>333</v>
      </c>
      <c r="P1157" s="15">
        <v>23400</v>
      </c>
      <c r="Q1157" s="15">
        <v>270307.43</v>
      </c>
      <c r="R1157" s="15">
        <v>87089500</v>
      </c>
      <c r="S1157" s="15">
        <v>15</v>
      </c>
      <c r="T1157" s="19" t="s">
        <v>228</v>
      </c>
      <c r="U1157" s="19" t="s">
        <v>178</v>
      </c>
      <c r="V1157" s="16">
        <f t="shared" si="226"/>
        <v>40546.114499999996</v>
      </c>
      <c r="W1157" s="16">
        <f t="shared" si="227"/>
        <v>4054.6114499999999</v>
      </c>
      <c r="X1157" s="16">
        <f t="shared" si="228"/>
        <v>44600.725949999993</v>
      </c>
      <c r="Y1157" s="16">
        <f t="shared" si="229"/>
        <v>1.9060139294871792</v>
      </c>
      <c r="Z1157" s="16">
        <f t="shared" si="230"/>
        <v>11.551599572649572</v>
      </c>
      <c r="AA1157" s="17">
        <f t="shared" si="231"/>
        <v>23400</v>
      </c>
      <c r="AB1157" s="10">
        <v>343</v>
      </c>
      <c r="AC1157" s="18">
        <f t="shared" si="223"/>
        <v>653.76277781410249</v>
      </c>
      <c r="AD1157" s="12">
        <f t="shared" si="224"/>
        <v>343</v>
      </c>
      <c r="AE1157" s="13">
        <f t="shared" si="232"/>
        <v>23057</v>
      </c>
    </row>
    <row r="1158" spans="1:31">
      <c r="A1158" s="6">
        <v>7</v>
      </c>
      <c r="B1158" s="6">
        <f t="shared" si="221"/>
        <v>58</v>
      </c>
      <c r="C1158" s="6" t="str">
        <f t="shared" si="225"/>
        <v>643302000AINFLATOR, ADP-1.3B, MP, MIB, SQUARE, NO STUD48666694498725920</v>
      </c>
      <c r="D1158" s="7" t="s">
        <v>233</v>
      </c>
      <c r="E1158" s="6" t="s">
        <v>46</v>
      </c>
      <c r="F1158" s="6"/>
      <c r="G1158" s="7" t="s">
        <v>8</v>
      </c>
      <c r="H1158" s="19"/>
      <c r="I1158" s="19"/>
      <c r="J1158" s="19"/>
      <c r="K1158" s="19"/>
      <c r="L1158" s="14">
        <v>4866669</v>
      </c>
      <c r="M1158" s="22">
        <v>44987</v>
      </c>
      <c r="N1158" s="19" t="s">
        <v>199</v>
      </c>
      <c r="O1158" s="19" t="s">
        <v>333</v>
      </c>
      <c r="P1158" s="15">
        <v>25920</v>
      </c>
      <c r="Q1158" s="15">
        <v>9541861.9800000004</v>
      </c>
      <c r="R1158" s="15">
        <v>87089500</v>
      </c>
      <c r="S1158" s="15">
        <v>15</v>
      </c>
      <c r="T1158" s="19" t="s">
        <v>202</v>
      </c>
      <c r="U1158" s="19" t="s">
        <v>200</v>
      </c>
      <c r="V1158" s="16">
        <f t="shared" si="226"/>
        <v>1431279.297</v>
      </c>
      <c r="W1158" s="16">
        <f t="shared" si="227"/>
        <v>143127.92970000001</v>
      </c>
      <c r="X1158" s="16">
        <f t="shared" si="228"/>
        <v>1574407.2267</v>
      </c>
      <c r="Y1158" s="16">
        <f t="shared" si="229"/>
        <v>60.741019548611114</v>
      </c>
      <c r="Z1158" s="16">
        <f t="shared" si="230"/>
        <v>368.12739120370372</v>
      </c>
      <c r="AA1158" s="17">
        <f t="shared" si="231"/>
        <v>25920</v>
      </c>
      <c r="AB1158" s="10">
        <v>4104</v>
      </c>
      <c r="AC1158" s="18">
        <f t="shared" si="223"/>
        <v>249281.14422750002</v>
      </c>
      <c r="AD1158" s="12">
        <f t="shared" si="224"/>
        <v>25920</v>
      </c>
      <c r="AE1158" s="13">
        <f t="shared" si="232"/>
        <v>0</v>
      </c>
    </row>
    <row r="1159" spans="1:31">
      <c r="A1159" s="6">
        <v>8</v>
      </c>
      <c r="B1159" s="6">
        <v>1</v>
      </c>
      <c r="C1159" s="6" t="str">
        <f t="shared" si="225"/>
        <v>656334800FCushion ICAB FI 2 Row C KSID, ASP5.1, BUTTON HOL280951844844900</v>
      </c>
      <c r="D1159" s="7" t="s">
        <v>299</v>
      </c>
      <c r="E1159" s="6" t="s">
        <v>131</v>
      </c>
      <c r="F1159" s="6"/>
      <c r="G1159" s="19" t="s">
        <v>104</v>
      </c>
      <c r="H1159" s="19"/>
      <c r="I1159" s="19"/>
      <c r="J1159" s="19"/>
      <c r="K1159" s="19"/>
      <c r="L1159" s="14">
        <v>2809518</v>
      </c>
      <c r="M1159" s="22">
        <v>44844</v>
      </c>
      <c r="N1159" s="19" t="s">
        <v>199</v>
      </c>
      <c r="O1159" s="19" t="s">
        <v>333</v>
      </c>
      <c r="P1159" s="15">
        <v>900</v>
      </c>
      <c r="Q1159" s="15">
        <v>823401</v>
      </c>
      <c r="R1159" s="15">
        <v>87089500</v>
      </c>
      <c r="S1159" s="15">
        <v>5</v>
      </c>
      <c r="T1159" s="19" t="s">
        <v>300</v>
      </c>
      <c r="U1159" s="19" t="s">
        <v>200</v>
      </c>
      <c r="V1159" s="16">
        <f t="shared" si="226"/>
        <v>41170.050000000003</v>
      </c>
      <c r="W1159" s="16">
        <f t="shared" si="227"/>
        <v>4117.0050000000001</v>
      </c>
      <c r="X1159" s="16">
        <f t="shared" si="228"/>
        <v>45287.055</v>
      </c>
      <c r="Y1159" s="16">
        <f t="shared" si="229"/>
        <v>50.318950000000001</v>
      </c>
      <c r="Z1159" s="16">
        <f t="shared" si="230"/>
        <v>914.89</v>
      </c>
      <c r="AA1159" s="17">
        <f t="shared" si="231"/>
        <v>900</v>
      </c>
      <c r="AB1159" s="10">
        <v>900</v>
      </c>
      <c r="AC1159" s="18">
        <f t="shared" si="223"/>
        <v>45287.055</v>
      </c>
      <c r="AD1159" s="12">
        <f t="shared" si="224"/>
        <v>900</v>
      </c>
      <c r="AE1159" s="13">
        <f t="shared" si="232"/>
        <v>0</v>
      </c>
    </row>
    <row r="1160" spans="1:31">
      <c r="A1160" s="6">
        <v>8</v>
      </c>
      <c r="B1160" s="6">
        <f t="shared" si="221"/>
        <v>2</v>
      </c>
      <c r="C1160" s="6" t="str">
        <f t="shared" si="225"/>
        <v>632955901AINFLATORS, APP-4.6 49469134499325920</v>
      </c>
      <c r="D1160" s="7" t="s">
        <v>299</v>
      </c>
      <c r="E1160" s="6" t="s">
        <v>48</v>
      </c>
      <c r="F1160" s="6"/>
      <c r="G1160" s="7" t="s">
        <v>10</v>
      </c>
      <c r="H1160" s="19"/>
      <c r="I1160" s="19"/>
      <c r="J1160" s="19"/>
      <c r="K1160" s="19"/>
      <c r="L1160" s="14">
        <v>4946913</v>
      </c>
      <c r="M1160" s="22">
        <v>44993</v>
      </c>
      <c r="N1160" s="19" t="s">
        <v>199</v>
      </c>
      <c r="O1160" s="19" t="s">
        <v>333</v>
      </c>
      <c r="P1160" s="15">
        <v>25920</v>
      </c>
      <c r="Q1160" s="15">
        <v>11518145.1</v>
      </c>
      <c r="R1160" s="15">
        <v>87089500</v>
      </c>
      <c r="S1160" s="15">
        <v>15</v>
      </c>
      <c r="T1160" s="19" t="s">
        <v>202</v>
      </c>
      <c r="U1160" s="19" t="s">
        <v>200</v>
      </c>
      <c r="V1160" s="16">
        <f t="shared" si="226"/>
        <v>1727721.7649999999</v>
      </c>
      <c r="W1160" s="16">
        <f t="shared" si="227"/>
        <v>172772.1765</v>
      </c>
      <c r="X1160" s="16">
        <f t="shared" si="228"/>
        <v>1900493.9415</v>
      </c>
      <c r="Y1160" s="16">
        <f t="shared" si="229"/>
        <v>73.321525520833333</v>
      </c>
      <c r="Z1160" s="16">
        <f t="shared" si="230"/>
        <v>444.37288194444443</v>
      </c>
      <c r="AA1160" s="17">
        <f t="shared" si="231"/>
        <v>25920</v>
      </c>
      <c r="AB1160" s="10">
        <v>5544</v>
      </c>
      <c r="AC1160" s="18">
        <f t="shared" si="223"/>
        <v>406494.5374875</v>
      </c>
      <c r="AD1160" s="12">
        <f t="shared" si="224"/>
        <v>7056</v>
      </c>
      <c r="AE1160" s="13">
        <f t="shared" si="232"/>
        <v>18864</v>
      </c>
    </row>
    <row r="1161" spans="1:31">
      <c r="A1161" s="6">
        <v>8</v>
      </c>
      <c r="B1161" s="6">
        <f t="shared" si="221"/>
        <v>3</v>
      </c>
      <c r="C1161" s="6" t="str">
        <f t="shared" si="225"/>
        <v>603171100BTAPE, ADHESIVE, TERAOKA TERAOKA NO.560S 221409284533650000</v>
      </c>
      <c r="D1161" s="7" t="s">
        <v>299</v>
      </c>
      <c r="E1161" s="6" t="s">
        <v>50</v>
      </c>
      <c r="F1161" s="6"/>
      <c r="G1161" s="7" t="s">
        <v>12</v>
      </c>
      <c r="H1161" s="19"/>
      <c r="I1161" s="19"/>
      <c r="J1161" s="19"/>
      <c r="K1161" s="19"/>
      <c r="L1161" s="14">
        <v>2140928</v>
      </c>
      <c r="M1161" s="22">
        <v>45336</v>
      </c>
      <c r="N1161" s="19" t="s">
        <v>196</v>
      </c>
      <c r="O1161" s="19" t="s">
        <v>333</v>
      </c>
      <c r="P1161" s="15">
        <v>50000</v>
      </c>
      <c r="Q1161" s="15">
        <v>283973.52</v>
      </c>
      <c r="R1161" s="15">
        <v>87089500</v>
      </c>
      <c r="S1161" s="15">
        <v>15</v>
      </c>
      <c r="T1161" s="19" t="s">
        <v>323</v>
      </c>
      <c r="U1161" s="19" t="s">
        <v>178</v>
      </c>
      <c r="V1161" s="16">
        <f t="shared" si="226"/>
        <v>42596.027999999998</v>
      </c>
      <c r="W1161" s="16">
        <f t="shared" si="227"/>
        <v>4259.6027999999997</v>
      </c>
      <c r="X1161" s="16">
        <f t="shared" si="228"/>
        <v>46855.630799999999</v>
      </c>
      <c r="Y1161" s="16">
        <f t="shared" si="229"/>
        <v>0.93711261599999995</v>
      </c>
      <c r="Z1161" s="16">
        <f t="shared" si="230"/>
        <v>5.6794704000000005</v>
      </c>
      <c r="AA1161" s="17">
        <f t="shared" si="231"/>
        <v>50000</v>
      </c>
      <c r="AB1161" s="10">
        <v>1612.8</v>
      </c>
      <c r="AC1161" s="18">
        <f t="shared" si="223"/>
        <v>1511.3752270847999</v>
      </c>
      <c r="AD1161" s="12">
        <f t="shared" si="224"/>
        <v>9129.6</v>
      </c>
      <c r="AE1161" s="13">
        <f t="shared" si="232"/>
        <v>40870.400000000001</v>
      </c>
    </row>
    <row r="1162" spans="1:31">
      <c r="A1162" s="6">
        <v>8</v>
      </c>
      <c r="B1162" s="6">
        <f t="shared" si="221"/>
        <v>4</v>
      </c>
      <c r="C1162" s="6" t="str">
        <f t="shared" si="225"/>
        <v>6242999AABFELT, OTHER OTHER2011457453284800</v>
      </c>
      <c r="D1162" s="7" t="s">
        <v>299</v>
      </c>
      <c r="E1162" s="6" t="s">
        <v>127</v>
      </c>
      <c r="F1162" s="6"/>
      <c r="G1162" s="19" t="s">
        <v>105</v>
      </c>
      <c r="H1162" s="19"/>
      <c r="I1162" s="19"/>
      <c r="J1162" s="19"/>
      <c r="K1162" s="19"/>
      <c r="L1162" s="14">
        <v>2011457</v>
      </c>
      <c r="M1162" s="22">
        <v>45328</v>
      </c>
      <c r="N1162" s="19" t="s">
        <v>196</v>
      </c>
      <c r="O1162" s="19" t="s">
        <v>333</v>
      </c>
      <c r="P1162" s="15">
        <v>4800</v>
      </c>
      <c r="Q1162" s="15">
        <v>65850.58</v>
      </c>
      <c r="R1162" s="15">
        <v>87082900</v>
      </c>
      <c r="S1162" s="15">
        <v>15</v>
      </c>
      <c r="T1162" s="19" t="s">
        <v>343</v>
      </c>
      <c r="U1162" s="19" t="s">
        <v>178</v>
      </c>
      <c r="V1162" s="16">
        <f t="shared" si="226"/>
        <v>9877.5869999999995</v>
      </c>
      <c r="W1162" s="16">
        <f t="shared" si="227"/>
        <v>987.75869999999998</v>
      </c>
      <c r="X1162" s="16">
        <f t="shared" si="228"/>
        <v>10865.3457</v>
      </c>
      <c r="Y1162" s="16">
        <f t="shared" si="229"/>
        <v>2.2636136874999999</v>
      </c>
      <c r="Z1162" s="16">
        <f t="shared" si="230"/>
        <v>13.718870833333334</v>
      </c>
      <c r="AA1162" s="17">
        <f t="shared" si="231"/>
        <v>4800</v>
      </c>
      <c r="AB1162" s="10">
        <v>1589.76</v>
      </c>
      <c r="AC1162" s="18">
        <f t="shared" si="223"/>
        <v>3598.6024958399998</v>
      </c>
      <c r="AD1162" s="12">
        <f t="shared" si="224"/>
        <v>4569.6000000000004</v>
      </c>
      <c r="AE1162" s="13">
        <f t="shared" si="232"/>
        <v>230.39999999999964</v>
      </c>
    </row>
    <row r="1163" spans="1:31">
      <c r="A1163" s="6">
        <v>8</v>
      </c>
      <c r="B1163" s="6">
        <f t="shared" si="221"/>
        <v>5</v>
      </c>
      <c r="C1163" s="6" t="str">
        <f t="shared" si="225"/>
        <v>625090202BTAPE, IC, CONTINUOUS, 13.0 MM., PET 3M 842125401144536335100</v>
      </c>
      <c r="D1163" s="7" t="s">
        <v>299</v>
      </c>
      <c r="E1163" s="6" t="s">
        <v>128</v>
      </c>
      <c r="F1163" s="6"/>
      <c r="G1163" s="19" t="s">
        <v>103</v>
      </c>
      <c r="H1163" s="19"/>
      <c r="I1163" s="19"/>
      <c r="J1163" s="19"/>
      <c r="K1163" s="19"/>
      <c r="L1163" s="14">
        <v>2540114</v>
      </c>
      <c r="M1163" s="22">
        <v>45363</v>
      </c>
      <c r="N1163" s="19" t="s">
        <v>196</v>
      </c>
      <c r="O1163" s="19" t="s">
        <v>333</v>
      </c>
      <c r="P1163" s="15">
        <v>35100</v>
      </c>
      <c r="Q1163" s="15">
        <v>408423.54</v>
      </c>
      <c r="R1163" s="15">
        <v>87089500</v>
      </c>
      <c r="S1163" s="15">
        <v>15</v>
      </c>
      <c r="T1163" s="19" t="s">
        <v>344</v>
      </c>
      <c r="U1163" s="19" t="s">
        <v>178</v>
      </c>
      <c r="V1163" s="16">
        <f t="shared" si="226"/>
        <v>61263.530999999995</v>
      </c>
      <c r="W1163" s="16">
        <f t="shared" si="227"/>
        <v>6126.3531000000003</v>
      </c>
      <c r="X1163" s="16">
        <f t="shared" si="228"/>
        <v>67389.884099999996</v>
      </c>
      <c r="Y1163" s="16">
        <f t="shared" si="229"/>
        <v>1.9199397179487179</v>
      </c>
      <c r="Z1163" s="16">
        <f t="shared" si="230"/>
        <v>11.635998290598289</v>
      </c>
      <c r="AA1163" s="17">
        <f t="shared" si="231"/>
        <v>35100</v>
      </c>
      <c r="AB1163" s="10">
        <v>540</v>
      </c>
      <c r="AC1163" s="18">
        <f t="shared" si="223"/>
        <v>1036.7674476923075</v>
      </c>
      <c r="AD1163" s="12">
        <f t="shared" si="224"/>
        <v>2836.32</v>
      </c>
      <c r="AE1163" s="13">
        <f t="shared" si="232"/>
        <v>32263.68</v>
      </c>
    </row>
    <row r="1164" spans="1:31">
      <c r="A1164" s="6">
        <v>8</v>
      </c>
      <c r="B1164" s="6">
        <f t="shared" si="221"/>
        <v>6</v>
      </c>
      <c r="C1164" s="6" t="str">
        <f t="shared" si="225"/>
        <v>625090202BTAPE, IC, CONTINUOUS, 13.0 MM., PET 3M 842197216584530935100</v>
      </c>
      <c r="D1164" s="7" t="s">
        <v>299</v>
      </c>
      <c r="E1164" s="6" t="s">
        <v>128</v>
      </c>
      <c r="F1164" s="6"/>
      <c r="G1164" s="19" t="s">
        <v>103</v>
      </c>
      <c r="H1164" s="19"/>
      <c r="I1164" s="19"/>
      <c r="J1164" s="19"/>
      <c r="K1164" s="19"/>
      <c r="L1164" s="14">
        <v>9721658</v>
      </c>
      <c r="M1164" s="22">
        <v>45309</v>
      </c>
      <c r="N1164" s="19" t="s">
        <v>196</v>
      </c>
      <c r="O1164" s="19" t="s">
        <v>333</v>
      </c>
      <c r="P1164" s="15">
        <v>35100</v>
      </c>
      <c r="Q1164" s="15">
        <v>436316.42</v>
      </c>
      <c r="R1164" s="15">
        <v>87089500</v>
      </c>
      <c r="S1164" s="15">
        <v>15</v>
      </c>
      <c r="T1164" s="19" t="s">
        <v>228</v>
      </c>
      <c r="U1164" s="19" t="s">
        <v>178</v>
      </c>
      <c r="V1164" s="16">
        <f t="shared" si="226"/>
        <v>65447.462999999996</v>
      </c>
      <c r="W1164" s="16">
        <f t="shared" si="227"/>
        <v>6544.7462999999998</v>
      </c>
      <c r="X1164" s="16">
        <f t="shared" si="228"/>
        <v>71992.209300000002</v>
      </c>
      <c r="Y1164" s="16">
        <f t="shared" si="229"/>
        <v>2.0510600940170942</v>
      </c>
      <c r="Z1164" s="16">
        <f t="shared" si="230"/>
        <v>12.430667236467237</v>
      </c>
      <c r="AA1164" s="17">
        <f t="shared" si="231"/>
        <v>35100</v>
      </c>
      <c r="AB1164" s="10">
        <v>540</v>
      </c>
      <c r="AC1164" s="18">
        <f t="shared" si="223"/>
        <v>1107.572450769231</v>
      </c>
      <c r="AD1164" s="12">
        <f t="shared" si="224"/>
        <v>4779.3600000000006</v>
      </c>
      <c r="AE1164" s="13">
        <f t="shared" si="232"/>
        <v>30320.639999999999</v>
      </c>
    </row>
    <row r="1165" spans="1:31">
      <c r="A1165" s="6">
        <v>8</v>
      </c>
      <c r="B1165" s="6">
        <f t="shared" ref="B1165:B1228" si="233">B1164+1</f>
        <v>7</v>
      </c>
      <c r="C1165" s="6" t="str">
        <f t="shared" si="225"/>
        <v>625090202BTAPE, IC, CONTINUOUS, 13.0 MM., PET 3M 842122230854534223400</v>
      </c>
      <c r="D1165" s="7" t="s">
        <v>299</v>
      </c>
      <c r="E1165" s="6" t="s">
        <v>128</v>
      </c>
      <c r="F1165" s="6"/>
      <c r="G1165" s="19" t="s">
        <v>103</v>
      </c>
      <c r="H1165" s="19"/>
      <c r="I1165" s="19"/>
      <c r="J1165" s="19"/>
      <c r="K1165" s="19"/>
      <c r="L1165" s="14">
        <v>2223085</v>
      </c>
      <c r="M1165" s="22">
        <v>45342</v>
      </c>
      <c r="N1165" s="19" t="s">
        <v>196</v>
      </c>
      <c r="O1165" s="19" t="s">
        <v>333</v>
      </c>
      <c r="P1165" s="15">
        <v>23400</v>
      </c>
      <c r="Q1165" s="15">
        <v>288959.74</v>
      </c>
      <c r="R1165" s="15">
        <v>87089500</v>
      </c>
      <c r="S1165" s="15">
        <v>15</v>
      </c>
      <c r="T1165" s="19" t="s">
        <v>228</v>
      </c>
      <c r="U1165" s="19" t="s">
        <v>178</v>
      </c>
      <c r="V1165" s="16">
        <f t="shared" si="226"/>
        <v>43343.960999999996</v>
      </c>
      <c r="W1165" s="16">
        <f t="shared" si="227"/>
        <v>4334.3960999999999</v>
      </c>
      <c r="X1165" s="16">
        <f t="shared" si="228"/>
        <v>47678.357099999994</v>
      </c>
      <c r="Y1165" s="16">
        <f t="shared" si="229"/>
        <v>2.0375366282051282</v>
      </c>
      <c r="Z1165" s="16">
        <f t="shared" si="230"/>
        <v>12.348706837606837</v>
      </c>
      <c r="AA1165" s="17">
        <f t="shared" si="231"/>
        <v>23400</v>
      </c>
      <c r="AB1165" s="10">
        <v>360</v>
      </c>
      <c r="AC1165" s="18">
        <f t="shared" si="223"/>
        <v>733.51318615384616</v>
      </c>
      <c r="AD1165" s="12">
        <f t="shared" si="224"/>
        <v>360</v>
      </c>
      <c r="AE1165" s="13">
        <f t="shared" si="232"/>
        <v>23040</v>
      </c>
    </row>
    <row r="1166" spans="1:31">
      <c r="A1166" s="6">
        <v>8</v>
      </c>
      <c r="B1166" s="6">
        <f t="shared" si="233"/>
        <v>8</v>
      </c>
      <c r="C1166" s="6" t="str">
        <f t="shared" si="225"/>
        <v>625090202BTAPE, IC, CONTINUOUS, 13.0 MM., PET 3M 842130398704486046800</v>
      </c>
      <c r="D1166" s="7" t="s">
        <v>299</v>
      </c>
      <c r="E1166" s="6" t="s">
        <v>128</v>
      </c>
      <c r="F1166" s="6"/>
      <c r="G1166" s="19" t="s">
        <v>103</v>
      </c>
      <c r="H1166" s="19"/>
      <c r="I1166" s="19"/>
      <c r="J1166" s="19"/>
      <c r="K1166" s="19"/>
      <c r="L1166" s="14">
        <v>3039870</v>
      </c>
      <c r="M1166" s="22">
        <v>44860</v>
      </c>
      <c r="N1166" s="19" t="s">
        <v>196</v>
      </c>
      <c r="O1166" s="19" t="s">
        <v>333</v>
      </c>
      <c r="P1166" s="15">
        <v>46800</v>
      </c>
      <c r="Q1166" s="15">
        <v>538590.79</v>
      </c>
      <c r="R1166" s="15">
        <v>87089500</v>
      </c>
      <c r="S1166" s="15">
        <v>15</v>
      </c>
      <c r="T1166" s="19" t="s">
        <v>345</v>
      </c>
      <c r="U1166" s="19" t="s">
        <v>178</v>
      </c>
      <c r="V1166" s="16">
        <f t="shared" si="226"/>
        <v>80788.618499999997</v>
      </c>
      <c r="W1166" s="16">
        <f t="shared" si="227"/>
        <v>8078.8618500000002</v>
      </c>
      <c r="X1166" s="16">
        <f t="shared" si="228"/>
        <v>88867.480349999998</v>
      </c>
      <c r="Y1166" s="16">
        <f t="shared" si="229"/>
        <v>1.8988777852564103</v>
      </c>
      <c r="Z1166" s="16">
        <f t="shared" si="230"/>
        <v>11.508350213675214</v>
      </c>
      <c r="AA1166" s="17">
        <f t="shared" si="231"/>
        <v>46800</v>
      </c>
      <c r="AB1166" s="10">
        <v>720</v>
      </c>
      <c r="AC1166" s="18">
        <f t="shared" si="223"/>
        <v>1367.1920053846154</v>
      </c>
      <c r="AD1166" s="12">
        <f t="shared" si="224"/>
        <v>720</v>
      </c>
      <c r="AE1166" s="13">
        <f t="shared" si="232"/>
        <v>46080</v>
      </c>
    </row>
    <row r="1167" spans="1:31">
      <c r="A1167" s="6">
        <v>8</v>
      </c>
      <c r="B1167" s="6">
        <f t="shared" si="233"/>
        <v>9</v>
      </c>
      <c r="C1167" s="6" t="str">
        <f t="shared" si="225"/>
        <v>625090202BTAPE, IC, CONTINUOUS, 13.0 MM., PET 3M 842125814694482758500</v>
      </c>
      <c r="D1167" s="7" t="s">
        <v>299</v>
      </c>
      <c r="E1167" s="6" t="s">
        <v>128</v>
      </c>
      <c r="F1167" s="6"/>
      <c r="G1167" s="19" t="s">
        <v>103</v>
      </c>
      <c r="H1167" s="19"/>
      <c r="I1167" s="19"/>
      <c r="J1167" s="19"/>
      <c r="K1167" s="19"/>
      <c r="L1167" s="14" t="s">
        <v>240</v>
      </c>
      <c r="M1167" s="22">
        <v>44827</v>
      </c>
      <c r="N1167" s="19" t="e">
        <v>#N/A</v>
      </c>
      <c r="O1167" s="19" t="e">
        <v>#N/A</v>
      </c>
      <c r="P1167" s="15">
        <v>58500</v>
      </c>
      <c r="Q1167" s="15">
        <v>741892.32</v>
      </c>
      <c r="R1167" s="15" t="e">
        <v>#N/A</v>
      </c>
      <c r="S1167" s="15">
        <v>15</v>
      </c>
      <c r="T1167" s="19" t="e">
        <v>#N/A</v>
      </c>
      <c r="U1167" s="19" t="e">
        <v>#N/A</v>
      </c>
      <c r="V1167" s="16">
        <f t="shared" si="226"/>
        <v>111283.84799999998</v>
      </c>
      <c r="W1167" s="16">
        <f t="shared" si="227"/>
        <v>11128.3848</v>
      </c>
      <c r="X1167" s="16">
        <f t="shared" si="228"/>
        <v>122412.23279999998</v>
      </c>
      <c r="Y1167" s="16">
        <f t="shared" si="229"/>
        <v>2.0925167999999998</v>
      </c>
      <c r="Z1167" s="16">
        <f t="shared" si="230"/>
        <v>12.68192</v>
      </c>
      <c r="AA1167" s="17">
        <f t="shared" si="231"/>
        <v>58500</v>
      </c>
      <c r="AB1167" s="10">
        <v>900</v>
      </c>
      <c r="AC1167" s="18">
        <f t="shared" si="223"/>
        <v>1883.2651199999998</v>
      </c>
      <c r="AD1167" s="12">
        <f t="shared" si="224"/>
        <v>900</v>
      </c>
      <c r="AE1167" s="13">
        <f t="shared" si="232"/>
        <v>57600</v>
      </c>
    </row>
    <row r="1168" spans="1:31">
      <c r="A1168" s="6">
        <v>8</v>
      </c>
      <c r="B1168" s="6">
        <f t="shared" si="233"/>
        <v>10</v>
      </c>
      <c r="C1168" s="6" t="str">
        <f t="shared" si="225"/>
        <v>625090202BTAPE, IC, CONTINUOUS, 13.0 MM., PET 3M 842129752304485635100</v>
      </c>
      <c r="D1168" s="7" t="s">
        <v>299</v>
      </c>
      <c r="E1168" s="6" t="s">
        <v>128</v>
      </c>
      <c r="F1168" s="6"/>
      <c r="G1168" s="19" t="s">
        <v>103</v>
      </c>
      <c r="H1168" s="19"/>
      <c r="I1168" s="19"/>
      <c r="J1168" s="19"/>
      <c r="K1168" s="19"/>
      <c r="L1168" s="14">
        <v>2975230</v>
      </c>
      <c r="M1168" s="22">
        <v>44856</v>
      </c>
      <c r="N1168" s="19" t="s">
        <v>196</v>
      </c>
      <c r="O1168" s="19" t="s">
        <v>333</v>
      </c>
      <c r="P1168" s="15">
        <v>35100</v>
      </c>
      <c r="Q1168" s="15">
        <v>456485.24</v>
      </c>
      <c r="R1168" s="15">
        <v>87089500</v>
      </c>
      <c r="S1168" s="15">
        <v>15</v>
      </c>
      <c r="T1168" s="19" t="s">
        <v>345</v>
      </c>
      <c r="U1168" s="19" t="s">
        <v>178</v>
      </c>
      <c r="V1168" s="16">
        <f t="shared" si="226"/>
        <v>68472.785999999993</v>
      </c>
      <c r="W1168" s="16">
        <f t="shared" si="227"/>
        <v>6847.2785999999996</v>
      </c>
      <c r="X1168" s="16">
        <f t="shared" si="228"/>
        <v>75320.064599999998</v>
      </c>
      <c r="Y1168" s="16">
        <f t="shared" si="229"/>
        <v>2.1458707863247861</v>
      </c>
      <c r="Z1168" s="16">
        <f t="shared" si="230"/>
        <v>13.005277492877493</v>
      </c>
      <c r="AA1168" s="17">
        <f t="shared" si="231"/>
        <v>35100</v>
      </c>
      <c r="AB1168" s="10">
        <v>81.12</v>
      </c>
      <c r="AC1168" s="18">
        <f t="shared" si="223"/>
        <v>174.07303818666665</v>
      </c>
      <c r="AD1168" s="12">
        <f t="shared" si="224"/>
        <v>81.12</v>
      </c>
      <c r="AE1168" s="13">
        <f t="shared" si="232"/>
        <v>35018.879999999997</v>
      </c>
    </row>
    <row r="1169" spans="1:31">
      <c r="A1169" s="6">
        <v>8</v>
      </c>
      <c r="B1169" s="6">
        <f t="shared" si="233"/>
        <v>11</v>
      </c>
      <c r="C1169" s="6" t="str">
        <f t="shared" si="225"/>
        <v>625090202BTAPE, IC, CONTINUOUS, 13.0 MM., PET 3M 842196603534476311700</v>
      </c>
      <c r="D1169" s="7" t="s">
        <v>299</v>
      </c>
      <c r="E1169" s="6" t="s">
        <v>128</v>
      </c>
      <c r="F1169" s="6"/>
      <c r="G1169" s="19" t="s">
        <v>103</v>
      </c>
      <c r="H1169" s="19"/>
      <c r="I1169" s="19"/>
      <c r="J1169" s="19"/>
      <c r="K1169" s="19"/>
      <c r="L1169" s="14">
        <v>9660353</v>
      </c>
      <c r="M1169" s="22">
        <v>44763</v>
      </c>
      <c r="N1169" s="19" t="s">
        <v>196</v>
      </c>
      <c r="O1169" s="19" t="s">
        <v>333</v>
      </c>
      <c r="P1169" s="15">
        <v>11700</v>
      </c>
      <c r="Q1169" s="15">
        <v>147455.71</v>
      </c>
      <c r="R1169" s="15">
        <v>87089500</v>
      </c>
      <c r="S1169" s="15">
        <v>15</v>
      </c>
      <c r="T1169" s="19" t="s">
        <v>228</v>
      </c>
      <c r="U1169" s="19" t="s">
        <v>178</v>
      </c>
      <c r="V1169" s="16">
        <f t="shared" si="226"/>
        <v>22118.356499999998</v>
      </c>
      <c r="W1169" s="16">
        <f t="shared" si="227"/>
        <v>2211.83565</v>
      </c>
      <c r="X1169" s="16">
        <f t="shared" si="228"/>
        <v>24330.192149999999</v>
      </c>
      <c r="Y1169" s="16">
        <f t="shared" si="229"/>
        <v>2.0795036025641025</v>
      </c>
      <c r="Z1169" s="16">
        <f t="shared" si="230"/>
        <v>12.603052136752137</v>
      </c>
      <c r="AA1169" s="17">
        <f t="shared" si="231"/>
        <v>11700</v>
      </c>
      <c r="AB1169" s="10">
        <v>0</v>
      </c>
      <c r="AC1169" s="18">
        <f t="shared" si="223"/>
        <v>0</v>
      </c>
      <c r="AD1169" s="12">
        <f t="shared" si="224"/>
        <v>5418.24</v>
      </c>
      <c r="AE1169" s="13">
        <f t="shared" si="232"/>
        <v>6281.76</v>
      </c>
    </row>
    <row r="1170" spans="1:31">
      <c r="A1170" s="6">
        <v>8</v>
      </c>
      <c r="B1170" s="6">
        <f t="shared" si="233"/>
        <v>12</v>
      </c>
      <c r="C1170" s="6" t="str">
        <f t="shared" si="225"/>
        <v>625090202BTAPE, IC, CONTINUOUS, 13.0 MM., PET 3M 842138468144491635100</v>
      </c>
      <c r="D1170" s="7" t="s">
        <v>299</v>
      </c>
      <c r="E1170" s="6" t="s">
        <v>128</v>
      </c>
      <c r="F1170" s="6"/>
      <c r="G1170" s="19" t="s">
        <v>103</v>
      </c>
      <c r="H1170" s="19"/>
      <c r="I1170" s="19"/>
      <c r="J1170" s="19"/>
      <c r="K1170" s="19"/>
      <c r="L1170" s="14">
        <v>3846814</v>
      </c>
      <c r="M1170" s="22">
        <v>44916</v>
      </c>
      <c r="N1170" s="19" t="s">
        <v>196</v>
      </c>
      <c r="O1170" s="19" t="s">
        <v>333</v>
      </c>
      <c r="P1170" s="15">
        <v>35100</v>
      </c>
      <c r="Q1170" s="15">
        <v>402495.49</v>
      </c>
      <c r="R1170" s="15">
        <v>87089500</v>
      </c>
      <c r="S1170" s="15">
        <v>15</v>
      </c>
      <c r="T1170" s="19" t="s">
        <v>345</v>
      </c>
      <c r="U1170" s="19" t="s">
        <v>178</v>
      </c>
      <c r="V1170" s="16">
        <f t="shared" si="226"/>
        <v>60374.323499999999</v>
      </c>
      <c r="W1170" s="16">
        <f t="shared" si="227"/>
        <v>6037.43235</v>
      </c>
      <c r="X1170" s="16">
        <f t="shared" si="228"/>
        <v>66411.755850000001</v>
      </c>
      <c r="Y1170" s="16">
        <f t="shared" si="229"/>
        <v>1.8920728162393163</v>
      </c>
      <c r="Z1170" s="16">
        <f t="shared" si="230"/>
        <v>11.467107977207977</v>
      </c>
      <c r="AA1170" s="17">
        <f t="shared" si="231"/>
        <v>35100</v>
      </c>
      <c r="AB1170" s="10">
        <v>0</v>
      </c>
      <c r="AC1170" s="18">
        <f t="shared" si="223"/>
        <v>0</v>
      </c>
      <c r="AD1170" s="12">
        <f t="shared" si="224"/>
        <v>0</v>
      </c>
      <c r="AE1170" s="13">
        <f t="shared" si="232"/>
        <v>35100</v>
      </c>
    </row>
    <row r="1171" spans="1:31">
      <c r="A1171" s="6">
        <v>8</v>
      </c>
      <c r="B1171" s="6">
        <f t="shared" si="233"/>
        <v>13</v>
      </c>
      <c r="C1171" s="6" t="str">
        <f t="shared" si="225"/>
        <v>625090202BTAPE, IC, CONTINUOUS, 13.0 MM., PET 3M 842126497704483223400</v>
      </c>
      <c r="D1171" s="7" t="s">
        <v>299</v>
      </c>
      <c r="E1171" s="6" t="s">
        <v>128</v>
      </c>
      <c r="F1171" s="6"/>
      <c r="G1171" s="19" t="s">
        <v>103</v>
      </c>
      <c r="H1171" s="19"/>
      <c r="I1171" s="19"/>
      <c r="J1171" s="19"/>
      <c r="K1171" s="19"/>
      <c r="L1171" s="14" t="s">
        <v>241</v>
      </c>
      <c r="M1171" s="22">
        <v>44832</v>
      </c>
      <c r="N1171" s="19" t="e">
        <v>#N/A</v>
      </c>
      <c r="O1171" s="19" t="e">
        <v>#N/A</v>
      </c>
      <c r="P1171" s="15">
        <v>23400</v>
      </c>
      <c r="Q1171" s="15">
        <v>259162.21</v>
      </c>
      <c r="R1171" s="15" t="e">
        <v>#N/A</v>
      </c>
      <c r="S1171" s="15">
        <v>15</v>
      </c>
      <c r="T1171" s="19" t="e">
        <v>#N/A</v>
      </c>
      <c r="U1171" s="19" t="e">
        <v>#N/A</v>
      </c>
      <c r="V1171" s="16">
        <f t="shared" si="226"/>
        <v>38874.3315</v>
      </c>
      <c r="W1171" s="16">
        <f t="shared" si="227"/>
        <v>3887.4331500000003</v>
      </c>
      <c r="X1171" s="16">
        <f t="shared" si="228"/>
        <v>42761.764649999997</v>
      </c>
      <c r="Y1171" s="16">
        <f t="shared" si="229"/>
        <v>1.8274258397435896</v>
      </c>
      <c r="Z1171" s="16">
        <f t="shared" si="230"/>
        <v>11.07530811965812</v>
      </c>
      <c r="AA1171" s="17">
        <f t="shared" si="231"/>
        <v>23400</v>
      </c>
      <c r="AB1171" s="10">
        <v>0</v>
      </c>
      <c r="AC1171" s="18">
        <f t="shared" si="223"/>
        <v>0</v>
      </c>
      <c r="AD1171" s="12">
        <f t="shared" si="224"/>
        <v>0</v>
      </c>
      <c r="AE1171" s="13">
        <f t="shared" si="232"/>
        <v>23400</v>
      </c>
    </row>
    <row r="1172" spans="1:31">
      <c r="A1172" s="6">
        <v>8</v>
      </c>
      <c r="B1172" s="6">
        <f t="shared" si="233"/>
        <v>14</v>
      </c>
      <c r="C1172" s="6" t="str">
        <f t="shared" si="225"/>
        <v>640294200AINFLATOR, ASP-2, GEN15,5057085450006912</v>
      </c>
      <c r="D1172" s="7" t="s">
        <v>299</v>
      </c>
      <c r="E1172" s="6" t="s">
        <v>470</v>
      </c>
      <c r="F1172" s="6"/>
      <c r="G1172" s="7" t="s">
        <v>238</v>
      </c>
      <c r="H1172" s="19"/>
      <c r="I1172" s="19"/>
      <c r="J1172" s="19"/>
      <c r="K1172" s="19"/>
      <c r="L1172" s="14">
        <v>5057085</v>
      </c>
      <c r="M1172" s="22">
        <v>45000</v>
      </c>
      <c r="N1172" s="19" t="s">
        <v>197</v>
      </c>
      <c r="O1172" s="19" t="s">
        <v>333</v>
      </c>
      <c r="P1172" s="15">
        <v>6912</v>
      </c>
      <c r="Q1172" s="15">
        <v>1873286.74</v>
      </c>
      <c r="R1172" s="15">
        <v>87089500</v>
      </c>
      <c r="S1172" s="15">
        <v>15</v>
      </c>
      <c r="T1172" s="19" t="s">
        <v>202</v>
      </c>
      <c r="U1172" s="19" t="s">
        <v>200</v>
      </c>
      <c r="V1172" s="16">
        <f t="shared" si="226"/>
        <v>280993.011</v>
      </c>
      <c r="W1172" s="16">
        <f t="shared" si="227"/>
        <v>28099.301100000001</v>
      </c>
      <c r="X1172" s="16">
        <f t="shared" si="228"/>
        <v>309092.31209999998</v>
      </c>
      <c r="Y1172" s="16">
        <f t="shared" si="229"/>
        <v>44.718216449652772</v>
      </c>
      <c r="Z1172" s="16">
        <f t="shared" si="230"/>
        <v>271.01949363425928</v>
      </c>
      <c r="AA1172" s="17">
        <f t="shared" si="231"/>
        <v>6912</v>
      </c>
      <c r="AB1172" s="10">
        <v>6912</v>
      </c>
      <c r="AC1172" s="18">
        <f t="shared" si="223"/>
        <v>309092.31209999998</v>
      </c>
      <c r="AD1172" s="12">
        <f t="shared" si="224"/>
        <v>6912</v>
      </c>
      <c r="AE1172" s="13">
        <f t="shared" si="232"/>
        <v>0</v>
      </c>
    </row>
    <row r="1173" spans="1:31">
      <c r="A1173" s="6">
        <v>8</v>
      </c>
      <c r="B1173" s="6">
        <f t="shared" si="233"/>
        <v>15</v>
      </c>
      <c r="C1173" s="6" t="str">
        <f t="shared" si="225"/>
        <v>640294200AINFLATOR, ASP-2, GEN15,4181950449403456</v>
      </c>
      <c r="D1173" s="7" t="s">
        <v>299</v>
      </c>
      <c r="E1173" s="6" t="s">
        <v>470</v>
      </c>
      <c r="F1173" s="6"/>
      <c r="G1173" s="7" t="s">
        <v>238</v>
      </c>
      <c r="H1173" s="19"/>
      <c r="I1173" s="19"/>
      <c r="J1173" s="19"/>
      <c r="K1173" s="19"/>
      <c r="L1173" s="14">
        <v>4181950</v>
      </c>
      <c r="M1173" s="22">
        <v>44940</v>
      </c>
      <c r="N1173" s="19" t="s">
        <v>199</v>
      </c>
      <c r="O1173" s="19" t="s">
        <v>333</v>
      </c>
      <c r="P1173" s="15">
        <v>3456</v>
      </c>
      <c r="Q1173" s="15">
        <v>824472.85</v>
      </c>
      <c r="R1173" s="15">
        <v>87089500</v>
      </c>
      <c r="S1173" s="15">
        <v>15</v>
      </c>
      <c r="T1173" s="19" t="s">
        <v>202</v>
      </c>
      <c r="U1173" s="19" t="s">
        <v>200</v>
      </c>
      <c r="V1173" s="16">
        <f t="shared" si="226"/>
        <v>123670.92749999999</v>
      </c>
      <c r="W1173" s="16">
        <f t="shared" si="227"/>
        <v>12367.09275</v>
      </c>
      <c r="X1173" s="16">
        <f t="shared" si="228"/>
        <v>136038.02025</v>
      </c>
      <c r="Y1173" s="16">
        <f t="shared" si="229"/>
        <v>39.362853081597223</v>
      </c>
      <c r="Z1173" s="16">
        <f t="shared" si="230"/>
        <v>238.56274594907407</v>
      </c>
      <c r="AA1173" s="17">
        <f t="shared" si="231"/>
        <v>3456</v>
      </c>
      <c r="AB1173" s="10">
        <v>3456</v>
      </c>
      <c r="AC1173" s="18">
        <f t="shared" si="223"/>
        <v>136038.02025</v>
      </c>
      <c r="AD1173" s="12">
        <f t="shared" si="224"/>
        <v>3456</v>
      </c>
      <c r="AE1173" s="13">
        <f t="shared" si="232"/>
        <v>0</v>
      </c>
    </row>
    <row r="1174" spans="1:31">
      <c r="A1174" s="6">
        <v>8</v>
      </c>
      <c r="B1174" s="6">
        <f t="shared" si="233"/>
        <v>16</v>
      </c>
      <c r="C1174" s="6" t="str">
        <f t="shared" si="225"/>
        <v>640294200AINFLATOR, ASP-2, GEN15,5415152450233456</v>
      </c>
      <c r="D1174" s="7" t="s">
        <v>299</v>
      </c>
      <c r="E1174" s="6" t="s">
        <v>470</v>
      </c>
      <c r="F1174" s="6"/>
      <c r="G1174" s="7" t="s">
        <v>238</v>
      </c>
      <c r="H1174" s="19"/>
      <c r="I1174" s="19"/>
      <c r="J1174" s="19"/>
      <c r="K1174" s="19"/>
      <c r="L1174" s="14">
        <v>5415152</v>
      </c>
      <c r="M1174" s="22">
        <v>45023</v>
      </c>
      <c r="N1174" s="19" t="s">
        <v>197</v>
      </c>
      <c r="O1174" s="19" t="s">
        <v>333</v>
      </c>
      <c r="P1174" s="15">
        <v>3456</v>
      </c>
      <c r="Q1174" s="15">
        <v>930335.43</v>
      </c>
      <c r="R1174" s="15">
        <v>87089500</v>
      </c>
      <c r="S1174" s="15">
        <v>15</v>
      </c>
      <c r="T1174" s="19" t="s">
        <v>202</v>
      </c>
      <c r="U1174" s="19" t="s">
        <v>200</v>
      </c>
      <c r="V1174" s="16">
        <f t="shared" si="226"/>
        <v>139550.31450000001</v>
      </c>
      <c r="W1174" s="16">
        <f t="shared" si="227"/>
        <v>13955.031450000002</v>
      </c>
      <c r="X1174" s="16">
        <f t="shared" si="228"/>
        <v>153505.34595000002</v>
      </c>
      <c r="Y1174" s="16">
        <f t="shared" si="229"/>
        <v>44.417056119791674</v>
      </c>
      <c r="Z1174" s="16">
        <f t="shared" si="230"/>
        <v>269.19427951388889</v>
      </c>
      <c r="AA1174" s="17">
        <f t="shared" si="231"/>
        <v>3456</v>
      </c>
      <c r="AB1174" s="10">
        <v>0</v>
      </c>
      <c r="AC1174" s="18">
        <f t="shared" si="223"/>
        <v>0</v>
      </c>
      <c r="AD1174" s="12">
        <f t="shared" si="224"/>
        <v>2592</v>
      </c>
      <c r="AE1174" s="13">
        <f t="shared" si="232"/>
        <v>864</v>
      </c>
    </row>
    <row r="1175" spans="1:31">
      <c r="A1175" s="6">
        <v>8</v>
      </c>
      <c r="B1175" s="6">
        <f t="shared" si="233"/>
        <v>17</v>
      </c>
      <c r="C1175" s="6" t="str">
        <f t="shared" si="225"/>
        <v>654590600ASU2ID STD CUSHION COMPON CVR NON-WOVEN RH9992099453273600</v>
      </c>
      <c r="D1175" s="7" t="s">
        <v>299</v>
      </c>
      <c r="E1175" s="6" t="s">
        <v>78</v>
      </c>
      <c r="F1175" s="6"/>
      <c r="G1175" s="7" t="s">
        <v>38</v>
      </c>
      <c r="H1175" s="19"/>
      <c r="I1175" s="19"/>
      <c r="J1175" s="19"/>
      <c r="K1175" s="19"/>
      <c r="L1175" s="14">
        <v>9992099</v>
      </c>
      <c r="M1175" s="22">
        <v>45327</v>
      </c>
      <c r="N1175" s="19" t="s">
        <v>185</v>
      </c>
      <c r="O1175" s="19" t="s">
        <v>333</v>
      </c>
      <c r="P1175" s="15">
        <v>3600</v>
      </c>
      <c r="Q1175" s="15">
        <v>43881.08</v>
      </c>
      <c r="R1175" s="15">
        <v>87089500</v>
      </c>
      <c r="S1175" s="15">
        <v>5</v>
      </c>
      <c r="T1175" s="19" t="s">
        <v>346</v>
      </c>
      <c r="U1175" s="19" t="s">
        <v>178</v>
      </c>
      <c r="V1175" s="16">
        <f t="shared" si="226"/>
        <v>2194.0540000000001</v>
      </c>
      <c r="W1175" s="16">
        <f t="shared" si="227"/>
        <v>219.40540000000001</v>
      </c>
      <c r="X1175" s="16">
        <f t="shared" si="228"/>
        <v>2413.4594000000002</v>
      </c>
      <c r="Y1175" s="16">
        <f t="shared" si="229"/>
        <v>0.6704053888888889</v>
      </c>
      <c r="Z1175" s="16">
        <f t="shared" si="230"/>
        <v>12.189188888888889</v>
      </c>
      <c r="AA1175" s="17">
        <f t="shared" si="231"/>
        <v>3600</v>
      </c>
      <c r="AB1175" s="10">
        <v>3600</v>
      </c>
      <c r="AC1175" s="18">
        <f t="shared" si="223"/>
        <v>2413.4594000000002</v>
      </c>
      <c r="AD1175" s="12">
        <f t="shared" si="224"/>
        <v>3600</v>
      </c>
      <c r="AE1175" s="13">
        <f t="shared" si="232"/>
        <v>0</v>
      </c>
    </row>
    <row r="1176" spans="1:31">
      <c r="A1176" s="6">
        <v>8</v>
      </c>
      <c r="B1176" s="6">
        <f t="shared" si="233"/>
        <v>18</v>
      </c>
      <c r="C1176" s="6" t="str">
        <f t="shared" si="225"/>
        <v>654590600ASU2ID STD CUSHION COMPON CVR NON-WOVEN RH2605037453675400</v>
      </c>
      <c r="D1176" s="7" t="s">
        <v>299</v>
      </c>
      <c r="E1176" s="6" t="s">
        <v>78</v>
      </c>
      <c r="F1176" s="6"/>
      <c r="G1176" s="7" t="s">
        <v>38</v>
      </c>
      <c r="H1176" s="19"/>
      <c r="I1176" s="19"/>
      <c r="J1176" s="19"/>
      <c r="K1176" s="19"/>
      <c r="L1176" s="14">
        <v>2605037</v>
      </c>
      <c r="M1176" s="22">
        <v>45367</v>
      </c>
      <c r="N1176" s="19" t="s">
        <v>185</v>
      </c>
      <c r="O1176" s="19" t="s">
        <v>332</v>
      </c>
      <c r="P1176" s="15">
        <v>5400</v>
      </c>
      <c r="Q1176" s="15">
        <v>65556.710000000006</v>
      </c>
      <c r="R1176" s="15">
        <v>87089400</v>
      </c>
      <c r="S1176" s="15">
        <v>5</v>
      </c>
      <c r="T1176" s="19" t="s">
        <v>347</v>
      </c>
      <c r="U1176" s="19" t="s">
        <v>178</v>
      </c>
      <c r="V1176" s="16">
        <f t="shared" si="226"/>
        <v>3277.8355000000006</v>
      </c>
      <c r="W1176" s="16">
        <f t="shared" si="227"/>
        <v>327.7835500000001</v>
      </c>
      <c r="X1176" s="16">
        <f t="shared" si="228"/>
        <v>3605.6190500000007</v>
      </c>
      <c r="Y1176" s="16">
        <f t="shared" si="229"/>
        <v>0.66770723148148159</v>
      </c>
      <c r="Z1176" s="16">
        <f t="shared" si="230"/>
        <v>12.140131481481482</v>
      </c>
      <c r="AA1176" s="17">
        <f t="shared" si="231"/>
        <v>5400</v>
      </c>
      <c r="AB1176" s="10">
        <v>720</v>
      </c>
      <c r="AC1176" s="18">
        <f t="shared" si="223"/>
        <v>480.74920666666674</v>
      </c>
      <c r="AD1176" s="12">
        <v>5400</v>
      </c>
      <c r="AE1176" s="13">
        <f t="shared" si="232"/>
        <v>0</v>
      </c>
    </row>
    <row r="1177" spans="1:31">
      <c r="A1177" s="6">
        <v>8</v>
      </c>
      <c r="B1177" s="6">
        <f t="shared" si="233"/>
        <v>19</v>
      </c>
      <c r="C1177" s="6" t="str">
        <f t="shared" si="225"/>
        <v>654590600ASU2ID STD CUSHION COMPON CVR NON-WOVEN RH3052808453982700</v>
      </c>
      <c r="D1177" s="7" t="s">
        <v>299</v>
      </c>
      <c r="E1177" s="6" t="s">
        <v>78</v>
      </c>
      <c r="F1177" s="6"/>
      <c r="G1177" s="7" t="s">
        <v>38</v>
      </c>
      <c r="H1177" s="19"/>
      <c r="I1177" s="19"/>
      <c r="J1177" s="19"/>
      <c r="K1177" s="19"/>
      <c r="L1177" s="14">
        <v>3052808</v>
      </c>
      <c r="M1177" s="22">
        <v>45398</v>
      </c>
      <c r="N1177" s="19" t="s">
        <v>196</v>
      </c>
      <c r="O1177" s="19" t="s">
        <v>333</v>
      </c>
      <c r="P1177" s="15">
        <v>2700</v>
      </c>
      <c r="Q1177" s="15">
        <v>37964.33</v>
      </c>
      <c r="R1177" s="15">
        <v>87089500</v>
      </c>
      <c r="S1177" s="15">
        <v>15</v>
      </c>
      <c r="T1177" s="19" t="s">
        <v>227</v>
      </c>
      <c r="U1177" s="19" t="s">
        <v>178</v>
      </c>
      <c r="V1177" s="16">
        <f t="shared" si="226"/>
        <v>5694.6495000000004</v>
      </c>
      <c r="W1177" s="16">
        <f t="shared" si="227"/>
        <v>569.46495000000004</v>
      </c>
      <c r="X1177" s="16">
        <f t="shared" si="228"/>
        <v>6264.1144500000009</v>
      </c>
      <c r="Y1177" s="16">
        <f t="shared" si="229"/>
        <v>2.320042388888889</v>
      </c>
      <c r="Z1177" s="16">
        <f t="shared" si="230"/>
        <v>14.060862962962963</v>
      </c>
      <c r="AA1177" s="17">
        <f t="shared" si="231"/>
        <v>2700</v>
      </c>
      <c r="AB1177" s="10">
        <v>2700</v>
      </c>
      <c r="AC1177" s="18">
        <f t="shared" si="223"/>
        <v>6264.11445</v>
      </c>
      <c r="AD1177" s="12">
        <f>SUMIF($C$2:$C$2284,C1177,$AB$2:$AB$2284)</f>
        <v>2700</v>
      </c>
      <c r="AE1177" s="13">
        <f t="shared" si="232"/>
        <v>0</v>
      </c>
    </row>
    <row r="1178" spans="1:31">
      <c r="A1178" s="6">
        <v>8</v>
      </c>
      <c r="B1178" s="6">
        <f t="shared" si="233"/>
        <v>20</v>
      </c>
      <c r="C1178" s="6" t="str">
        <f t="shared" si="225"/>
        <v>654590600ASU2ID STD CUSHION COMPON CVR NON-WOVEN RH7515198451635400</v>
      </c>
      <c r="D1178" s="7" t="s">
        <v>299</v>
      </c>
      <c r="E1178" s="6" t="s">
        <v>78</v>
      </c>
      <c r="F1178" s="6"/>
      <c r="G1178" s="7" t="s">
        <v>38</v>
      </c>
      <c r="H1178" s="19"/>
      <c r="I1178" s="19"/>
      <c r="J1178" s="19"/>
      <c r="K1178" s="19"/>
      <c r="L1178" s="14">
        <v>7515198</v>
      </c>
      <c r="M1178" s="22">
        <v>45163</v>
      </c>
      <c r="N1178" s="19" t="s">
        <v>185</v>
      </c>
      <c r="O1178" s="19" t="s">
        <v>332</v>
      </c>
      <c r="P1178" s="15">
        <v>5400</v>
      </c>
      <c r="Q1178" s="15">
        <v>74069.62</v>
      </c>
      <c r="R1178" s="15">
        <v>87089500</v>
      </c>
      <c r="S1178" s="15">
        <v>5</v>
      </c>
      <c r="T1178" s="19" t="s">
        <v>340</v>
      </c>
      <c r="U1178" s="19" t="s">
        <v>178</v>
      </c>
      <c r="V1178" s="16">
        <f t="shared" si="226"/>
        <v>3703.4809999999998</v>
      </c>
      <c r="W1178" s="16">
        <f t="shared" si="227"/>
        <v>370.34809999999999</v>
      </c>
      <c r="X1178" s="16">
        <f t="shared" si="228"/>
        <v>4073.8290999999999</v>
      </c>
      <c r="Y1178" s="16">
        <f t="shared" si="229"/>
        <v>0.75441279629629632</v>
      </c>
      <c r="Z1178" s="16">
        <f t="shared" si="230"/>
        <v>13.716596296296295</v>
      </c>
      <c r="AA1178" s="17">
        <f t="shared" si="231"/>
        <v>5400</v>
      </c>
      <c r="AB1178" s="10">
        <v>1908</v>
      </c>
      <c r="AC1178" s="18">
        <f t="shared" si="223"/>
        <v>1439.4196153333335</v>
      </c>
      <c r="AD1178" s="12">
        <v>5400</v>
      </c>
      <c r="AE1178" s="13">
        <f t="shared" si="232"/>
        <v>0</v>
      </c>
    </row>
    <row r="1179" spans="1:31">
      <c r="A1179" s="6">
        <v>8</v>
      </c>
      <c r="B1179" s="6">
        <f t="shared" si="233"/>
        <v>21</v>
      </c>
      <c r="C1179" s="6" t="str">
        <f t="shared" si="225"/>
        <v>654590900ACUSHION COMPONENTS405087744931900</v>
      </c>
      <c r="D1179" s="7" t="s">
        <v>299</v>
      </c>
      <c r="E1179" s="6" t="s">
        <v>471</v>
      </c>
      <c r="F1179" s="6"/>
      <c r="G1179" s="7" t="s">
        <v>236</v>
      </c>
      <c r="H1179" s="19"/>
      <c r="I1179" s="19"/>
      <c r="J1179" s="19"/>
      <c r="K1179" s="19"/>
      <c r="L1179" s="14">
        <v>4050877</v>
      </c>
      <c r="M1179" s="22">
        <v>44931</v>
      </c>
      <c r="N1179" s="19" t="s">
        <v>196</v>
      </c>
      <c r="O1179" s="19" t="s">
        <v>333</v>
      </c>
      <c r="P1179" s="15">
        <v>900</v>
      </c>
      <c r="Q1179" s="15">
        <v>12480.19</v>
      </c>
      <c r="R1179" s="15">
        <v>87089500</v>
      </c>
      <c r="S1179" s="15">
        <v>15</v>
      </c>
      <c r="T1179" s="19" t="s">
        <v>338</v>
      </c>
      <c r="U1179" s="19" t="s">
        <v>178</v>
      </c>
      <c r="V1179" s="16">
        <f t="shared" si="226"/>
        <v>1872.0284999999999</v>
      </c>
      <c r="W1179" s="16">
        <f t="shared" si="227"/>
        <v>187.20285000000001</v>
      </c>
      <c r="X1179" s="16">
        <f t="shared" si="228"/>
        <v>2059.23135</v>
      </c>
      <c r="Y1179" s="16">
        <f t="shared" si="229"/>
        <v>2.2880348333333336</v>
      </c>
      <c r="Z1179" s="16">
        <f t="shared" si="230"/>
        <v>13.866877777777779</v>
      </c>
      <c r="AA1179" s="17">
        <f t="shared" si="231"/>
        <v>900</v>
      </c>
      <c r="AB1179" s="10">
        <v>576</v>
      </c>
      <c r="AC1179" s="18">
        <f t="shared" si="223"/>
        <v>1317.9080640000002</v>
      </c>
      <c r="AD1179" s="12">
        <f t="shared" ref="AD1179:AD1226" si="234">SUMIF($C$2:$C$2284,C1179,$AB$2:$AB$2284)</f>
        <v>816</v>
      </c>
      <c r="AE1179" s="13">
        <f t="shared" si="232"/>
        <v>84</v>
      </c>
    </row>
    <row r="1180" spans="1:31">
      <c r="A1180" s="6">
        <v>8</v>
      </c>
      <c r="B1180" s="6">
        <f t="shared" si="233"/>
        <v>22</v>
      </c>
      <c r="C1180" s="6" t="str">
        <f t="shared" si="225"/>
        <v>654590900ACUSHION COMPONENTS559131545036900</v>
      </c>
      <c r="D1180" s="7" t="s">
        <v>299</v>
      </c>
      <c r="E1180" s="6" t="s">
        <v>471</v>
      </c>
      <c r="F1180" s="6"/>
      <c r="G1180" s="7" t="s">
        <v>236</v>
      </c>
      <c r="H1180" s="19"/>
      <c r="I1180" s="19"/>
      <c r="J1180" s="19"/>
      <c r="K1180" s="19"/>
      <c r="L1180" s="14">
        <v>5591315</v>
      </c>
      <c r="M1180" s="22">
        <v>45036</v>
      </c>
      <c r="N1180" s="19" t="s">
        <v>185</v>
      </c>
      <c r="O1180" s="19" t="s">
        <v>332</v>
      </c>
      <c r="P1180" s="15">
        <v>900</v>
      </c>
      <c r="Q1180" s="15">
        <v>12134.1</v>
      </c>
      <c r="R1180" s="15">
        <v>87089500</v>
      </c>
      <c r="S1180" s="15">
        <v>15</v>
      </c>
      <c r="T1180" s="19" t="s">
        <v>340</v>
      </c>
      <c r="U1180" s="19" t="s">
        <v>178</v>
      </c>
      <c r="V1180" s="16">
        <f t="shared" si="226"/>
        <v>1820.115</v>
      </c>
      <c r="W1180" s="16">
        <f t="shared" si="227"/>
        <v>182.01150000000001</v>
      </c>
      <c r="X1180" s="16">
        <f t="shared" si="228"/>
        <v>2002.1265000000001</v>
      </c>
      <c r="Y1180" s="16">
        <f t="shared" si="229"/>
        <v>2.2245850000000003</v>
      </c>
      <c r="Z1180" s="16">
        <f t="shared" si="230"/>
        <v>13.482333333333333</v>
      </c>
      <c r="AA1180" s="17">
        <f t="shared" si="231"/>
        <v>900</v>
      </c>
      <c r="AB1180" s="10">
        <v>864</v>
      </c>
      <c r="AC1180" s="18">
        <f t="shared" si="223"/>
        <v>1922.0414400000002</v>
      </c>
      <c r="AD1180" s="12">
        <f t="shared" si="234"/>
        <v>864</v>
      </c>
      <c r="AE1180" s="13">
        <f t="shared" si="232"/>
        <v>36</v>
      </c>
    </row>
    <row r="1181" spans="1:31">
      <c r="A1181" s="6">
        <v>8</v>
      </c>
      <c r="B1181" s="6">
        <f t="shared" si="233"/>
        <v>23</v>
      </c>
      <c r="C1181" s="6" t="str">
        <f t="shared" si="225"/>
        <v>655226900AINFLATOR APP-4.6, 325KPA 1.8MOL, STANDARD MIB SQU5812154450514320</v>
      </c>
      <c r="D1181" s="7" t="s">
        <v>299</v>
      </c>
      <c r="E1181" s="6" t="s">
        <v>130</v>
      </c>
      <c r="F1181" s="6"/>
      <c r="G1181" s="7" t="s">
        <v>102</v>
      </c>
      <c r="H1181" s="19"/>
      <c r="I1181" s="19"/>
      <c r="J1181" s="19"/>
      <c r="K1181" s="19"/>
      <c r="L1181" s="14">
        <v>5812154</v>
      </c>
      <c r="M1181" s="22">
        <v>45051</v>
      </c>
      <c r="N1181" s="19" t="s">
        <v>197</v>
      </c>
      <c r="O1181" s="19" t="s">
        <v>333</v>
      </c>
      <c r="P1181" s="15">
        <v>4320</v>
      </c>
      <c r="Q1181" s="15">
        <v>1895008.35</v>
      </c>
      <c r="R1181" s="15">
        <v>87089500</v>
      </c>
      <c r="S1181" s="15">
        <v>15</v>
      </c>
      <c r="T1181" s="19" t="s">
        <v>202</v>
      </c>
      <c r="U1181" s="19" t="s">
        <v>200</v>
      </c>
      <c r="V1181" s="16">
        <f t="shared" si="226"/>
        <v>284251.2525</v>
      </c>
      <c r="W1181" s="16">
        <f t="shared" si="227"/>
        <v>28425.125250000001</v>
      </c>
      <c r="X1181" s="16">
        <f t="shared" si="228"/>
        <v>312676.37774999999</v>
      </c>
      <c r="Y1181" s="16">
        <f t="shared" si="229"/>
        <v>72.378791145833333</v>
      </c>
      <c r="Z1181" s="16">
        <f t="shared" si="230"/>
        <v>438.6593402777778</v>
      </c>
      <c r="AA1181" s="17">
        <f t="shared" si="231"/>
        <v>4320</v>
      </c>
      <c r="AB1181" s="10">
        <v>2331</v>
      </c>
      <c r="AC1181" s="18">
        <f t="shared" si="223"/>
        <v>168714.96216093749</v>
      </c>
      <c r="AD1181" s="12">
        <f t="shared" si="234"/>
        <v>4320</v>
      </c>
      <c r="AE1181" s="13">
        <f t="shared" si="232"/>
        <v>0</v>
      </c>
    </row>
    <row r="1182" spans="1:31">
      <c r="A1182" s="6">
        <v>8</v>
      </c>
      <c r="B1182" s="6">
        <f t="shared" si="233"/>
        <v>24</v>
      </c>
      <c r="C1182" s="6" t="str">
        <f t="shared" si="225"/>
        <v>656334800FCushion ICAB FI 2 Row C KSID, ASP5.1, BUTTON HOL219732045341645</v>
      </c>
      <c r="D1182" s="7" t="s">
        <v>299</v>
      </c>
      <c r="E1182" s="6" t="s">
        <v>131</v>
      </c>
      <c r="F1182" s="6"/>
      <c r="G1182" s="19" t="s">
        <v>104</v>
      </c>
      <c r="H1182" s="19"/>
      <c r="I1182" s="19"/>
      <c r="J1182" s="19"/>
      <c r="K1182" s="19"/>
      <c r="L1182" s="14">
        <v>2197320</v>
      </c>
      <c r="M1182" s="22">
        <v>45341</v>
      </c>
      <c r="N1182" s="19" t="s">
        <v>197</v>
      </c>
      <c r="O1182" s="19" t="s">
        <v>333</v>
      </c>
      <c r="P1182" s="15">
        <v>645</v>
      </c>
      <c r="Q1182" s="15">
        <v>421853.29</v>
      </c>
      <c r="R1182" s="15">
        <v>87089900</v>
      </c>
      <c r="S1182" s="15">
        <v>5</v>
      </c>
      <c r="T1182" s="19" t="s">
        <v>348</v>
      </c>
      <c r="U1182" s="19" t="s">
        <v>200</v>
      </c>
      <c r="V1182" s="16">
        <f t="shared" si="226"/>
        <v>21092.664499999999</v>
      </c>
      <c r="W1182" s="16">
        <f t="shared" si="227"/>
        <v>2109.2664500000001</v>
      </c>
      <c r="X1182" s="16">
        <f t="shared" si="228"/>
        <v>23201.930949999998</v>
      </c>
      <c r="Y1182" s="16">
        <f t="shared" si="229"/>
        <v>35.971985968992243</v>
      </c>
      <c r="Z1182" s="16">
        <f t="shared" si="230"/>
        <v>654.03610852713177</v>
      </c>
      <c r="AA1182" s="17">
        <f t="shared" si="231"/>
        <v>645</v>
      </c>
      <c r="AB1182" s="10">
        <v>645</v>
      </c>
      <c r="AC1182" s="18">
        <f t="shared" si="223"/>
        <v>23201.930949999998</v>
      </c>
      <c r="AD1182" s="12">
        <f t="shared" si="234"/>
        <v>645</v>
      </c>
      <c r="AE1182" s="13">
        <f t="shared" si="232"/>
        <v>0</v>
      </c>
    </row>
    <row r="1183" spans="1:31">
      <c r="A1183" s="6">
        <v>8</v>
      </c>
      <c r="B1183" s="6">
        <f t="shared" si="233"/>
        <v>25</v>
      </c>
      <c r="C1183" s="6" t="str">
        <f t="shared" si="225"/>
        <v>656334800FCushion ICAB FI 2 Row C KSID, ASP5.1, BUTTON HOL862976045234180</v>
      </c>
      <c r="D1183" s="7" t="s">
        <v>299</v>
      </c>
      <c r="E1183" s="6" t="s">
        <v>131</v>
      </c>
      <c r="F1183" s="6"/>
      <c r="G1183" s="19" t="s">
        <v>104</v>
      </c>
      <c r="H1183" s="19"/>
      <c r="I1183" s="19"/>
      <c r="J1183" s="19"/>
      <c r="K1183" s="19"/>
      <c r="L1183" s="14">
        <v>8629760</v>
      </c>
      <c r="M1183" s="22">
        <v>45234</v>
      </c>
      <c r="N1183" s="19" t="s">
        <v>197</v>
      </c>
      <c r="O1183" s="19" t="s">
        <v>333</v>
      </c>
      <c r="P1183" s="15">
        <v>180</v>
      </c>
      <c r="Q1183" s="15">
        <v>154641.28</v>
      </c>
      <c r="R1183" s="15">
        <v>87089500</v>
      </c>
      <c r="S1183" s="15">
        <v>5</v>
      </c>
      <c r="T1183" s="19" t="s">
        <v>300</v>
      </c>
      <c r="U1183" s="19" t="s">
        <v>200</v>
      </c>
      <c r="V1183" s="16">
        <f t="shared" si="226"/>
        <v>7732.0640000000003</v>
      </c>
      <c r="W1183" s="16">
        <f t="shared" si="227"/>
        <v>773.20640000000003</v>
      </c>
      <c r="X1183" s="16">
        <f t="shared" si="228"/>
        <v>8505.2704000000012</v>
      </c>
      <c r="Y1183" s="16">
        <f t="shared" si="229"/>
        <v>47.251502222222229</v>
      </c>
      <c r="Z1183" s="16">
        <f t="shared" si="230"/>
        <v>859.11822222222224</v>
      </c>
      <c r="AA1183" s="17">
        <f t="shared" si="231"/>
        <v>180</v>
      </c>
      <c r="AB1183" s="10">
        <v>180</v>
      </c>
      <c r="AC1183" s="18">
        <f t="shared" si="223"/>
        <v>8505.2704000000012</v>
      </c>
      <c r="AD1183" s="12">
        <f t="shared" si="234"/>
        <v>180</v>
      </c>
      <c r="AE1183" s="13">
        <f t="shared" si="232"/>
        <v>0</v>
      </c>
    </row>
    <row r="1184" spans="1:31">
      <c r="A1184" s="6">
        <v>8</v>
      </c>
      <c r="B1184" s="6">
        <f t="shared" si="233"/>
        <v>26</v>
      </c>
      <c r="C1184" s="6" t="str">
        <f t="shared" si="225"/>
        <v>656334800FCushion ICAB FI 2 Row C KSID, ASP5.1, BUTTON HOL263517045370360</v>
      </c>
      <c r="D1184" s="7" t="s">
        <v>299</v>
      </c>
      <c r="E1184" s="6" t="s">
        <v>131</v>
      </c>
      <c r="F1184" s="6"/>
      <c r="G1184" s="19" t="s">
        <v>104</v>
      </c>
      <c r="H1184" s="19"/>
      <c r="I1184" s="19"/>
      <c r="J1184" s="19"/>
      <c r="K1184" s="19"/>
      <c r="L1184" s="14">
        <v>2635170</v>
      </c>
      <c r="M1184" s="22">
        <v>45370</v>
      </c>
      <c r="N1184" s="19" t="s">
        <v>197</v>
      </c>
      <c r="O1184" s="19" t="s">
        <v>333</v>
      </c>
      <c r="P1184" s="15">
        <v>360</v>
      </c>
      <c r="Q1184" s="15">
        <v>232977.85</v>
      </c>
      <c r="R1184" s="15">
        <v>87089900</v>
      </c>
      <c r="S1184" s="15">
        <v>5</v>
      </c>
      <c r="T1184" s="19" t="s">
        <v>348</v>
      </c>
      <c r="U1184" s="19" t="s">
        <v>200</v>
      </c>
      <c r="V1184" s="16">
        <f t="shared" si="226"/>
        <v>11648.892500000002</v>
      </c>
      <c r="W1184" s="16">
        <f t="shared" si="227"/>
        <v>1164.8892500000002</v>
      </c>
      <c r="X1184" s="16">
        <f t="shared" si="228"/>
        <v>12813.781750000002</v>
      </c>
      <c r="Y1184" s="16">
        <f t="shared" si="229"/>
        <v>35.593838194444452</v>
      </c>
      <c r="Z1184" s="16">
        <f t="shared" si="230"/>
        <v>647.16069444444452</v>
      </c>
      <c r="AA1184" s="17">
        <f t="shared" si="231"/>
        <v>360</v>
      </c>
      <c r="AB1184" s="10">
        <v>195</v>
      </c>
      <c r="AC1184" s="18">
        <f t="shared" si="223"/>
        <v>6940.798447916668</v>
      </c>
      <c r="AD1184" s="12">
        <f t="shared" si="234"/>
        <v>195</v>
      </c>
      <c r="AE1184" s="13">
        <f t="shared" si="232"/>
        <v>165</v>
      </c>
    </row>
    <row r="1185" spans="1:31">
      <c r="A1185" s="6">
        <v>8</v>
      </c>
      <c r="B1185" s="6">
        <f t="shared" si="233"/>
        <v>27</v>
      </c>
      <c r="C1185" s="6" t="str">
        <f t="shared" si="225"/>
        <v>656334800FCushion ICAB FI 2 Row C KSID, ASP5.1, BUTTON HOL862976045234180</v>
      </c>
      <c r="D1185" s="7" t="s">
        <v>299</v>
      </c>
      <c r="E1185" s="6" t="s">
        <v>131</v>
      </c>
      <c r="F1185" s="6"/>
      <c r="G1185" s="19" t="s">
        <v>104</v>
      </c>
      <c r="H1185" s="19"/>
      <c r="I1185" s="19"/>
      <c r="J1185" s="19"/>
      <c r="K1185" s="19"/>
      <c r="L1185" s="14">
        <v>8629760</v>
      </c>
      <c r="M1185" s="22">
        <v>45234</v>
      </c>
      <c r="N1185" s="19" t="s">
        <v>197</v>
      </c>
      <c r="O1185" s="19" t="s">
        <v>333</v>
      </c>
      <c r="P1185" s="15">
        <v>180</v>
      </c>
      <c r="Q1185" s="15">
        <v>154641.28</v>
      </c>
      <c r="R1185" s="15">
        <v>87089500</v>
      </c>
      <c r="S1185" s="15">
        <v>5</v>
      </c>
      <c r="T1185" s="19" t="s">
        <v>300</v>
      </c>
      <c r="U1185" s="19" t="s">
        <v>200</v>
      </c>
      <c r="V1185" s="16">
        <f t="shared" si="226"/>
        <v>7732.0640000000003</v>
      </c>
      <c r="W1185" s="16">
        <f t="shared" si="227"/>
        <v>773.20640000000003</v>
      </c>
      <c r="X1185" s="16">
        <f t="shared" si="228"/>
        <v>8505.2704000000012</v>
      </c>
      <c r="Y1185" s="16">
        <f t="shared" si="229"/>
        <v>47.251502222222229</v>
      </c>
      <c r="Z1185" s="16">
        <f t="shared" si="230"/>
        <v>859.11822222222224</v>
      </c>
      <c r="AA1185" s="17">
        <f t="shared" si="231"/>
        <v>180</v>
      </c>
      <c r="AB1185" s="10">
        <v>0</v>
      </c>
      <c r="AC1185" s="18">
        <f t="shared" si="223"/>
        <v>0</v>
      </c>
      <c r="AD1185" s="12">
        <f t="shared" si="234"/>
        <v>180</v>
      </c>
      <c r="AE1185" s="13">
        <f t="shared" si="232"/>
        <v>0</v>
      </c>
    </row>
    <row r="1186" spans="1:31">
      <c r="A1186" s="6">
        <v>8</v>
      </c>
      <c r="B1186" s="6">
        <f t="shared" si="233"/>
        <v>28</v>
      </c>
      <c r="C1186" s="6" t="str">
        <f t="shared" si="225"/>
        <v>656334800FCushion ICAB FI 2 Row C KSID, ASP5.1, BUTTON HOL2169560447991980</v>
      </c>
      <c r="D1186" s="7" t="s">
        <v>299</v>
      </c>
      <c r="E1186" s="6" t="s">
        <v>131</v>
      </c>
      <c r="F1186" s="6"/>
      <c r="G1186" s="19" t="s">
        <v>104</v>
      </c>
      <c r="H1186" s="19"/>
      <c r="I1186" s="19"/>
      <c r="J1186" s="19"/>
      <c r="K1186" s="19"/>
      <c r="L1186" s="14">
        <v>2169560</v>
      </c>
      <c r="M1186" s="22">
        <v>44799</v>
      </c>
      <c r="N1186" s="19" t="s">
        <v>185</v>
      </c>
      <c r="O1186" s="19" t="s">
        <v>332</v>
      </c>
      <c r="P1186" s="15">
        <v>1980</v>
      </c>
      <c r="Q1186" s="15">
        <v>1782469.32</v>
      </c>
      <c r="R1186" s="15">
        <v>87089500</v>
      </c>
      <c r="S1186" s="15">
        <v>5</v>
      </c>
      <c r="T1186" s="19" t="s">
        <v>300</v>
      </c>
      <c r="U1186" s="19" t="s">
        <v>200</v>
      </c>
      <c r="V1186" s="16">
        <f t="shared" si="226"/>
        <v>89123.466000000015</v>
      </c>
      <c r="W1186" s="16">
        <f t="shared" si="227"/>
        <v>8912.3466000000026</v>
      </c>
      <c r="X1186" s="16">
        <f t="shared" si="228"/>
        <v>98035.812600000019</v>
      </c>
      <c r="Y1186" s="16">
        <f t="shared" si="229"/>
        <v>49.513036666666679</v>
      </c>
      <c r="Z1186" s="16">
        <f t="shared" si="230"/>
        <v>900.23703030303034</v>
      </c>
      <c r="AA1186" s="17">
        <f t="shared" si="231"/>
        <v>1980</v>
      </c>
      <c r="AB1186" s="10">
        <v>636</v>
      </c>
      <c r="AC1186" s="18">
        <f t="shared" si="223"/>
        <v>31490.291320000008</v>
      </c>
      <c r="AD1186" s="12">
        <f t="shared" si="234"/>
        <v>1980</v>
      </c>
      <c r="AE1186" s="13">
        <f t="shared" si="232"/>
        <v>0</v>
      </c>
    </row>
    <row r="1187" spans="1:31">
      <c r="A1187" s="6">
        <v>8</v>
      </c>
      <c r="B1187" s="6">
        <f t="shared" si="233"/>
        <v>29</v>
      </c>
      <c r="C1187" s="6" t="str">
        <f t="shared" si="225"/>
        <v>656334800FCushion ICAB FI 2 Row C KSID, ASP5.1, BUTTON HOL2169560447991980</v>
      </c>
      <c r="D1187" s="7" t="s">
        <v>299</v>
      </c>
      <c r="E1187" s="6" t="s">
        <v>131</v>
      </c>
      <c r="F1187" s="6"/>
      <c r="G1187" s="19" t="s">
        <v>104</v>
      </c>
      <c r="H1187" s="19"/>
      <c r="I1187" s="19"/>
      <c r="J1187" s="19"/>
      <c r="K1187" s="19"/>
      <c r="L1187" s="14">
        <v>2169560</v>
      </c>
      <c r="M1187" s="22">
        <v>44799</v>
      </c>
      <c r="N1187" s="19" t="s">
        <v>185</v>
      </c>
      <c r="O1187" s="19" t="s">
        <v>332</v>
      </c>
      <c r="P1187" s="15">
        <v>1980</v>
      </c>
      <c r="Q1187" s="15">
        <v>1782469.3199999998</v>
      </c>
      <c r="R1187" s="15">
        <v>87089500</v>
      </c>
      <c r="S1187" s="15">
        <v>5</v>
      </c>
      <c r="T1187" s="19" t="s">
        <v>300</v>
      </c>
      <c r="U1187" s="19" t="s">
        <v>200</v>
      </c>
      <c r="V1187" s="16">
        <f t="shared" si="226"/>
        <v>89123.466</v>
      </c>
      <c r="W1187" s="16">
        <f t="shared" si="227"/>
        <v>8912.3466000000008</v>
      </c>
      <c r="X1187" s="16">
        <f t="shared" si="228"/>
        <v>98035.812600000005</v>
      </c>
      <c r="Y1187" s="16">
        <f t="shared" si="229"/>
        <v>49.513036666666672</v>
      </c>
      <c r="Z1187" s="16">
        <f t="shared" si="230"/>
        <v>900.23703030303022</v>
      </c>
      <c r="AA1187" s="17">
        <f t="shared" si="231"/>
        <v>1980</v>
      </c>
      <c r="AB1187" s="10">
        <v>1344</v>
      </c>
      <c r="AC1187" s="18">
        <f t="shared" si="223"/>
        <v>66545.521280000001</v>
      </c>
      <c r="AD1187" s="12">
        <f t="shared" si="234"/>
        <v>1980</v>
      </c>
      <c r="AE1187" s="13">
        <f t="shared" si="232"/>
        <v>0</v>
      </c>
    </row>
    <row r="1188" spans="1:31">
      <c r="A1188" s="6">
        <v>8</v>
      </c>
      <c r="B1188" s="6">
        <f t="shared" si="233"/>
        <v>30</v>
      </c>
      <c r="C1188" s="6" t="str">
        <f t="shared" si="225"/>
        <v>656334800FCushion ICAB FI 2 Row C KSID, ASP5.1, BUTTON HOL336434745419540</v>
      </c>
      <c r="D1188" s="7" t="s">
        <v>299</v>
      </c>
      <c r="E1188" s="6" t="s">
        <v>131</v>
      </c>
      <c r="F1188" s="6"/>
      <c r="G1188" s="19" t="s">
        <v>104</v>
      </c>
      <c r="H1188" s="19"/>
      <c r="I1188" s="19"/>
      <c r="J1188" s="19"/>
      <c r="K1188" s="19"/>
      <c r="L1188" s="14">
        <v>3364347</v>
      </c>
      <c r="M1188" s="22">
        <v>45419</v>
      </c>
      <c r="N1188" s="19" t="s">
        <v>197</v>
      </c>
      <c r="O1188" s="19" t="s">
        <v>332</v>
      </c>
      <c r="P1188" s="15">
        <v>540</v>
      </c>
      <c r="Q1188" s="15">
        <v>352691.17</v>
      </c>
      <c r="R1188" s="15">
        <v>87089900</v>
      </c>
      <c r="S1188" s="15">
        <v>5</v>
      </c>
      <c r="T1188" s="19" t="s">
        <v>349</v>
      </c>
      <c r="U1188" s="19" t="s">
        <v>200</v>
      </c>
      <c r="V1188" s="16">
        <f t="shared" si="226"/>
        <v>17634.558499999999</v>
      </c>
      <c r="W1188" s="16">
        <f t="shared" si="227"/>
        <v>1763.4558500000001</v>
      </c>
      <c r="X1188" s="16">
        <f t="shared" si="228"/>
        <v>19398.014349999998</v>
      </c>
      <c r="Y1188" s="16">
        <f t="shared" si="229"/>
        <v>35.922248796296294</v>
      </c>
      <c r="Z1188" s="16">
        <f t="shared" si="230"/>
        <v>653.13179629629622</v>
      </c>
      <c r="AA1188" s="17">
        <f t="shared" si="231"/>
        <v>540</v>
      </c>
      <c r="AB1188" s="10">
        <v>0</v>
      </c>
      <c r="AC1188" s="18">
        <f t="shared" si="223"/>
        <v>0</v>
      </c>
      <c r="AD1188" s="12">
        <f t="shared" si="234"/>
        <v>0</v>
      </c>
      <c r="AE1188" s="13">
        <f t="shared" si="232"/>
        <v>540</v>
      </c>
    </row>
    <row r="1189" spans="1:31">
      <c r="A1189" s="6">
        <v>8</v>
      </c>
      <c r="B1189" s="6">
        <f t="shared" si="233"/>
        <v>31</v>
      </c>
      <c r="C1189" s="6" t="str">
        <f t="shared" si="225"/>
        <v>656334800FCushion ICAB FI 2 Row C KSID, ASP5.1, BUTTON HOL414361644938360</v>
      </c>
      <c r="D1189" s="7" t="s">
        <v>299</v>
      </c>
      <c r="E1189" s="6" t="s">
        <v>131</v>
      </c>
      <c r="F1189" s="6"/>
      <c r="G1189" s="19" t="s">
        <v>104</v>
      </c>
      <c r="H1189" s="19"/>
      <c r="I1189" s="19"/>
      <c r="J1189" s="19"/>
      <c r="K1189" s="19"/>
      <c r="L1189" s="14">
        <v>4143616</v>
      </c>
      <c r="M1189" s="22">
        <v>44938</v>
      </c>
      <c r="N1189" s="19" t="s">
        <v>199</v>
      </c>
      <c r="O1189" s="19" t="s">
        <v>333</v>
      </c>
      <c r="P1189" s="15">
        <v>360</v>
      </c>
      <c r="Q1189" s="15">
        <v>327178.09000000003</v>
      </c>
      <c r="R1189" s="15">
        <v>87089500</v>
      </c>
      <c r="S1189" s="15">
        <v>5</v>
      </c>
      <c r="T1189" s="19" t="s">
        <v>300</v>
      </c>
      <c r="U1189" s="19" t="s">
        <v>200</v>
      </c>
      <c r="V1189" s="16">
        <f t="shared" si="226"/>
        <v>16358.904500000002</v>
      </c>
      <c r="W1189" s="16">
        <f t="shared" si="227"/>
        <v>1635.8904500000003</v>
      </c>
      <c r="X1189" s="16">
        <f t="shared" si="228"/>
        <v>17994.794950000003</v>
      </c>
      <c r="Y1189" s="16">
        <f t="shared" si="229"/>
        <v>49.985541527777784</v>
      </c>
      <c r="Z1189" s="16">
        <f t="shared" si="230"/>
        <v>908.82802777777783</v>
      </c>
      <c r="AA1189" s="17">
        <f t="shared" si="231"/>
        <v>360</v>
      </c>
      <c r="AB1189" s="10">
        <v>0</v>
      </c>
      <c r="AC1189" s="18">
        <f t="shared" si="223"/>
        <v>0</v>
      </c>
      <c r="AD1189" s="12">
        <f t="shared" si="234"/>
        <v>0</v>
      </c>
      <c r="AE1189" s="13">
        <f t="shared" si="232"/>
        <v>360</v>
      </c>
    </row>
    <row r="1190" spans="1:31">
      <c r="A1190" s="6">
        <v>8</v>
      </c>
      <c r="B1190" s="6">
        <f t="shared" si="233"/>
        <v>32</v>
      </c>
      <c r="C1190" s="6" t="str">
        <f t="shared" si="225"/>
        <v>666041200ACushion ICAB FI 2 Row C22875444534610000</v>
      </c>
      <c r="D1190" s="7" t="s">
        <v>299</v>
      </c>
      <c r="E1190" s="6" t="s">
        <v>472</v>
      </c>
      <c r="F1190" s="6"/>
      <c r="G1190" s="7" t="s">
        <v>237</v>
      </c>
      <c r="H1190" s="19"/>
      <c r="I1190" s="19"/>
      <c r="J1190" s="19"/>
      <c r="K1190" s="19"/>
      <c r="L1190" s="14">
        <v>2287544</v>
      </c>
      <c r="M1190" s="22">
        <v>45346</v>
      </c>
      <c r="N1190" s="19" t="s">
        <v>185</v>
      </c>
      <c r="O1190" s="19" t="s">
        <v>332</v>
      </c>
      <c r="P1190" s="15">
        <v>10000</v>
      </c>
      <c r="Q1190" s="15">
        <v>8462664.5199999996</v>
      </c>
      <c r="R1190" s="15">
        <v>87089500</v>
      </c>
      <c r="S1190" s="15">
        <v>5</v>
      </c>
      <c r="T1190" s="19" t="s">
        <v>350</v>
      </c>
      <c r="U1190" s="19" t="s">
        <v>178</v>
      </c>
      <c r="V1190" s="16">
        <f t="shared" si="226"/>
        <v>423133.22600000002</v>
      </c>
      <c r="W1190" s="16">
        <f t="shared" si="227"/>
        <v>42313.322600000007</v>
      </c>
      <c r="X1190" s="16">
        <f t="shared" si="228"/>
        <v>465446.54860000004</v>
      </c>
      <c r="Y1190" s="16">
        <f t="shared" si="229"/>
        <v>46.544654860000001</v>
      </c>
      <c r="Z1190" s="16">
        <f t="shared" si="230"/>
        <v>846.26645199999996</v>
      </c>
      <c r="AA1190" s="17">
        <f t="shared" si="231"/>
        <v>10000</v>
      </c>
      <c r="AB1190" s="10">
        <v>3264</v>
      </c>
      <c r="AC1190" s="18">
        <f t="shared" si="223"/>
        <v>151921.75346304002</v>
      </c>
      <c r="AD1190" s="12">
        <f t="shared" si="234"/>
        <v>7872</v>
      </c>
      <c r="AE1190" s="13">
        <f t="shared" si="232"/>
        <v>2128</v>
      </c>
    </row>
    <row r="1191" spans="1:31">
      <c r="A1191" s="6">
        <v>8</v>
      </c>
      <c r="B1191" s="6">
        <f t="shared" si="233"/>
        <v>33</v>
      </c>
      <c r="C1191" s="6" t="str">
        <f t="shared" si="225"/>
        <v>666041200ACushion ICAB FI 2 Row C22875444534610000</v>
      </c>
      <c r="D1191" s="7" t="s">
        <v>299</v>
      </c>
      <c r="E1191" s="6" t="s">
        <v>472</v>
      </c>
      <c r="F1191" s="6"/>
      <c r="G1191" s="7" t="s">
        <v>237</v>
      </c>
      <c r="H1191" s="19"/>
      <c r="I1191" s="19"/>
      <c r="J1191" s="19"/>
      <c r="K1191" s="19"/>
      <c r="L1191" s="14">
        <v>2287544</v>
      </c>
      <c r="M1191" s="22">
        <v>45346</v>
      </c>
      <c r="N1191" s="19" t="s">
        <v>185</v>
      </c>
      <c r="O1191" s="19" t="s">
        <v>332</v>
      </c>
      <c r="P1191" s="15">
        <v>10000</v>
      </c>
      <c r="Q1191" s="15">
        <v>8462664.5199999996</v>
      </c>
      <c r="R1191" s="15">
        <v>87089500</v>
      </c>
      <c r="S1191" s="15">
        <v>5</v>
      </c>
      <c r="T1191" s="19" t="s">
        <v>350</v>
      </c>
      <c r="U1191" s="19" t="s">
        <v>178</v>
      </c>
      <c r="V1191" s="16">
        <f t="shared" si="226"/>
        <v>423133.22600000002</v>
      </c>
      <c r="W1191" s="16">
        <f t="shared" si="227"/>
        <v>42313.322600000007</v>
      </c>
      <c r="X1191" s="16">
        <f t="shared" si="228"/>
        <v>465446.54860000004</v>
      </c>
      <c r="Y1191" s="16">
        <f t="shared" si="229"/>
        <v>46.544654860000001</v>
      </c>
      <c r="Z1191" s="16">
        <f t="shared" si="230"/>
        <v>846.26645199999996</v>
      </c>
      <c r="AA1191" s="17">
        <f t="shared" si="231"/>
        <v>10000</v>
      </c>
      <c r="AB1191" s="10">
        <v>2112</v>
      </c>
      <c r="AC1191" s="18">
        <f t="shared" si="223"/>
        <v>98302.311064320005</v>
      </c>
      <c r="AD1191" s="12">
        <f t="shared" si="234"/>
        <v>7872</v>
      </c>
      <c r="AE1191" s="13">
        <f t="shared" si="232"/>
        <v>2128</v>
      </c>
    </row>
    <row r="1192" spans="1:31">
      <c r="A1192" s="6">
        <v>8</v>
      </c>
      <c r="B1192" s="6">
        <f t="shared" si="233"/>
        <v>34</v>
      </c>
      <c r="C1192" s="6" t="str">
        <f t="shared" si="225"/>
        <v>656334800FCushion ICAB FI 2 Row C KSID, ASP5.1, BUTTON HOL3599531449001260</v>
      </c>
      <c r="D1192" s="7" t="s">
        <v>299</v>
      </c>
      <c r="E1192" s="6" t="s">
        <v>131</v>
      </c>
      <c r="F1192" s="6"/>
      <c r="G1192" s="19" t="s">
        <v>104</v>
      </c>
      <c r="H1192" s="19"/>
      <c r="I1192" s="19"/>
      <c r="J1192" s="19"/>
      <c r="K1192" s="19"/>
      <c r="L1192" s="14">
        <v>3599531</v>
      </c>
      <c r="M1192" s="22">
        <v>44900</v>
      </c>
      <c r="N1192" s="19" t="s">
        <v>199</v>
      </c>
      <c r="O1192" s="19" t="s">
        <v>333</v>
      </c>
      <c r="P1192" s="15">
        <v>1260</v>
      </c>
      <c r="Q1192" s="15">
        <v>1123391.49</v>
      </c>
      <c r="R1192" s="15">
        <v>87089500</v>
      </c>
      <c r="S1192" s="15">
        <v>5</v>
      </c>
      <c r="T1192" s="19" t="s">
        <v>206</v>
      </c>
      <c r="U1192" s="19" t="s">
        <v>200</v>
      </c>
      <c r="V1192" s="16">
        <f t="shared" si="226"/>
        <v>56169.574500000002</v>
      </c>
      <c r="W1192" s="16">
        <f t="shared" si="227"/>
        <v>5616.9574500000008</v>
      </c>
      <c r="X1192" s="16">
        <f t="shared" si="228"/>
        <v>61786.531950000004</v>
      </c>
      <c r="Y1192" s="16">
        <f t="shared" si="229"/>
        <v>49.036930119047625</v>
      </c>
      <c r="Z1192" s="16">
        <f t="shared" si="230"/>
        <v>891.58054761904759</v>
      </c>
      <c r="AA1192" s="17">
        <f t="shared" si="231"/>
        <v>1260</v>
      </c>
      <c r="AB1192" s="10">
        <v>0</v>
      </c>
      <c r="AC1192" s="18">
        <f t="shared" si="223"/>
        <v>0</v>
      </c>
      <c r="AD1192" s="12">
        <f t="shared" si="234"/>
        <v>1260</v>
      </c>
      <c r="AE1192" s="13">
        <f t="shared" si="232"/>
        <v>0</v>
      </c>
    </row>
    <row r="1193" spans="1:31">
      <c r="A1193" s="6">
        <v>8</v>
      </c>
      <c r="B1193" s="6">
        <f t="shared" si="233"/>
        <v>35</v>
      </c>
      <c r="C1193" s="6" t="str">
        <f t="shared" si="225"/>
        <v>622408300ALABEL, BLANK, BAR CODE,964466545303100000</v>
      </c>
      <c r="D1193" s="7" t="s">
        <v>299</v>
      </c>
      <c r="E1193" s="6" t="s">
        <v>473</v>
      </c>
      <c r="F1193" s="6"/>
      <c r="G1193" s="7" t="s">
        <v>239</v>
      </c>
      <c r="H1193" s="19"/>
      <c r="I1193" s="19"/>
      <c r="J1193" s="19"/>
      <c r="K1193" s="19"/>
      <c r="L1193" s="14">
        <v>9644665</v>
      </c>
      <c r="M1193" s="22">
        <v>45303</v>
      </c>
      <c r="N1193" s="19" t="s">
        <v>196</v>
      </c>
      <c r="O1193" s="19" t="s">
        <v>333</v>
      </c>
      <c r="P1193" s="15">
        <v>100000</v>
      </c>
      <c r="Q1193" s="15">
        <v>69765.98</v>
      </c>
      <c r="R1193" s="15">
        <v>87089500</v>
      </c>
      <c r="S1193" s="15">
        <v>15</v>
      </c>
      <c r="T1193" s="19" t="s">
        <v>351</v>
      </c>
      <c r="U1193" s="19" t="s">
        <v>178</v>
      </c>
      <c r="V1193" s="16">
        <f t="shared" si="226"/>
        <v>10464.896999999999</v>
      </c>
      <c r="W1193" s="16">
        <f t="shared" si="227"/>
        <v>1046.4896999999999</v>
      </c>
      <c r="X1193" s="16">
        <f t="shared" si="228"/>
        <v>11511.386699999999</v>
      </c>
      <c r="Y1193" s="16">
        <f t="shared" si="229"/>
        <v>0.11511386699999999</v>
      </c>
      <c r="Z1193" s="16">
        <f t="shared" si="230"/>
        <v>0.69765979999999994</v>
      </c>
      <c r="AA1193" s="17">
        <f t="shared" si="231"/>
        <v>100000</v>
      </c>
      <c r="AB1193" s="10">
        <v>10368</v>
      </c>
      <c r="AC1193" s="18">
        <f t="shared" si="223"/>
        <v>1193.5005730559999</v>
      </c>
      <c r="AD1193" s="12">
        <f t="shared" si="234"/>
        <v>98136</v>
      </c>
      <c r="AE1193" s="13">
        <f t="shared" si="232"/>
        <v>1864</v>
      </c>
    </row>
    <row r="1194" spans="1:31">
      <c r="A1194" s="6">
        <v>8</v>
      </c>
      <c r="B1194" s="6">
        <f t="shared" si="233"/>
        <v>36</v>
      </c>
      <c r="C1194" s="6" t="str">
        <f t="shared" si="225"/>
        <v>649421100AINFLATOR, ASP-5.1, P20, SRR, IMI, SERV, NO STUDS4866297449876912</v>
      </c>
      <c r="D1194" s="7" t="s">
        <v>299</v>
      </c>
      <c r="E1194" s="6" t="s">
        <v>469</v>
      </c>
      <c r="F1194" s="6"/>
      <c r="G1194" s="7" t="s">
        <v>16</v>
      </c>
      <c r="H1194" s="19"/>
      <c r="I1194" s="19"/>
      <c r="J1194" s="19"/>
      <c r="K1194" s="19"/>
      <c r="L1194" s="14">
        <v>4866297</v>
      </c>
      <c r="M1194" s="22">
        <v>44987</v>
      </c>
      <c r="N1194" s="19" t="s">
        <v>199</v>
      </c>
      <c r="O1194" s="19" t="s">
        <v>333</v>
      </c>
      <c r="P1194" s="15">
        <v>6912</v>
      </c>
      <c r="Q1194" s="15">
        <v>1468628.61</v>
      </c>
      <c r="R1194" s="15">
        <v>87089500</v>
      </c>
      <c r="S1194" s="15">
        <v>15</v>
      </c>
      <c r="T1194" s="19" t="s">
        <v>202</v>
      </c>
      <c r="U1194" s="19" t="s">
        <v>200</v>
      </c>
      <c r="V1194" s="16">
        <f t="shared" si="226"/>
        <v>220294.29150000002</v>
      </c>
      <c r="W1194" s="16">
        <f t="shared" si="227"/>
        <v>22029.429150000004</v>
      </c>
      <c r="X1194" s="16">
        <f t="shared" si="228"/>
        <v>242323.72065000003</v>
      </c>
      <c r="Y1194" s="16">
        <f t="shared" si="229"/>
        <v>35.058408658854169</v>
      </c>
      <c r="Z1194" s="16">
        <f t="shared" si="230"/>
        <v>212.47520399305557</v>
      </c>
      <c r="AA1194" s="17">
        <f t="shared" si="231"/>
        <v>6912</v>
      </c>
      <c r="AB1194" s="10">
        <v>5184</v>
      </c>
      <c r="AC1194" s="18">
        <f t="shared" si="223"/>
        <v>181742.79048750002</v>
      </c>
      <c r="AD1194" s="12">
        <f t="shared" si="234"/>
        <v>6912</v>
      </c>
      <c r="AE1194" s="13">
        <f t="shared" si="232"/>
        <v>0</v>
      </c>
    </row>
    <row r="1195" spans="1:31">
      <c r="A1195" s="6">
        <v>8</v>
      </c>
      <c r="B1195" s="6">
        <f t="shared" si="233"/>
        <v>37</v>
      </c>
      <c r="C1195" s="6" t="str">
        <f t="shared" si="225"/>
        <v>621343500CNUT, ISO, M5, NYLON INSE NYLON INSERT417070644928390000</v>
      </c>
      <c r="D1195" s="7" t="s">
        <v>299</v>
      </c>
      <c r="E1195" s="6" t="s">
        <v>45</v>
      </c>
      <c r="F1195" s="6"/>
      <c r="G1195" s="7" t="s">
        <v>7</v>
      </c>
      <c r="H1195" s="19"/>
      <c r="I1195" s="19"/>
      <c r="J1195" s="19"/>
      <c r="K1195" s="19"/>
      <c r="L1195" s="14">
        <v>4170706</v>
      </c>
      <c r="M1195" s="22">
        <v>44928</v>
      </c>
      <c r="N1195" s="19" t="s">
        <v>196</v>
      </c>
      <c r="O1195" s="19" t="s">
        <v>332</v>
      </c>
      <c r="P1195" s="15">
        <v>390000</v>
      </c>
      <c r="Q1195" s="15">
        <v>806536.88</v>
      </c>
      <c r="R1195" s="15">
        <v>87089500</v>
      </c>
      <c r="S1195" s="15">
        <v>15</v>
      </c>
      <c r="T1195" s="19" t="s">
        <v>301</v>
      </c>
      <c r="U1195" s="19" t="s">
        <v>178</v>
      </c>
      <c r="V1195" s="16">
        <f t="shared" si="226"/>
        <v>120980.53199999999</v>
      </c>
      <c r="W1195" s="16">
        <f t="shared" si="227"/>
        <v>12098.0532</v>
      </c>
      <c r="X1195" s="16">
        <f t="shared" si="228"/>
        <v>133078.5852</v>
      </c>
      <c r="Y1195" s="16">
        <f t="shared" si="229"/>
        <v>0.34122714153846156</v>
      </c>
      <c r="Z1195" s="16">
        <f t="shared" si="230"/>
        <v>2.0680432820512822</v>
      </c>
      <c r="AA1195" s="17">
        <f t="shared" si="231"/>
        <v>390000</v>
      </c>
      <c r="AB1195" s="10">
        <v>42156</v>
      </c>
      <c r="AC1195" s="18">
        <f t="shared" si="223"/>
        <v>14384.771378695386</v>
      </c>
      <c r="AD1195" s="12">
        <f t="shared" si="234"/>
        <v>385128</v>
      </c>
      <c r="AE1195" s="13">
        <f t="shared" si="232"/>
        <v>4872</v>
      </c>
    </row>
    <row r="1196" spans="1:31">
      <c r="A1196" s="6">
        <v>8</v>
      </c>
      <c r="B1196" s="6">
        <f t="shared" si="233"/>
        <v>38</v>
      </c>
      <c r="C1196" s="6" t="str">
        <f t="shared" si="225"/>
        <v>643302000AINFLATOR, ADP-1.3B, MP, MIB, SQUARE, NO STUD48666694498725920</v>
      </c>
      <c r="D1196" s="7" t="s">
        <v>299</v>
      </c>
      <c r="E1196" s="6" t="s">
        <v>46</v>
      </c>
      <c r="F1196" s="6"/>
      <c r="G1196" s="7" t="s">
        <v>8</v>
      </c>
      <c r="H1196" s="19"/>
      <c r="I1196" s="19"/>
      <c r="J1196" s="19"/>
      <c r="K1196" s="19"/>
      <c r="L1196" s="14">
        <v>4866669</v>
      </c>
      <c r="M1196" s="22">
        <v>44987</v>
      </c>
      <c r="N1196" s="19" t="s">
        <v>199</v>
      </c>
      <c r="O1196" s="19" t="s">
        <v>333</v>
      </c>
      <c r="P1196" s="15">
        <v>25920</v>
      </c>
      <c r="Q1196" s="15">
        <v>9541861.9800000004</v>
      </c>
      <c r="R1196" s="15">
        <v>87089500</v>
      </c>
      <c r="S1196" s="15">
        <v>15</v>
      </c>
      <c r="T1196" s="19" t="s">
        <v>202</v>
      </c>
      <c r="U1196" s="19" t="s">
        <v>200</v>
      </c>
      <c r="V1196" s="16">
        <f t="shared" si="226"/>
        <v>1431279.297</v>
      </c>
      <c r="W1196" s="16">
        <f t="shared" si="227"/>
        <v>143127.92970000001</v>
      </c>
      <c r="X1196" s="16">
        <f t="shared" si="228"/>
        <v>1574407.2267</v>
      </c>
      <c r="Y1196" s="16">
        <f t="shared" si="229"/>
        <v>60.741019548611114</v>
      </c>
      <c r="Z1196" s="16">
        <f t="shared" si="230"/>
        <v>368.12739120370372</v>
      </c>
      <c r="AA1196" s="17">
        <f t="shared" si="231"/>
        <v>25920</v>
      </c>
      <c r="AB1196" s="10">
        <v>8208</v>
      </c>
      <c r="AC1196" s="18">
        <f t="shared" si="223"/>
        <v>498562.28845500003</v>
      </c>
      <c r="AD1196" s="12">
        <f t="shared" si="234"/>
        <v>25920</v>
      </c>
      <c r="AE1196" s="13">
        <f t="shared" si="232"/>
        <v>0</v>
      </c>
    </row>
    <row r="1197" spans="1:31">
      <c r="A1197" s="6">
        <v>8</v>
      </c>
      <c r="B1197" s="6">
        <f t="shared" si="233"/>
        <v>39</v>
      </c>
      <c r="C1197" s="6" t="str">
        <f t="shared" si="225"/>
        <v>570028800FNUT, ISO, M5, LOCK, THRE LOCK, THREE SIDED TAMPER393103644928624000</v>
      </c>
      <c r="D1197" s="7" t="s">
        <v>299</v>
      </c>
      <c r="E1197" s="6" t="s">
        <v>47</v>
      </c>
      <c r="F1197" s="6"/>
      <c r="G1197" s="7" t="s">
        <v>9</v>
      </c>
      <c r="H1197" s="19"/>
      <c r="I1197" s="19"/>
      <c r="J1197" s="19"/>
      <c r="K1197" s="19"/>
      <c r="L1197" s="14">
        <v>3931036</v>
      </c>
      <c r="M1197" s="22">
        <v>44928</v>
      </c>
      <c r="N1197" s="19" t="s">
        <v>185</v>
      </c>
      <c r="O1197" s="19" t="s">
        <v>332</v>
      </c>
      <c r="P1197" s="15">
        <v>624000</v>
      </c>
      <c r="Q1197" s="15">
        <v>1155867.1000000001</v>
      </c>
      <c r="R1197" s="15">
        <v>87089500</v>
      </c>
      <c r="S1197" s="15">
        <v>15</v>
      </c>
      <c r="T1197" s="19" t="s">
        <v>302</v>
      </c>
      <c r="U1197" s="19" t="s">
        <v>178</v>
      </c>
      <c r="V1197" s="16">
        <f t="shared" si="226"/>
        <v>173380.065</v>
      </c>
      <c r="W1197" s="16">
        <f t="shared" si="227"/>
        <v>17338.0065</v>
      </c>
      <c r="X1197" s="16">
        <f t="shared" si="228"/>
        <v>190718.07149999999</v>
      </c>
      <c r="Y1197" s="16">
        <f t="shared" si="229"/>
        <v>0.30563793509615383</v>
      </c>
      <c r="Z1197" s="16">
        <f t="shared" si="230"/>
        <v>1.852351121794872</v>
      </c>
      <c r="AA1197" s="17">
        <f t="shared" si="231"/>
        <v>624000</v>
      </c>
      <c r="AB1197" s="10">
        <v>22176</v>
      </c>
      <c r="AC1197" s="18">
        <f t="shared" si="223"/>
        <v>6777.8268486923071</v>
      </c>
      <c r="AD1197" s="12">
        <f t="shared" si="234"/>
        <v>227952</v>
      </c>
      <c r="AE1197" s="13">
        <f t="shared" si="232"/>
        <v>396048</v>
      </c>
    </row>
    <row r="1198" spans="1:31">
      <c r="A1198" s="6">
        <v>8</v>
      </c>
      <c r="B1198" s="6">
        <f t="shared" si="233"/>
        <v>40</v>
      </c>
      <c r="C1198" s="6" t="str">
        <f t="shared" si="225"/>
        <v>655116100ALABEL, BLANK, 50.0, 25.0  LABEL, BLANK, 2PCS, 50X42294544483145000</v>
      </c>
      <c r="D1198" s="7" t="s">
        <v>299</v>
      </c>
      <c r="E1198" s="6" t="s">
        <v>49</v>
      </c>
      <c r="F1198" s="6"/>
      <c r="G1198" s="7" t="s">
        <v>11</v>
      </c>
      <c r="H1198" s="19"/>
      <c r="I1198" s="19"/>
      <c r="J1198" s="19"/>
      <c r="K1198" s="19"/>
      <c r="L1198" s="14">
        <v>4229454</v>
      </c>
      <c r="M1198" s="22">
        <v>44831</v>
      </c>
      <c r="N1198" s="19" t="s">
        <v>196</v>
      </c>
      <c r="O1198" s="19" t="s">
        <v>333</v>
      </c>
      <c r="P1198" s="15">
        <v>45000</v>
      </c>
      <c r="Q1198" s="15">
        <v>127149.27</v>
      </c>
      <c r="R1198" s="15">
        <v>87089500</v>
      </c>
      <c r="S1198" s="15">
        <v>15</v>
      </c>
      <c r="T1198" s="19" t="s">
        <v>303</v>
      </c>
      <c r="U1198" s="19" t="s">
        <v>178</v>
      </c>
      <c r="V1198" s="16">
        <f t="shared" si="226"/>
        <v>19072.390500000001</v>
      </c>
      <c r="W1198" s="16">
        <f t="shared" si="227"/>
        <v>1907.2390500000001</v>
      </c>
      <c r="X1198" s="16">
        <f t="shared" si="228"/>
        <v>20979.629550000001</v>
      </c>
      <c r="Y1198" s="16">
        <f t="shared" si="229"/>
        <v>0.46621399000000002</v>
      </c>
      <c r="Z1198" s="16">
        <f t="shared" si="230"/>
        <v>2.8255393333333334</v>
      </c>
      <c r="AA1198" s="17">
        <f t="shared" si="231"/>
        <v>45000</v>
      </c>
      <c r="AB1198" s="10">
        <v>7875</v>
      </c>
      <c r="AC1198" s="18">
        <f t="shared" si="223"/>
        <v>3671.4351712500002</v>
      </c>
      <c r="AD1198" s="12">
        <f t="shared" si="234"/>
        <v>45000</v>
      </c>
      <c r="AE1198" s="13">
        <f t="shared" si="232"/>
        <v>0</v>
      </c>
    </row>
    <row r="1199" spans="1:31">
      <c r="A1199" s="6">
        <v>8</v>
      </c>
      <c r="B1199" s="6">
        <f t="shared" si="233"/>
        <v>41</v>
      </c>
      <c r="C1199" s="6" t="str">
        <f t="shared" si="225"/>
        <v>609183701ASTUD, M6 X 1.0, 16.0561310344974140000</v>
      </c>
      <c r="D1199" s="7" t="s">
        <v>299</v>
      </c>
      <c r="E1199" s="6" t="s">
        <v>51</v>
      </c>
      <c r="F1199" s="6"/>
      <c r="G1199" s="7" t="s">
        <v>411</v>
      </c>
      <c r="H1199" s="19"/>
      <c r="I1199" s="19"/>
      <c r="J1199" s="19"/>
      <c r="K1199" s="19"/>
      <c r="L1199" s="14">
        <v>5613103</v>
      </c>
      <c r="M1199" s="22">
        <v>44974</v>
      </c>
      <c r="N1199" s="19" t="s">
        <v>185</v>
      </c>
      <c r="O1199" s="19" t="s">
        <v>332</v>
      </c>
      <c r="P1199" s="15">
        <v>140000</v>
      </c>
      <c r="Q1199" s="15">
        <v>402663.89</v>
      </c>
      <c r="R1199" s="15">
        <v>87082900</v>
      </c>
      <c r="S1199" s="15">
        <v>15</v>
      </c>
      <c r="T1199" s="19" t="s">
        <v>304</v>
      </c>
      <c r="U1199" s="19" t="s">
        <v>178</v>
      </c>
      <c r="V1199" s="16">
        <f t="shared" si="226"/>
        <v>60399.583500000001</v>
      </c>
      <c r="W1199" s="16">
        <f t="shared" si="227"/>
        <v>6039.9583500000008</v>
      </c>
      <c r="X1199" s="16">
        <f t="shared" si="228"/>
        <v>66439.541850000009</v>
      </c>
      <c r="Y1199" s="16">
        <f t="shared" si="229"/>
        <v>0.47456815607142866</v>
      </c>
      <c r="Z1199" s="16">
        <f t="shared" si="230"/>
        <v>2.8761706428571427</v>
      </c>
      <c r="AA1199" s="17">
        <f t="shared" si="231"/>
        <v>140000</v>
      </c>
      <c r="AB1199" s="10">
        <v>23808</v>
      </c>
      <c r="AC1199" s="18">
        <f t="shared" si="223"/>
        <v>11298.518659748574</v>
      </c>
      <c r="AD1199" s="12">
        <f t="shared" si="234"/>
        <v>140000</v>
      </c>
      <c r="AE1199" s="13">
        <f t="shared" si="232"/>
        <v>0</v>
      </c>
    </row>
    <row r="1200" spans="1:31">
      <c r="A1200" s="6">
        <v>8</v>
      </c>
      <c r="B1200" s="6">
        <f t="shared" si="233"/>
        <v>42</v>
      </c>
      <c r="C1200" s="6" t="str">
        <f t="shared" si="225"/>
        <v>616531900ARING, CRIMP, CLAMP, BAND466647844973100000</v>
      </c>
      <c r="D1200" s="7" t="s">
        <v>299</v>
      </c>
      <c r="E1200" s="6" t="s">
        <v>52</v>
      </c>
      <c r="F1200" s="6"/>
      <c r="G1200" s="7" t="s">
        <v>410</v>
      </c>
      <c r="H1200" s="19"/>
      <c r="I1200" s="19"/>
      <c r="J1200" s="19"/>
      <c r="K1200" s="19"/>
      <c r="L1200" s="14">
        <v>4666478</v>
      </c>
      <c r="M1200" s="22">
        <v>44973</v>
      </c>
      <c r="N1200" s="19" t="s">
        <v>199</v>
      </c>
      <c r="O1200" s="19" t="s">
        <v>333</v>
      </c>
      <c r="P1200" s="15">
        <v>100000</v>
      </c>
      <c r="Q1200" s="15">
        <v>1733493.63</v>
      </c>
      <c r="R1200" s="15">
        <v>87089500</v>
      </c>
      <c r="S1200" s="15">
        <v>15</v>
      </c>
      <c r="T1200" s="19" t="s">
        <v>305</v>
      </c>
      <c r="U1200" s="19" t="s">
        <v>178</v>
      </c>
      <c r="V1200" s="16">
        <f t="shared" si="226"/>
        <v>260024.04449999996</v>
      </c>
      <c r="W1200" s="16">
        <f t="shared" si="227"/>
        <v>26002.404449999998</v>
      </c>
      <c r="X1200" s="16">
        <f t="shared" si="228"/>
        <v>286026.44894999993</v>
      </c>
      <c r="Y1200" s="16">
        <f t="shared" si="229"/>
        <v>2.8602644894999991</v>
      </c>
      <c r="Z1200" s="16">
        <f t="shared" si="230"/>
        <v>17.334936299999999</v>
      </c>
      <c r="AA1200" s="17">
        <f t="shared" si="231"/>
        <v>100000</v>
      </c>
      <c r="AB1200" s="10">
        <v>17280</v>
      </c>
      <c r="AC1200" s="18">
        <f t="shared" si="223"/>
        <v>49425.370378559986</v>
      </c>
      <c r="AD1200" s="12">
        <f t="shared" si="234"/>
        <v>100000</v>
      </c>
      <c r="AE1200" s="13">
        <f t="shared" si="232"/>
        <v>0</v>
      </c>
    </row>
    <row r="1201" spans="1:31">
      <c r="A1201" s="6">
        <v>8</v>
      </c>
      <c r="B1201" s="6">
        <f t="shared" si="233"/>
        <v>43</v>
      </c>
      <c r="C1201" s="6" t="str">
        <f t="shared" si="225"/>
        <v>PC47516-3810SNAP-IN-FASTENER, PUSH P PUSH PIN, BLACK43773094523742000</v>
      </c>
      <c r="D1201" s="7" t="s">
        <v>299</v>
      </c>
      <c r="E1201" s="6" t="s">
        <v>54</v>
      </c>
      <c r="F1201" s="6"/>
      <c r="G1201" s="7" t="s">
        <v>14</v>
      </c>
      <c r="H1201" s="19"/>
      <c r="I1201" s="19"/>
      <c r="J1201" s="19"/>
      <c r="K1201" s="19"/>
      <c r="L1201" s="14">
        <v>4377309</v>
      </c>
      <c r="M1201" s="22">
        <v>45237</v>
      </c>
      <c r="N1201" s="19" t="s">
        <v>196</v>
      </c>
      <c r="O1201" s="19" t="s">
        <v>333</v>
      </c>
      <c r="P1201" s="15">
        <v>42000</v>
      </c>
      <c r="Q1201" s="15">
        <v>48121.48</v>
      </c>
      <c r="R1201" s="15">
        <v>87089500</v>
      </c>
      <c r="S1201" s="15">
        <v>15</v>
      </c>
      <c r="T1201" s="19" t="s">
        <v>306</v>
      </c>
      <c r="U1201" s="19" t="s">
        <v>178</v>
      </c>
      <c r="V1201" s="16">
        <f t="shared" si="226"/>
        <v>7218.2220000000007</v>
      </c>
      <c r="W1201" s="16">
        <f t="shared" si="227"/>
        <v>721.82220000000007</v>
      </c>
      <c r="X1201" s="16">
        <f t="shared" si="228"/>
        <v>7940.0442000000003</v>
      </c>
      <c r="Y1201" s="16">
        <f t="shared" si="229"/>
        <v>0.18904867142857143</v>
      </c>
      <c r="Z1201" s="16">
        <f t="shared" si="230"/>
        <v>1.1457495238095239</v>
      </c>
      <c r="AA1201" s="17">
        <f t="shared" si="231"/>
        <v>42000</v>
      </c>
      <c r="AB1201" s="10">
        <v>5376</v>
      </c>
      <c r="AC1201" s="18">
        <f t="shared" si="223"/>
        <v>1016.3256576</v>
      </c>
      <c r="AD1201" s="12">
        <f t="shared" si="234"/>
        <v>41976</v>
      </c>
      <c r="AE1201" s="13">
        <f t="shared" si="232"/>
        <v>24</v>
      </c>
    </row>
    <row r="1202" spans="1:31">
      <c r="A1202" s="6">
        <v>8</v>
      </c>
      <c r="B1202" s="6">
        <f t="shared" si="233"/>
        <v>44</v>
      </c>
      <c r="C1202" s="6" t="str">
        <f t="shared" si="225"/>
        <v>649421100AINFLATOR, ASP-5.1, P20, SRR, IMI, SERV, NO STUDS4181950449405184</v>
      </c>
      <c r="D1202" s="7" t="s">
        <v>299</v>
      </c>
      <c r="E1202" s="6" t="s">
        <v>469</v>
      </c>
      <c r="F1202" s="6"/>
      <c r="G1202" s="7" t="s">
        <v>16</v>
      </c>
      <c r="H1202" s="19"/>
      <c r="I1202" s="19"/>
      <c r="J1202" s="19"/>
      <c r="K1202" s="19"/>
      <c r="L1202" s="14">
        <v>4181950</v>
      </c>
      <c r="M1202" s="22">
        <v>44940</v>
      </c>
      <c r="N1202" s="19" t="s">
        <v>199</v>
      </c>
      <c r="O1202" s="19" t="s">
        <v>333</v>
      </c>
      <c r="P1202" s="15">
        <v>5184</v>
      </c>
      <c r="Q1202" s="15">
        <v>1466083.43</v>
      </c>
      <c r="R1202" s="15">
        <v>87089500</v>
      </c>
      <c r="S1202" s="15">
        <v>15</v>
      </c>
      <c r="T1202" s="19" t="s">
        <v>202</v>
      </c>
      <c r="U1202" s="19" t="s">
        <v>200</v>
      </c>
      <c r="V1202" s="16">
        <f t="shared" si="226"/>
        <v>219912.51449999999</v>
      </c>
      <c r="W1202" s="16">
        <f t="shared" si="227"/>
        <v>21991.25145</v>
      </c>
      <c r="X1202" s="16">
        <f t="shared" si="228"/>
        <v>241903.76595</v>
      </c>
      <c r="Y1202" s="16">
        <f t="shared" si="229"/>
        <v>46.663535098379633</v>
      </c>
      <c r="Z1202" s="16">
        <f t="shared" si="230"/>
        <v>282.80930362654317</v>
      </c>
      <c r="AA1202" s="17">
        <f t="shared" si="231"/>
        <v>5184</v>
      </c>
      <c r="AB1202" s="10">
        <v>1080</v>
      </c>
      <c r="AC1202" s="18">
        <f t="shared" si="223"/>
        <v>50396.617906250001</v>
      </c>
      <c r="AD1202" s="12">
        <f t="shared" si="234"/>
        <v>5184</v>
      </c>
      <c r="AE1202" s="13">
        <f t="shared" si="232"/>
        <v>0</v>
      </c>
    </row>
    <row r="1203" spans="1:31">
      <c r="A1203" s="6">
        <v>8</v>
      </c>
      <c r="B1203" s="6">
        <f t="shared" si="233"/>
        <v>45</v>
      </c>
      <c r="C1203" s="6" t="str">
        <f t="shared" si="225"/>
        <v>649421100AINFLATOR, ASP-5.1, P20, SRR, IMI, SERV, NO STUDS4946913449936912</v>
      </c>
      <c r="D1203" s="7" t="s">
        <v>299</v>
      </c>
      <c r="E1203" s="6" t="s">
        <v>469</v>
      </c>
      <c r="F1203" s="6"/>
      <c r="G1203" s="7" t="s">
        <v>16</v>
      </c>
      <c r="H1203" s="19"/>
      <c r="I1203" s="19"/>
      <c r="J1203" s="19"/>
      <c r="K1203" s="19"/>
      <c r="L1203" s="14">
        <v>4946913</v>
      </c>
      <c r="M1203" s="22">
        <v>44993</v>
      </c>
      <c r="N1203" s="19" t="s">
        <v>199</v>
      </c>
      <c r="O1203" s="19" t="s">
        <v>333</v>
      </c>
      <c r="P1203" s="15">
        <v>6912</v>
      </c>
      <c r="Q1203" s="15">
        <v>1466083.43</v>
      </c>
      <c r="R1203" s="15">
        <v>87089500</v>
      </c>
      <c r="S1203" s="15">
        <v>15</v>
      </c>
      <c r="T1203" s="19" t="s">
        <v>202</v>
      </c>
      <c r="U1203" s="19" t="s">
        <v>200</v>
      </c>
      <c r="V1203" s="16">
        <f t="shared" si="226"/>
        <v>219912.51449999999</v>
      </c>
      <c r="W1203" s="16">
        <f t="shared" si="227"/>
        <v>21991.25145</v>
      </c>
      <c r="X1203" s="16">
        <f t="shared" si="228"/>
        <v>241903.76595</v>
      </c>
      <c r="Y1203" s="16">
        <f t="shared" si="229"/>
        <v>34.997651323784723</v>
      </c>
      <c r="Z1203" s="16">
        <f t="shared" si="230"/>
        <v>212.10697771990741</v>
      </c>
      <c r="AA1203" s="17">
        <f t="shared" si="231"/>
        <v>6912</v>
      </c>
      <c r="AB1203" s="10">
        <v>2376</v>
      </c>
      <c r="AC1203" s="18">
        <f t="shared" si="223"/>
        <v>83154.419545312499</v>
      </c>
      <c r="AD1203" s="12">
        <f t="shared" si="234"/>
        <v>6576</v>
      </c>
      <c r="AE1203" s="13">
        <f t="shared" si="232"/>
        <v>336</v>
      </c>
    </row>
    <row r="1204" spans="1:31">
      <c r="A1204" s="6">
        <v>8</v>
      </c>
      <c r="B1204" s="6">
        <f t="shared" si="233"/>
        <v>46</v>
      </c>
      <c r="C1204" s="6" t="str">
        <f t="shared" si="225"/>
        <v>649421100AINFLATOR, ASP-5.1, P20, SRR, IMI, SERV, NO STUDS5225530450106912</v>
      </c>
      <c r="D1204" s="7" t="s">
        <v>299</v>
      </c>
      <c r="E1204" s="6" t="s">
        <v>469</v>
      </c>
      <c r="F1204" s="6"/>
      <c r="G1204" s="7" t="s">
        <v>16</v>
      </c>
      <c r="H1204" s="19"/>
      <c r="I1204" s="19"/>
      <c r="J1204" s="19"/>
      <c r="K1204" s="19"/>
      <c r="L1204" s="14">
        <v>5225530</v>
      </c>
      <c r="M1204" s="22">
        <v>45010</v>
      </c>
      <c r="N1204" s="19" t="s">
        <v>197</v>
      </c>
      <c r="O1204" s="19" t="s">
        <v>333</v>
      </c>
      <c r="P1204" s="15">
        <v>6912</v>
      </c>
      <c r="Q1204" s="15">
        <v>1466083.43</v>
      </c>
      <c r="R1204" s="15">
        <v>87089500</v>
      </c>
      <c r="S1204" s="15">
        <v>15</v>
      </c>
      <c r="T1204" s="19" t="s">
        <v>202</v>
      </c>
      <c r="U1204" s="19" t="s">
        <v>200</v>
      </c>
      <c r="V1204" s="16">
        <f t="shared" si="226"/>
        <v>219912.51449999999</v>
      </c>
      <c r="W1204" s="16">
        <f t="shared" si="227"/>
        <v>21991.25145</v>
      </c>
      <c r="X1204" s="16">
        <f t="shared" si="228"/>
        <v>241903.76595</v>
      </c>
      <c r="Y1204" s="16">
        <f t="shared" si="229"/>
        <v>34.997651323784723</v>
      </c>
      <c r="Z1204" s="16">
        <f t="shared" si="230"/>
        <v>212.10697771990741</v>
      </c>
      <c r="AA1204" s="17">
        <f t="shared" si="231"/>
        <v>6912</v>
      </c>
      <c r="AB1204" s="10">
        <v>0</v>
      </c>
      <c r="AC1204" s="18">
        <f t="shared" si="223"/>
        <v>0</v>
      </c>
      <c r="AD1204" s="12">
        <f t="shared" si="234"/>
        <v>4464</v>
      </c>
      <c r="AE1204" s="13">
        <f t="shared" si="232"/>
        <v>2448</v>
      </c>
    </row>
    <row r="1205" spans="1:31">
      <c r="A1205" s="6">
        <v>9</v>
      </c>
      <c r="B1205" s="6">
        <v>1</v>
      </c>
      <c r="C1205" s="6" t="str">
        <f t="shared" si="225"/>
        <v>603171100BTAPE, ADHESIVE, TERAOKA TERAOKA NO.560S 221409284533650000</v>
      </c>
      <c r="D1205" s="7" t="s">
        <v>242</v>
      </c>
      <c r="E1205" s="6" t="s">
        <v>50</v>
      </c>
      <c r="F1205" s="6"/>
      <c r="G1205" s="7" t="s">
        <v>12</v>
      </c>
      <c r="H1205" s="19"/>
      <c r="I1205" s="19"/>
      <c r="J1205" s="19"/>
      <c r="K1205" s="19"/>
      <c r="L1205" s="14">
        <v>2140928</v>
      </c>
      <c r="M1205" s="22">
        <v>45336</v>
      </c>
      <c r="N1205" s="19" t="s">
        <v>196</v>
      </c>
      <c r="O1205" s="19" t="s">
        <v>333</v>
      </c>
      <c r="P1205" s="15">
        <v>50000</v>
      </c>
      <c r="Q1205" s="15">
        <v>283973.52</v>
      </c>
      <c r="R1205" s="15">
        <v>87089500</v>
      </c>
      <c r="S1205" s="15">
        <v>15</v>
      </c>
      <c r="T1205" s="19" t="s">
        <v>323</v>
      </c>
      <c r="U1205" s="19" t="s">
        <v>178</v>
      </c>
      <c r="V1205" s="16">
        <f t="shared" si="226"/>
        <v>42596.027999999998</v>
      </c>
      <c r="W1205" s="16">
        <f t="shared" si="227"/>
        <v>4259.6027999999997</v>
      </c>
      <c r="X1205" s="16">
        <f t="shared" si="228"/>
        <v>46855.630799999999</v>
      </c>
      <c r="Y1205" s="16">
        <f t="shared" si="229"/>
        <v>0.93711261599999995</v>
      </c>
      <c r="Z1205" s="16">
        <f t="shared" si="230"/>
        <v>5.6794704000000005</v>
      </c>
      <c r="AA1205" s="17">
        <f t="shared" si="231"/>
        <v>50000</v>
      </c>
      <c r="AB1205" s="10">
        <v>1008</v>
      </c>
      <c r="AC1205" s="18">
        <f t="shared" si="223"/>
        <v>944.60951692799995</v>
      </c>
      <c r="AD1205" s="12">
        <f t="shared" si="234"/>
        <v>9129.6</v>
      </c>
      <c r="AE1205" s="13">
        <f t="shared" si="232"/>
        <v>40870.400000000001</v>
      </c>
    </row>
    <row r="1206" spans="1:31">
      <c r="A1206" s="6">
        <v>9</v>
      </c>
      <c r="B1206" s="6">
        <f t="shared" si="233"/>
        <v>2</v>
      </c>
      <c r="C1206" s="6" t="str">
        <f t="shared" si="225"/>
        <v>656334900FAB Cushion ICAB FI 2 Row C KSID, ASP5.1, BUTTON HOL263517045370900</v>
      </c>
      <c r="D1206" s="7" t="s">
        <v>242</v>
      </c>
      <c r="E1206" s="6" t="s">
        <v>474</v>
      </c>
      <c r="F1206" s="6"/>
      <c r="G1206" s="19" t="s">
        <v>243</v>
      </c>
      <c r="H1206" s="19"/>
      <c r="I1206" s="19"/>
      <c r="J1206" s="19"/>
      <c r="K1206" s="19"/>
      <c r="L1206" s="14">
        <v>2635170</v>
      </c>
      <c r="M1206" s="22">
        <v>45370</v>
      </c>
      <c r="N1206" s="19" t="s">
        <v>197</v>
      </c>
      <c r="O1206" s="19" t="s">
        <v>333</v>
      </c>
      <c r="P1206" s="15">
        <v>900</v>
      </c>
      <c r="Q1206" s="15">
        <v>582444.63</v>
      </c>
      <c r="R1206" s="15">
        <v>87089900</v>
      </c>
      <c r="S1206" s="15">
        <v>5</v>
      </c>
      <c r="T1206" s="19" t="s">
        <v>348</v>
      </c>
      <c r="U1206" s="19" t="s">
        <v>200</v>
      </c>
      <c r="V1206" s="16">
        <f t="shared" si="226"/>
        <v>29122.231500000002</v>
      </c>
      <c r="W1206" s="16">
        <f t="shared" si="227"/>
        <v>2912.2231500000003</v>
      </c>
      <c r="X1206" s="16">
        <f t="shared" si="228"/>
        <v>32034.454650000003</v>
      </c>
      <c r="Y1206" s="16">
        <f t="shared" si="229"/>
        <v>35.593838500000004</v>
      </c>
      <c r="Z1206" s="16">
        <f t="shared" si="230"/>
        <v>647.16070000000002</v>
      </c>
      <c r="AA1206" s="17">
        <f t="shared" si="231"/>
        <v>900</v>
      </c>
      <c r="AB1206" s="10">
        <v>900</v>
      </c>
      <c r="AC1206" s="18">
        <f t="shared" si="223"/>
        <v>32034.454650000003</v>
      </c>
      <c r="AD1206" s="12">
        <f t="shared" si="234"/>
        <v>900</v>
      </c>
      <c r="AE1206" s="13">
        <f t="shared" si="232"/>
        <v>0</v>
      </c>
    </row>
    <row r="1207" spans="1:31">
      <c r="A1207" s="6">
        <v>9</v>
      </c>
      <c r="B1207" s="6">
        <f t="shared" si="233"/>
        <v>3</v>
      </c>
      <c r="C1207" s="6" t="str">
        <f t="shared" si="225"/>
        <v>656334900FAB Cushion ICAB FI 2 Row C KSID, ASP5.1, BUTTON HOL414361644938360</v>
      </c>
      <c r="D1207" s="7" t="s">
        <v>242</v>
      </c>
      <c r="E1207" s="6" t="s">
        <v>474</v>
      </c>
      <c r="F1207" s="6"/>
      <c r="G1207" s="19" t="s">
        <v>243</v>
      </c>
      <c r="H1207" s="19"/>
      <c r="I1207" s="19"/>
      <c r="J1207" s="19"/>
      <c r="K1207" s="19"/>
      <c r="L1207" s="14">
        <v>4143616</v>
      </c>
      <c r="M1207" s="22">
        <v>44938</v>
      </c>
      <c r="N1207" s="19" t="s">
        <v>199</v>
      </c>
      <c r="O1207" s="19" t="s">
        <v>333</v>
      </c>
      <c r="P1207" s="15">
        <v>360</v>
      </c>
      <c r="Q1207" s="15">
        <v>327178.09000000003</v>
      </c>
      <c r="R1207" s="15">
        <v>87089500</v>
      </c>
      <c r="S1207" s="15">
        <v>5</v>
      </c>
      <c r="T1207" s="19" t="s">
        <v>300</v>
      </c>
      <c r="U1207" s="19" t="s">
        <v>200</v>
      </c>
      <c r="V1207" s="16">
        <f t="shared" si="226"/>
        <v>16358.904500000002</v>
      </c>
      <c r="W1207" s="16">
        <f t="shared" si="227"/>
        <v>1635.8904500000003</v>
      </c>
      <c r="X1207" s="16">
        <f t="shared" si="228"/>
        <v>17994.794950000003</v>
      </c>
      <c r="Y1207" s="16">
        <f t="shared" si="229"/>
        <v>49.985541527777784</v>
      </c>
      <c r="Z1207" s="16">
        <f t="shared" si="230"/>
        <v>908.82802777777783</v>
      </c>
      <c r="AA1207" s="17">
        <f t="shared" si="231"/>
        <v>360</v>
      </c>
      <c r="AB1207" s="10">
        <v>252</v>
      </c>
      <c r="AC1207" s="18">
        <f t="shared" ref="AC1207:AC1270" si="235">AB1207*Y1207</f>
        <v>12596.356465000001</v>
      </c>
      <c r="AD1207" s="12">
        <f t="shared" si="234"/>
        <v>252</v>
      </c>
      <c r="AE1207" s="13">
        <f t="shared" si="232"/>
        <v>108</v>
      </c>
    </row>
    <row r="1208" spans="1:31">
      <c r="A1208" s="6">
        <v>9</v>
      </c>
      <c r="B1208" s="6">
        <f t="shared" si="233"/>
        <v>4</v>
      </c>
      <c r="C1208" s="6" t="str">
        <f t="shared" si="225"/>
        <v>640294000AAB INFLATOR, ASP-2, GEN15,26887494537310368</v>
      </c>
      <c r="D1208" s="7" t="s">
        <v>242</v>
      </c>
      <c r="E1208" s="6" t="s">
        <v>475</v>
      </c>
      <c r="F1208" s="6"/>
      <c r="G1208" s="7" t="s">
        <v>244</v>
      </c>
      <c r="H1208" s="19"/>
      <c r="I1208" s="19"/>
      <c r="J1208" s="19"/>
      <c r="K1208" s="19"/>
      <c r="L1208" s="14">
        <v>2688749</v>
      </c>
      <c r="M1208" s="22">
        <v>45373</v>
      </c>
      <c r="N1208" s="19" t="s">
        <v>197</v>
      </c>
      <c r="O1208" s="19" t="s">
        <v>332</v>
      </c>
      <c r="P1208" s="15">
        <v>10368</v>
      </c>
      <c r="Q1208" s="15">
        <v>2672724.9</v>
      </c>
      <c r="R1208" s="15">
        <v>87089500</v>
      </c>
      <c r="S1208" s="15">
        <v>15</v>
      </c>
      <c r="T1208" s="19" t="s">
        <v>352</v>
      </c>
      <c r="U1208" s="19" t="s">
        <v>200</v>
      </c>
      <c r="V1208" s="16">
        <f t="shared" si="226"/>
        <v>400908.73499999999</v>
      </c>
      <c r="W1208" s="16">
        <f t="shared" si="227"/>
        <v>40090.873500000002</v>
      </c>
      <c r="X1208" s="16">
        <f t="shared" si="228"/>
        <v>440999.60849999997</v>
      </c>
      <c r="Y1208" s="16">
        <f t="shared" si="229"/>
        <v>42.534684461805554</v>
      </c>
      <c r="Z1208" s="16">
        <f t="shared" si="230"/>
        <v>257.78596643518517</v>
      </c>
      <c r="AA1208" s="17">
        <f t="shared" si="231"/>
        <v>10368</v>
      </c>
      <c r="AB1208" s="10">
        <v>1440</v>
      </c>
      <c r="AC1208" s="18">
        <f t="shared" si="235"/>
        <v>61249.945625</v>
      </c>
      <c r="AD1208" s="12">
        <f t="shared" si="234"/>
        <v>9504</v>
      </c>
      <c r="AE1208" s="13">
        <f t="shared" si="232"/>
        <v>864</v>
      </c>
    </row>
    <row r="1209" spans="1:31">
      <c r="A1209" s="6">
        <v>9</v>
      </c>
      <c r="B1209" s="6">
        <f t="shared" si="233"/>
        <v>5</v>
      </c>
      <c r="C1209" s="6" t="str">
        <f t="shared" si="225"/>
        <v>640294200AINFLATOR, ASP-2, GEN15,26887494537310368</v>
      </c>
      <c r="D1209" s="7" t="s">
        <v>242</v>
      </c>
      <c r="E1209" s="6" t="s">
        <v>470</v>
      </c>
      <c r="F1209" s="6"/>
      <c r="G1209" s="7" t="s">
        <v>238</v>
      </c>
      <c r="H1209" s="19"/>
      <c r="I1209" s="19"/>
      <c r="J1209" s="19"/>
      <c r="K1209" s="19"/>
      <c r="L1209" s="14">
        <v>2688749</v>
      </c>
      <c r="M1209" s="22">
        <v>45373</v>
      </c>
      <c r="N1209" s="19" t="s">
        <v>197</v>
      </c>
      <c r="O1209" s="19" t="s">
        <v>332</v>
      </c>
      <c r="P1209" s="15">
        <v>10368</v>
      </c>
      <c r="Q1209" s="15">
        <v>2672724.9</v>
      </c>
      <c r="R1209" s="15">
        <v>87089500</v>
      </c>
      <c r="S1209" s="15">
        <v>15</v>
      </c>
      <c r="T1209" s="19" t="s">
        <v>352</v>
      </c>
      <c r="U1209" s="19" t="s">
        <v>200</v>
      </c>
      <c r="V1209" s="16">
        <f t="shared" si="226"/>
        <v>400908.73499999999</v>
      </c>
      <c r="W1209" s="16">
        <f t="shared" si="227"/>
        <v>40090.873500000002</v>
      </c>
      <c r="X1209" s="16">
        <f t="shared" si="228"/>
        <v>440999.60849999997</v>
      </c>
      <c r="Y1209" s="16">
        <f t="shared" si="229"/>
        <v>42.534684461805554</v>
      </c>
      <c r="Z1209" s="16">
        <f t="shared" si="230"/>
        <v>257.78596643518517</v>
      </c>
      <c r="AA1209" s="17">
        <f t="shared" si="231"/>
        <v>10368</v>
      </c>
      <c r="AB1209" s="10">
        <v>1152</v>
      </c>
      <c r="AC1209" s="18">
        <f t="shared" si="235"/>
        <v>48999.9565</v>
      </c>
      <c r="AD1209" s="12">
        <f t="shared" si="234"/>
        <v>9792</v>
      </c>
      <c r="AE1209" s="13">
        <f t="shared" si="232"/>
        <v>576</v>
      </c>
    </row>
    <row r="1210" spans="1:31">
      <c r="A1210" s="6">
        <v>9</v>
      </c>
      <c r="B1210" s="6">
        <f t="shared" si="233"/>
        <v>6</v>
      </c>
      <c r="C1210" s="6" t="str">
        <f t="shared" si="225"/>
        <v>643302000AINFLATOR, ADP-1.3B, MP, MIB, SQUARE, NO STUD50570854500014688</v>
      </c>
      <c r="D1210" s="7" t="s">
        <v>242</v>
      </c>
      <c r="E1210" s="6" t="s">
        <v>46</v>
      </c>
      <c r="F1210" s="6"/>
      <c r="G1210" s="7" t="s">
        <v>8</v>
      </c>
      <c r="H1210" s="19"/>
      <c r="I1210" s="19"/>
      <c r="J1210" s="19"/>
      <c r="K1210" s="19"/>
      <c r="L1210" s="14">
        <v>5057085</v>
      </c>
      <c r="M1210" s="22">
        <v>45000</v>
      </c>
      <c r="N1210" s="19" t="s">
        <v>197</v>
      </c>
      <c r="O1210" s="19" t="s">
        <v>333</v>
      </c>
      <c r="P1210" s="15">
        <v>14688</v>
      </c>
      <c r="Q1210" s="15">
        <v>5384941.5700000003</v>
      </c>
      <c r="R1210" s="15">
        <v>87089500</v>
      </c>
      <c r="S1210" s="15">
        <v>15</v>
      </c>
      <c r="T1210" s="19" t="s">
        <v>202</v>
      </c>
      <c r="U1210" s="19" t="s">
        <v>200</v>
      </c>
      <c r="V1210" s="16">
        <f t="shared" si="226"/>
        <v>807741.23550000007</v>
      </c>
      <c r="W1210" s="16">
        <f t="shared" si="227"/>
        <v>80774.123550000018</v>
      </c>
      <c r="X1210" s="16">
        <f t="shared" si="228"/>
        <v>888515.35905000009</v>
      </c>
      <c r="Y1210" s="16">
        <f t="shared" si="229"/>
        <v>60.492603421160133</v>
      </c>
      <c r="Z1210" s="16">
        <f t="shared" si="230"/>
        <v>366.62183891612204</v>
      </c>
      <c r="AA1210" s="17">
        <f t="shared" si="231"/>
        <v>14688</v>
      </c>
      <c r="AB1210" s="10">
        <v>2034</v>
      </c>
      <c r="AC1210" s="18">
        <f t="shared" si="235"/>
        <v>123041.95535863971</v>
      </c>
      <c r="AD1210" s="12">
        <f t="shared" si="234"/>
        <v>14688</v>
      </c>
      <c r="AE1210" s="13">
        <f t="shared" si="232"/>
        <v>0</v>
      </c>
    </row>
    <row r="1211" spans="1:31">
      <c r="A1211" s="6">
        <v>9</v>
      </c>
      <c r="B1211" s="6">
        <f t="shared" si="233"/>
        <v>7</v>
      </c>
      <c r="C1211" s="6" t="str">
        <f t="shared" si="225"/>
        <v>649421000AAB INFLATOR, ASP-5.1, P20, SRR, IMI, SERV, NO STUDS5057085450001728</v>
      </c>
      <c r="D1211" s="7" t="s">
        <v>242</v>
      </c>
      <c r="E1211" s="6" t="s">
        <v>56</v>
      </c>
      <c r="F1211" s="6"/>
      <c r="G1211" s="7" t="s">
        <v>245</v>
      </c>
      <c r="H1211" s="19"/>
      <c r="I1211" s="19"/>
      <c r="J1211" s="19"/>
      <c r="K1211" s="19"/>
      <c r="L1211" s="14">
        <v>5057085</v>
      </c>
      <c r="M1211" s="22">
        <v>45000</v>
      </c>
      <c r="N1211" s="19" t="s">
        <v>197</v>
      </c>
      <c r="O1211" s="19" t="s">
        <v>333</v>
      </c>
      <c r="P1211" s="15">
        <v>1728</v>
      </c>
      <c r="Q1211" s="15">
        <v>336464.12</v>
      </c>
      <c r="R1211" s="15">
        <v>87089500</v>
      </c>
      <c r="S1211" s="15">
        <v>15</v>
      </c>
      <c r="T1211" s="19" t="s">
        <v>202</v>
      </c>
      <c r="U1211" s="19" t="s">
        <v>200</v>
      </c>
      <c r="V1211" s="16">
        <f t="shared" si="226"/>
        <v>50469.617999999995</v>
      </c>
      <c r="W1211" s="16">
        <f t="shared" si="227"/>
        <v>5046.9618</v>
      </c>
      <c r="X1211" s="16">
        <f t="shared" si="228"/>
        <v>55516.579799999992</v>
      </c>
      <c r="Y1211" s="16">
        <f t="shared" si="229"/>
        <v>32.127650347222215</v>
      </c>
      <c r="Z1211" s="16">
        <f t="shared" si="230"/>
        <v>194.71303240740741</v>
      </c>
      <c r="AA1211" s="17">
        <f t="shared" si="231"/>
        <v>1728</v>
      </c>
      <c r="AB1211" s="10">
        <v>0</v>
      </c>
      <c r="AC1211" s="18">
        <f t="shared" si="235"/>
        <v>0</v>
      </c>
      <c r="AD1211" s="12">
        <f t="shared" si="234"/>
        <v>1569</v>
      </c>
      <c r="AE1211" s="13">
        <f t="shared" si="232"/>
        <v>159</v>
      </c>
    </row>
    <row r="1212" spans="1:31">
      <c r="A1212" s="6">
        <v>9</v>
      </c>
      <c r="B1212" s="6">
        <f t="shared" si="233"/>
        <v>8</v>
      </c>
      <c r="C1212" s="6" t="str">
        <f t="shared" si="225"/>
        <v>649421100AINFLATOR, ASP-5.1, P20, SRR, IMI, SERV, NO STUDS3855694449175184</v>
      </c>
      <c r="D1212" s="7" t="s">
        <v>242</v>
      </c>
      <c r="E1212" s="6" t="s">
        <v>469</v>
      </c>
      <c r="F1212" s="6"/>
      <c r="G1212" s="7" t="s">
        <v>16</v>
      </c>
      <c r="H1212" s="19"/>
      <c r="I1212" s="19"/>
      <c r="J1212" s="19"/>
      <c r="K1212" s="19"/>
      <c r="L1212" s="14">
        <v>3855694</v>
      </c>
      <c r="M1212" s="22">
        <v>44917</v>
      </c>
      <c r="N1212" s="19" t="s">
        <v>185</v>
      </c>
      <c r="O1212" s="19" t="s">
        <v>332</v>
      </c>
      <c r="P1212" s="15">
        <v>5184</v>
      </c>
      <c r="Q1212" s="15">
        <v>1007235.65</v>
      </c>
      <c r="R1212" s="15">
        <v>87089500</v>
      </c>
      <c r="S1212" s="15">
        <v>15</v>
      </c>
      <c r="T1212" s="19" t="s">
        <v>203</v>
      </c>
      <c r="U1212" s="19" t="s">
        <v>200</v>
      </c>
      <c r="V1212" s="16">
        <f t="shared" si="226"/>
        <v>151085.3475</v>
      </c>
      <c r="W1212" s="16">
        <f t="shared" si="227"/>
        <v>15108.534750000001</v>
      </c>
      <c r="X1212" s="16">
        <f t="shared" si="228"/>
        <v>166193.88225</v>
      </c>
      <c r="Y1212" s="16">
        <f t="shared" si="229"/>
        <v>32.059005063657409</v>
      </c>
      <c r="Z1212" s="16">
        <f t="shared" si="230"/>
        <v>194.29700038580248</v>
      </c>
      <c r="AA1212" s="17">
        <f t="shared" si="231"/>
        <v>5184</v>
      </c>
      <c r="AB1212" s="10">
        <v>1720</v>
      </c>
      <c r="AC1212" s="18">
        <f t="shared" si="235"/>
        <v>55141.488709490746</v>
      </c>
      <c r="AD1212" s="12">
        <f t="shared" si="234"/>
        <v>4288</v>
      </c>
      <c r="AE1212" s="13">
        <f t="shared" si="232"/>
        <v>896</v>
      </c>
    </row>
    <row r="1213" spans="1:31">
      <c r="A1213" s="6">
        <v>9</v>
      </c>
      <c r="B1213" s="6">
        <f t="shared" si="233"/>
        <v>9</v>
      </c>
      <c r="C1213" s="6" t="str">
        <f t="shared" si="225"/>
        <v>655226900AINFLATOR APP-4.6, 325KPA 1.8MOL, STANDARD MIB SQU2688749453734320</v>
      </c>
      <c r="D1213" s="7" t="s">
        <v>242</v>
      </c>
      <c r="E1213" s="6" t="s">
        <v>130</v>
      </c>
      <c r="F1213" s="6"/>
      <c r="G1213" s="7" t="s">
        <v>102</v>
      </c>
      <c r="H1213" s="19"/>
      <c r="I1213" s="19"/>
      <c r="J1213" s="19"/>
      <c r="K1213" s="19"/>
      <c r="L1213" s="14">
        <v>2688749</v>
      </c>
      <c r="M1213" s="22">
        <v>45373</v>
      </c>
      <c r="N1213" s="19" t="s">
        <v>197</v>
      </c>
      <c r="O1213" s="19" t="s">
        <v>332</v>
      </c>
      <c r="P1213" s="15">
        <v>4320</v>
      </c>
      <c r="Q1213" s="15">
        <v>1785591.63</v>
      </c>
      <c r="R1213" s="15">
        <v>87089500</v>
      </c>
      <c r="S1213" s="15">
        <v>15</v>
      </c>
      <c r="T1213" s="19" t="s">
        <v>352</v>
      </c>
      <c r="U1213" s="19" t="s">
        <v>200</v>
      </c>
      <c r="V1213" s="16">
        <f t="shared" si="226"/>
        <v>267838.74449999997</v>
      </c>
      <c r="W1213" s="16">
        <f t="shared" si="227"/>
        <v>26783.874449999999</v>
      </c>
      <c r="X1213" s="16">
        <f t="shared" si="228"/>
        <v>294622.61894999997</v>
      </c>
      <c r="Y1213" s="16">
        <f t="shared" si="229"/>
        <v>68.199680312499993</v>
      </c>
      <c r="Z1213" s="16">
        <f t="shared" si="230"/>
        <v>413.33139583333332</v>
      </c>
      <c r="AA1213" s="17">
        <f t="shared" si="231"/>
        <v>4320</v>
      </c>
      <c r="AB1213" s="10">
        <v>756</v>
      </c>
      <c r="AC1213" s="18">
        <f t="shared" si="235"/>
        <v>51558.958316249991</v>
      </c>
      <c r="AD1213" s="12">
        <f t="shared" si="234"/>
        <v>4152</v>
      </c>
      <c r="AE1213" s="13">
        <f t="shared" si="232"/>
        <v>168</v>
      </c>
    </row>
    <row r="1214" spans="1:31">
      <c r="A1214" s="6">
        <v>9</v>
      </c>
      <c r="B1214" s="6">
        <f t="shared" si="233"/>
        <v>10</v>
      </c>
      <c r="C1214" s="6" t="str">
        <f t="shared" si="225"/>
        <v>666041100AAB Cushion ICAB FI 2 Row C22875444534610000</v>
      </c>
      <c r="D1214" s="7" t="s">
        <v>242</v>
      </c>
      <c r="E1214" s="6" t="s">
        <v>476</v>
      </c>
      <c r="F1214" s="6"/>
      <c r="G1214" s="7" t="s">
        <v>246</v>
      </c>
      <c r="H1214" s="19"/>
      <c r="I1214" s="19"/>
      <c r="J1214" s="19"/>
      <c r="K1214" s="19"/>
      <c r="L1214" s="14">
        <v>2287544</v>
      </c>
      <c r="M1214" s="22">
        <v>45346</v>
      </c>
      <c r="N1214" s="19" t="s">
        <v>185</v>
      </c>
      <c r="O1214" s="19" t="s">
        <v>332</v>
      </c>
      <c r="P1214" s="15">
        <v>10000</v>
      </c>
      <c r="Q1214" s="15">
        <v>8462664.5199999996</v>
      </c>
      <c r="R1214" s="15">
        <v>87089500</v>
      </c>
      <c r="S1214" s="15">
        <v>5</v>
      </c>
      <c r="T1214" s="19" t="s">
        <v>350</v>
      </c>
      <c r="U1214" s="19" t="s">
        <v>178</v>
      </c>
      <c r="V1214" s="16">
        <f t="shared" si="226"/>
        <v>423133.22600000002</v>
      </c>
      <c r="W1214" s="16">
        <f t="shared" si="227"/>
        <v>42313.322600000007</v>
      </c>
      <c r="X1214" s="16">
        <f t="shared" si="228"/>
        <v>465446.54860000004</v>
      </c>
      <c r="Y1214" s="16">
        <f t="shared" si="229"/>
        <v>46.544654860000001</v>
      </c>
      <c r="Z1214" s="16">
        <f t="shared" si="230"/>
        <v>846.26645199999996</v>
      </c>
      <c r="AA1214" s="17">
        <f t="shared" si="231"/>
        <v>10000</v>
      </c>
      <c r="AB1214" s="10">
        <v>1720</v>
      </c>
      <c r="AC1214" s="18">
        <f t="shared" si="235"/>
        <v>80056.806359199996</v>
      </c>
      <c r="AD1214" s="12">
        <f t="shared" si="234"/>
        <v>9680</v>
      </c>
      <c r="AE1214" s="13">
        <f t="shared" si="232"/>
        <v>320</v>
      </c>
    </row>
    <row r="1215" spans="1:31">
      <c r="A1215" s="6">
        <v>9</v>
      </c>
      <c r="B1215" s="6">
        <f t="shared" si="233"/>
        <v>11</v>
      </c>
      <c r="C1215" s="6" t="str">
        <f t="shared" si="225"/>
        <v>625090202BTAPE, IC, CONTINUOUS, 13.0 MM., PET 3M 842160848104506935100</v>
      </c>
      <c r="D1215" s="7" t="s">
        <v>242</v>
      </c>
      <c r="E1215" s="6" t="s">
        <v>128</v>
      </c>
      <c r="F1215" s="6"/>
      <c r="G1215" s="19" t="s">
        <v>103</v>
      </c>
      <c r="H1215" s="19"/>
      <c r="I1215" s="19"/>
      <c r="J1215" s="19"/>
      <c r="K1215" s="19"/>
      <c r="L1215" s="14">
        <v>6084810</v>
      </c>
      <c r="M1215" s="22">
        <v>45069</v>
      </c>
      <c r="N1215" s="19" t="s">
        <v>196</v>
      </c>
      <c r="O1215" s="19" t="s">
        <v>333</v>
      </c>
      <c r="P1215" s="15">
        <v>35100</v>
      </c>
      <c r="Q1215" s="15">
        <v>432493.1</v>
      </c>
      <c r="R1215" s="15">
        <v>87089500</v>
      </c>
      <c r="S1215" s="15">
        <v>15</v>
      </c>
      <c r="T1215" s="19" t="s">
        <v>228</v>
      </c>
      <c r="U1215" s="19" t="s">
        <v>178</v>
      </c>
      <c r="V1215" s="16">
        <f t="shared" si="226"/>
        <v>64873.964999999997</v>
      </c>
      <c r="W1215" s="16">
        <f t="shared" si="227"/>
        <v>6487.3964999999998</v>
      </c>
      <c r="X1215" s="16">
        <f t="shared" si="228"/>
        <v>71361.361499999999</v>
      </c>
      <c r="Y1215" s="16">
        <f t="shared" si="229"/>
        <v>2.033087222222222</v>
      </c>
      <c r="Z1215" s="16">
        <f t="shared" si="230"/>
        <v>12.32174074074074</v>
      </c>
      <c r="AA1215" s="17">
        <f t="shared" si="231"/>
        <v>35100</v>
      </c>
      <c r="AB1215" s="10">
        <v>540</v>
      </c>
      <c r="AC1215" s="18">
        <f t="shared" si="235"/>
        <v>1097.8670999999999</v>
      </c>
      <c r="AD1215" s="12">
        <f t="shared" si="234"/>
        <v>540</v>
      </c>
      <c r="AE1215" s="13">
        <f t="shared" si="232"/>
        <v>34560</v>
      </c>
    </row>
    <row r="1216" spans="1:31">
      <c r="A1216" s="6">
        <v>9</v>
      </c>
      <c r="B1216" s="6">
        <f t="shared" si="233"/>
        <v>12</v>
      </c>
      <c r="C1216" s="6" t="str">
        <f t="shared" si="225"/>
        <v>625090202BTAPE, IC, CONTINUOUS, 13.0 MM., PET 3M 842199866694478523400</v>
      </c>
      <c r="D1216" s="7" t="s">
        <v>242</v>
      </c>
      <c r="E1216" s="6" t="s">
        <v>128</v>
      </c>
      <c r="F1216" s="6"/>
      <c r="G1216" s="19" t="s">
        <v>103</v>
      </c>
      <c r="H1216" s="19"/>
      <c r="I1216" s="19"/>
      <c r="J1216" s="19"/>
      <c r="K1216" s="19"/>
      <c r="L1216" s="14">
        <v>9986669</v>
      </c>
      <c r="M1216" s="22">
        <v>44785</v>
      </c>
      <c r="N1216" s="19" t="s">
        <v>196</v>
      </c>
      <c r="O1216" s="19" t="s">
        <v>333</v>
      </c>
      <c r="P1216" s="15">
        <v>23400</v>
      </c>
      <c r="Q1216" s="15">
        <v>296203.28000000003</v>
      </c>
      <c r="R1216" s="15">
        <v>87089500</v>
      </c>
      <c r="S1216" s="15">
        <v>15</v>
      </c>
      <c r="T1216" s="19" t="s">
        <v>341</v>
      </c>
      <c r="U1216" s="19" t="s">
        <v>178</v>
      </c>
      <c r="V1216" s="16">
        <f t="shared" si="226"/>
        <v>44430.492000000006</v>
      </c>
      <c r="W1216" s="16">
        <f t="shared" si="227"/>
        <v>4443.0492000000004</v>
      </c>
      <c r="X1216" s="16">
        <f t="shared" si="228"/>
        <v>48873.541200000007</v>
      </c>
      <c r="Y1216" s="16">
        <f t="shared" si="229"/>
        <v>2.0886128717948722</v>
      </c>
      <c r="Z1216" s="16">
        <f t="shared" si="230"/>
        <v>12.65825982905983</v>
      </c>
      <c r="AA1216" s="17">
        <f t="shared" si="231"/>
        <v>23400</v>
      </c>
      <c r="AB1216" s="10">
        <v>360</v>
      </c>
      <c r="AC1216" s="18">
        <f t="shared" si="235"/>
        <v>751.90063384615405</v>
      </c>
      <c r="AD1216" s="12">
        <f t="shared" si="234"/>
        <v>360</v>
      </c>
      <c r="AE1216" s="13">
        <f t="shared" si="232"/>
        <v>23040</v>
      </c>
    </row>
    <row r="1217" spans="1:31">
      <c r="A1217" s="6">
        <v>9</v>
      </c>
      <c r="B1217" s="6">
        <f t="shared" si="233"/>
        <v>13</v>
      </c>
      <c r="C1217" s="6" t="str">
        <f t="shared" si="225"/>
        <v>625090202BTAPE, IC, CONTINUOUS, 13.0 MM., PET 3M 842122592074480535100</v>
      </c>
      <c r="D1217" s="7" t="s">
        <v>242</v>
      </c>
      <c r="E1217" s="6" t="s">
        <v>128</v>
      </c>
      <c r="F1217" s="6"/>
      <c r="G1217" s="19" t="s">
        <v>103</v>
      </c>
      <c r="H1217" s="19"/>
      <c r="I1217" s="19"/>
      <c r="J1217" s="19"/>
      <c r="K1217" s="19"/>
      <c r="L1217" s="14">
        <v>2259207</v>
      </c>
      <c r="M1217" s="22">
        <v>44805</v>
      </c>
      <c r="N1217" s="19" t="s">
        <v>196</v>
      </c>
      <c r="O1217" s="19" t="s">
        <v>333</v>
      </c>
      <c r="P1217" s="15">
        <v>35100</v>
      </c>
      <c r="Q1217" s="15">
        <v>389967.2</v>
      </c>
      <c r="R1217" s="15">
        <v>87089500</v>
      </c>
      <c r="S1217" s="15">
        <v>15</v>
      </c>
      <c r="T1217" s="19" t="s">
        <v>341</v>
      </c>
      <c r="U1217" s="19" t="s">
        <v>178</v>
      </c>
      <c r="V1217" s="16">
        <f t="shared" si="226"/>
        <v>58495.08</v>
      </c>
      <c r="W1217" s="16">
        <f t="shared" si="227"/>
        <v>5849.5080000000007</v>
      </c>
      <c r="X1217" s="16">
        <f t="shared" si="228"/>
        <v>64344.588000000003</v>
      </c>
      <c r="Y1217" s="16">
        <f t="shared" si="229"/>
        <v>1.8331791452991455</v>
      </c>
      <c r="Z1217" s="16">
        <f t="shared" si="230"/>
        <v>11.110176638176638</v>
      </c>
      <c r="AA1217" s="17">
        <f t="shared" si="231"/>
        <v>35100</v>
      </c>
      <c r="AB1217" s="10">
        <v>252</v>
      </c>
      <c r="AC1217" s="18">
        <f t="shared" si="235"/>
        <v>461.96114461538468</v>
      </c>
      <c r="AD1217" s="12">
        <f t="shared" si="234"/>
        <v>252</v>
      </c>
      <c r="AE1217" s="13">
        <f t="shared" si="232"/>
        <v>34848</v>
      </c>
    </row>
    <row r="1218" spans="1:31">
      <c r="A1218" s="6">
        <v>9</v>
      </c>
      <c r="B1218" s="6">
        <f t="shared" si="233"/>
        <v>14</v>
      </c>
      <c r="C1218" s="6" t="str">
        <f t="shared" ref="C1218:C1281" si="236">E1218&amp;G1218&amp;L1218&amp;M1218&amp;P1218</f>
        <v>649421000AAB INFLATOR, ASP-5.1, P20, SRR, IMI, SERV, NO STUDS4946913449936912</v>
      </c>
      <c r="D1218" s="7" t="s">
        <v>242</v>
      </c>
      <c r="E1218" s="6" t="s">
        <v>56</v>
      </c>
      <c r="F1218" s="6"/>
      <c r="G1218" s="7" t="s">
        <v>245</v>
      </c>
      <c r="H1218" s="19"/>
      <c r="I1218" s="19"/>
      <c r="J1218" s="19"/>
      <c r="K1218" s="19"/>
      <c r="L1218" s="14">
        <v>4946913</v>
      </c>
      <c r="M1218" s="22">
        <v>44993</v>
      </c>
      <c r="N1218" s="19" t="s">
        <v>199</v>
      </c>
      <c r="O1218" s="19" t="s">
        <v>333</v>
      </c>
      <c r="P1218" s="15">
        <v>6912</v>
      </c>
      <c r="Q1218" s="15">
        <v>1466083.43</v>
      </c>
      <c r="R1218" s="15">
        <v>87089500</v>
      </c>
      <c r="S1218" s="15">
        <v>15</v>
      </c>
      <c r="T1218" s="19" t="s">
        <v>202</v>
      </c>
      <c r="U1218" s="19" t="s">
        <v>200</v>
      </c>
      <c r="V1218" s="16">
        <f t="shared" si="226"/>
        <v>219912.51449999999</v>
      </c>
      <c r="W1218" s="16">
        <f t="shared" si="227"/>
        <v>21991.25145</v>
      </c>
      <c r="X1218" s="16">
        <f t="shared" si="228"/>
        <v>241903.76595</v>
      </c>
      <c r="Y1218" s="16">
        <f t="shared" si="229"/>
        <v>34.997651323784723</v>
      </c>
      <c r="Z1218" s="16">
        <f t="shared" si="230"/>
        <v>212.10697771990741</v>
      </c>
      <c r="AA1218" s="17">
        <f t="shared" si="231"/>
        <v>6912</v>
      </c>
      <c r="AB1218" s="10">
        <v>2792</v>
      </c>
      <c r="AC1218" s="18">
        <f t="shared" si="235"/>
        <v>97713.442496006945</v>
      </c>
      <c r="AD1218" s="12">
        <f t="shared" si="234"/>
        <v>6912</v>
      </c>
      <c r="AE1218" s="13">
        <f t="shared" si="232"/>
        <v>0</v>
      </c>
    </row>
    <row r="1219" spans="1:31">
      <c r="A1219" s="6">
        <v>9</v>
      </c>
      <c r="B1219" s="6">
        <f t="shared" si="233"/>
        <v>15</v>
      </c>
      <c r="C1219" s="6" t="str">
        <f t="shared" si="236"/>
        <v>666041200ACushion ICAB FI 2 Row C9318219452801500</v>
      </c>
      <c r="D1219" s="7" t="s">
        <v>242</v>
      </c>
      <c r="E1219" s="6" t="s">
        <v>472</v>
      </c>
      <c r="F1219" s="6"/>
      <c r="G1219" s="7" t="s">
        <v>237</v>
      </c>
      <c r="H1219" s="19"/>
      <c r="I1219" s="19"/>
      <c r="J1219" s="19"/>
      <c r="K1219" s="19"/>
      <c r="L1219" s="14">
        <v>9318219</v>
      </c>
      <c r="M1219" s="22">
        <v>45280</v>
      </c>
      <c r="N1219" s="19" t="s">
        <v>196</v>
      </c>
      <c r="O1219" s="19" t="s">
        <v>333</v>
      </c>
      <c r="P1219" s="15">
        <v>1500</v>
      </c>
      <c r="Q1219" s="15">
        <v>1593646.78</v>
      </c>
      <c r="R1219" s="15">
        <v>87089500</v>
      </c>
      <c r="S1219" s="15">
        <v>5</v>
      </c>
      <c r="T1219" s="19" t="s">
        <v>248</v>
      </c>
      <c r="U1219" s="19" t="s">
        <v>178</v>
      </c>
      <c r="V1219" s="16">
        <f t="shared" si="226"/>
        <v>79682.339000000007</v>
      </c>
      <c r="W1219" s="16">
        <f t="shared" si="227"/>
        <v>7968.2339000000011</v>
      </c>
      <c r="X1219" s="16">
        <f t="shared" si="228"/>
        <v>87650.572900000014</v>
      </c>
      <c r="Y1219" s="16">
        <f t="shared" si="229"/>
        <v>58.433715266666674</v>
      </c>
      <c r="Z1219" s="16">
        <f t="shared" si="230"/>
        <v>1062.4311866666667</v>
      </c>
      <c r="AA1219" s="17">
        <f t="shared" si="231"/>
        <v>1500</v>
      </c>
      <c r="AB1219" s="10">
        <v>1500</v>
      </c>
      <c r="AC1219" s="18">
        <f t="shared" si="235"/>
        <v>87650.572900000014</v>
      </c>
      <c r="AD1219" s="12">
        <f t="shared" si="234"/>
        <v>1500</v>
      </c>
      <c r="AE1219" s="13">
        <f t="shared" si="232"/>
        <v>0</v>
      </c>
    </row>
    <row r="1220" spans="1:31">
      <c r="A1220" s="6">
        <v>9</v>
      </c>
      <c r="B1220" s="6">
        <f t="shared" si="233"/>
        <v>16</v>
      </c>
      <c r="C1220" s="6" t="str">
        <f t="shared" si="236"/>
        <v>621343500CNUT, ISO, M5, NYLON INSE NYLON INSERT417070644928390000</v>
      </c>
      <c r="D1220" s="7" t="s">
        <v>242</v>
      </c>
      <c r="E1220" s="6" t="s">
        <v>45</v>
      </c>
      <c r="F1220" s="6"/>
      <c r="G1220" s="7" t="s">
        <v>7</v>
      </c>
      <c r="H1220" s="19"/>
      <c r="I1220" s="19"/>
      <c r="J1220" s="19"/>
      <c r="K1220" s="19"/>
      <c r="L1220" s="14">
        <v>4170706</v>
      </c>
      <c r="M1220" s="22">
        <v>44928</v>
      </c>
      <c r="N1220" s="19" t="s">
        <v>196</v>
      </c>
      <c r="O1220" s="19" t="s">
        <v>332</v>
      </c>
      <c r="P1220" s="15">
        <v>390000</v>
      </c>
      <c r="Q1220" s="15">
        <v>806536.88</v>
      </c>
      <c r="R1220" s="15">
        <v>87089500</v>
      </c>
      <c r="S1220" s="15">
        <v>15</v>
      </c>
      <c r="T1220" s="19" t="s">
        <v>301</v>
      </c>
      <c r="U1220" s="19" t="s">
        <v>178</v>
      </c>
      <c r="V1220" s="16">
        <f t="shared" ref="V1220:V1283" si="237">Q1220*S1220%</f>
        <v>120980.53199999999</v>
      </c>
      <c r="W1220" s="16">
        <f t="shared" ref="W1220:W1283" si="238">V1220*0.1</f>
        <v>12098.0532</v>
      </c>
      <c r="X1220" s="16">
        <f t="shared" ref="X1220:X1283" si="239">V1220+W1220</f>
        <v>133078.5852</v>
      </c>
      <c r="Y1220" s="16">
        <f t="shared" ref="Y1220:Y1283" si="240">X1220/P1220</f>
        <v>0.34122714153846156</v>
      </c>
      <c r="Z1220" s="16">
        <f t="shared" ref="Z1220:Z1283" si="241">Q1220/P1220</f>
        <v>2.0680432820512822</v>
      </c>
      <c r="AA1220" s="17">
        <f t="shared" ref="AA1220:AA1283" si="242">P1220</f>
        <v>390000</v>
      </c>
      <c r="AB1220" s="10">
        <v>11160</v>
      </c>
      <c r="AC1220" s="18">
        <f t="shared" si="235"/>
        <v>3808.0948995692311</v>
      </c>
      <c r="AD1220" s="12">
        <f t="shared" si="234"/>
        <v>385128</v>
      </c>
      <c r="AE1220" s="13">
        <f t="shared" ref="AE1220:AE1283" si="243">AA1220-AD1220</f>
        <v>4872</v>
      </c>
    </row>
    <row r="1221" spans="1:31">
      <c r="A1221" s="6">
        <v>9</v>
      </c>
      <c r="B1221" s="6">
        <f t="shared" si="233"/>
        <v>17</v>
      </c>
      <c r="C1221" s="6" t="str">
        <f t="shared" si="236"/>
        <v>570028800FNUT, ISO, M5, LOCK, THRE LOCK, THREE SIDED TAMPER393103644928624000</v>
      </c>
      <c r="D1221" s="7" t="s">
        <v>242</v>
      </c>
      <c r="E1221" s="6" t="s">
        <v>47</v>
      </c>
      <c r="F1221" s="6"/>
      <c r="G1221" s="7" t="s">
        <v>9</v>
      </c>
      <c r="H1221" s="19"/>
      <c r="I1221" s="19"/>
      <c r="J1221" s="19"/>
      <c r="K1221" s="19"/>
      <c r="L1221" s="14">
        <v>3931036</v>
      </c>
      <c r="M1221" s="22">
        <v>44928</v>
      </c>
      <c r="N1221" s="19" t="s">
        <v>185</v>
      </c>
      <c r="O1221" s="19" t="s">
        <v>332</v>
      </c>
      <c r="P1221" s="15">
        <v>624000</v>
      </c>
      <c r="Q1221" s="15">
        <v>1155867.1000000001</v>
      </c>
      <c r="R1221" s="15">
        <v>87089500</v>
      </c>
      <c r="S1221" s="15">
        <v>15</v>
      </c>
      <c r="T1221" s="19" t="s">
        <v>302</v>
      </c>
      <c r="U1221" s="19" t="s">
        <v>178</v>
      </c>
      <c r="V1221" s="16">
        <f t="shared" si="237"/>
        <v>173380.065</v>
      </c>
      <c r="W1221" s="16">
        <f t="shared" si="238"/>
        <v>17338.0065</v>
      </c>
      <c r="X1221" s="16">
        <f t="shared" si="239"/>
        <v>190718.07149999999</v>
      </c>
      <c r="Y1221" s="16">
        <f t="shared" si="240"/>
        <v>0.30563793509615383</v>
      </c>
      <c r="Z1221" s="16">
        <f t="shared" si="241"/>
        <v>1.852351121794872</v>
      </c>
      <c r="AA1221" s="17">
        <f t="shared" si="242"/>
        <v>624000</v>
      </c>
      <c r="AB1221" s="10">
        <v>6048</v>
      </c>
      <c r="AC1221" s="18">
        <f t="shared" si="235"/>
        <v>1848.4982314615384</v>
      </c>
      <c r="AD1221" s="12">
        <f t="shared" si="234"/>
        <v>227952</v>
      </c>
      <c r="AE1221" s="13">
        <f t="shared" si="243"/>
        <v>396048</v>
      </c>
    </row>
    <row r="1222" spans="1:31">
      <c r="A1222" s="6">
        <v>9</v>
      </c>
      <c r="B1222" s="6">
        <f t="shared" si="233"/>
        <v>18</v>
      </c>
      <c r="C1222" s="6" t="str">
        <f t="shared" si="236"/>
        <v>655116100ALABEL, BLANK, 50.0, 25.0  LABEL, BLANK, 2PCS, 50X42294544483145000</v>
      </c>
      <c r="D1222" s="7" t="s">
        <v>242</v>
      </c>
      <c r="E1222" s="6" t="s">
        <v>49</v>
      </c>
      <c r="F1222" s="6"/>
      <c r="G1222" s="7" t="s">
        <v>11</v>
      </c>
      <c r="H1222" s="19"/>
      <c r="I1222" s="19"/>
      <c r="J1222" s="19"/>
      <c r="K1222" s="19"/>
      <c r="L1222" s="14">
        <v>4229454</v>
      </c>
      <c r="M1222" s="22">
        <v>44831</v>
      </c>
      <c r="N1222" s="19" t="s">
        <v>196</v>
      </c>
      <c r="O1222" s="19" t="s">
        <v>333</v>
      </c>
      <c r="P1222" s="15">
        <v>45000</v>
      </c>
      <c r="Q1222" s="15">
        <v>127149.27</v>
      </c>
      <c r="R1222" s="15">
        <v>87089500</v>
      </c>
      <c r="S1222" s="15">
        <v>15</v>
      </c>
      <c r="T1222" s="19" t="s">
        <v>303</v>
      </c>
      <c r="U1222" s="19" t="s">
        <v>178</v>
      </c>
      <c r="V1222" s="16">
        <f t="shared" si="237"/>
        <v>19072.390500000001</v>
      </c>
      <c r="W1222" s="16">
        <f t="shared" si="238"/>
        <v>1907.2390500000001</v>
      </c>
      <c r="X1222" s="16">
        <f t="shared" si="239"/>
        <v>20979.629550000001</v>
      </c>
      <c r="Y1222" s="16">
        <f t="shared" si="240"/>
        <v>0.46621399000000002</v>
      </c>
      <c r="Z1222" s="16">
        <f t="shared" si="241"/>
        <v>2.8255393333333334</v>
      </c>
      <c r="AA1222" s="17">
        <f t="shared" si="242"/>
        <v>45000</v>
      </c>
      <c r="AB1222" s="10">
        <v>2268</v>
      </c>
      <c r="AC1222" s="18">
        <f t="shared" si="235"/>
        <v>1057.37332932</v>
      </c>
      <c r="AD1222" s="12">
        <f t="shared" si="234"/>
        <v>45000</v>
      </c>
      <c r="AE1222" s="13">
        <f t="shared" si="243"/>
        <v>0</v>
      </c>
    </row>
    <row r="1223" spans="1:31">
      <c r="A1223" s="6">
        <v>9</v>
      </c>
      <c r="B1223" s="6">
        <f t="shared" si="233"/>
        <v>19</v>
      </c>
      <c r="C1223" s="6" t="str">
        <f t="shared" si="236"/>
        <v>609183701ASTUD, M6 X 1.0, 16.0561310344974140000</v>
      </c>
      <c r="D1223" s="7" t="s">
        <v>242</v>
      </c>
      <c r="E1223" s="6" t="s">
        <v>51</v>
      </c>
      <c r="F1223" s="6"/>
      <c r="G1223" s="7" t="s">
        <v>411</v>
      </c>
      <c r="H1223" s="19"/>
      <c r="I1223" s="19"/>
      <c r="J1223" s="19"/>
      <c r="K1223" s="19"/>
      <c r="L1223" s="14">
        <v>5613103</v>
      </c>
      <c r="M1223" s="22">
        <v>44974</v>
      </c>
      <c r="N1223" s="19" t="s">
        <v>185</v>
      </c>
      <c r="O1223" s="19" t="s">
        <v>332</v>
      </c>
      <c r="P1223" s="15">
        <v>140000</v>
      </c>
      <c r="Q1223" s="15">
        <v>402663.89</v>
      </c>
      <c r="R1223" s="15">
        <v>87082900</v>
      </c>
      <c r="S1223" s="15">
        <v>15</v>
      </c>
      <c r="T1223" s="19" t="s">
        <v>304</v>
      </c>
      <c r="U1223" s="19" t="s">
        <v>178</v>
      </c>
      <c r="V1223" s="16">
        <f t="shared" si="237"/>
        <v>60399.583500000001</v>
      </c>
      <c r="W1223" s="16">
        <f t="shared" si="238"/>
        <v>6039.9583500000008</v>
      </c>
      <c r="X1223" s="16">
        <f t="shared" si="239"/>
        <v>66439.541850000009</v>
      </c>
      <c r="Y1223" s="16">
        <f t="shared" si="240"/>
        <v>0.47456815607142866</v>
      </c>
      <c r="Z1223" s="16">
        <f t="shared" si="241"/>
        <v>2.8761706428571427</v>
      </c>
      <c r="AA1223" s="17">
        <f t="shared" si="242"/>
        <v>140000</v>
      </c>
      <c r="AB1223" s="10">
        <v>11328</v>
      </c>
      <c r="AC1223" s="18">
        <f t="shared" si="235"/>
        <v>5375.9080719771437</v>
      </c>
      <c r="AD1223" s="12">
        <f t="shared" si="234"/>
        <v>140000</v>
      </c>
      <c r="AE1223" s="13">
        <f t="shared" si="243"/>
        <v>0</v>
      </c>
    </row>
    <row r="1224" spans="1:31">
      <c r="A1224" s="6">
        <v>9</v>
      </c>
      <c r="B1224" s="6">
        <f t="shared" si="233"/>
        <v>20</v>
      </c>
      <c r="C1224" s="6" t="str">
        <f t="shared" si="236"/>
        <v>616531900ARING, CRIMP, CLAMP, BAND466647844973100000</v>
      </c>
      <c r="D1224" s="7" t="s">
        <v>242</v>
      </c>
      <c r="E1224" s="6" t="s">
        <v>52</v>
      </c>
      <c r="F1224" s="6"/>
      <c r="G1224" s="7" t="s">
        <v>410</v>
      </c>
      <c r="H1224" s="19"/>
      <c r="I1224" s="19"/>
      <c r="J1224" s="19"/>
      <c r="K1224" s="19"/>
      <c r="L1224" s="14">
        <v>4666478</v>
      </c>
      <c r="M1224" s="22">
        <v>44973</v>
      </c>
      <c r="N1224" s="19" t="s">
        <v>199</v>
      </c>
      <c r="O1224" s="19" t="s">
        <v>333</v>
      </c>
      <c r="P1224" s="15">
        <v>100000</v>
      </c>
      <c r="Q1224" s="15">
        <v>1733493.63</v>
      </c>
      <c r="R1224" s="15">
        <v>87089500</v>
      </c>
      <c r="S1224" s="15">
        <v>15</v>
      </c>
      <c r="T1224" s="19" t="s">
        <v>305</v>
      </c>
      <c r="U1224" s="19" t="s">
        <v>178</v>
      </c>
      <c r="V1224" s="16">
        <f t="shared" si="237"/>
        <v>260024.04449999996</v>
      </c>
      <c r="W1224" s="16">
        <f t="shared" si="238"/>
        <v>26002.404449999998</v>
      </c>
      <c r="X1224" s="16">
        <f t="shared" si="239"/>
        <v>286026.44894999993</v>
      </c>
      <c r="Y1224" s="16">
        <f t="shared" si="240"/>
        <v>2.8602644894999991</v>
      </c>
      <c r="Z1224" s="16">
        <f t="shared" si="241"/>
        <v>17.334936299999999</v>
      </c>
      <c r="AA1224" s="17">
        <f t="shared" si="242"/>
        <v>100000</v>
      </c>
      <c r="AB1224" s="10">
        <v>9024</v>
      </c>
      <c r="AC1224" s="18">
        <f t="shared" si="235"/>
        <v>25811.026753247992</v>
      </c>
      <c r="AD1224" s="12">
        <f t="shared" si="234"/>
        <v>100000</v>
      </c>
      <c r="AE1224" s="13">
        <f t="shared" si="243"/>
        <v>0</v>
      </c>
    </row>
    <row r="1225" spans="1:31">
      <c r="A1225" s="6">
        <v>9</v>
      </c>
      <c r="B1225" s="6">
        <f t="shared" si="233"/>
        <v>21</v>
      </c>
      <c r="C1225" s="6" t="str">
        <f t="shared" si="236"/>
        <v>PC47516-3810SNAP-IN-FASTENER, PUSH P PUSH PIN, BLACK43773094523742000</v>
      </c>
      <c r="D1225" s="7" t="s">
        <v>242</v>
      </c>
      <c r="E1225" s="6" t="s">
        <v>54</v>
      </c>
      <c r="F1225" s="6"/>
      <c r="G1225" s="7" t="s">
        <v>14</v>
      </c>
      <c r="H1225" s="19"/>
      <c r="I1225" s="19"/>
      <c r="J1225" s="19"/>
      <c r="K1225" s="19"/>
      <c r="L1225" s="14">
        <v>4377309</v>
      </c>
      <c r="M1225" s="22">
        <v>45237</v>
      </c>
      <c r="N1225" s="19" t="s">
        <v>196</v>
      </c>
      <c r="O1225" s="19" t="s">
        <v>333</v>
      </c>
      <c r="P1225" s="15">
        <v>42000</v>
      </c>
      <c r="Q1225" s="15">
        <v>48121.48</v>
      </c>
      <c r="R1225" s="15">
        <v>87089500</v>
      </c>
      <c r="S1225" s="15">
        <v>15</v>
      </c>
      <c r="T1225" s="19" t="s">
        <v>306</v>
      </c>
      <c r="U1225" s="19" t="s">
        <v>178</v>
      </c>
      <c r="V1225" s="16">
        <f t="shared" si="237"/>
        <v>7218.2220000000007</v>
      </c>
      <c r="W1225" s="16">
        <f t="shared" si="238"/>
        <v>721.82220000000007</v>
      </c>
      <c r="X1225" s="16">
        <f t="shared" si="239"/>
        <v>7940.0442000000003</v>
      </c>
      <c r="Y1225" s="16">
        <f t="shared" si="240"/>
        <v>0.18904867142857143</v>
      </c>
      <c r="Z1225" s="16">
        <f t="shared" si="241"/>
        <v>1.1457495238095239</v>
      </c>
      <c r="AA1225" s="17">
        <f t="shared" si="242"/>
        <v>42000</v>
      </c>
      <c r="AB1225" s="10">
        <v>3360</v>
      </c>
      <c r="AC1225" s="18">
        <f t="shared" si="235"/>
        <v>635.20353599999999</v>
      </c>
      <c r="AD1225" s="12">
        <f t="shared" si="234"/>
        <v>41976</v>
      </c>
      <c r="AE1225" s="13">
        <f t="shared" si="243"/>
        <v>24</v>
      </c>
    </row>
    <row r="1226" spans="1:31">
      <c r="A1226" s="6">
        <v>9</v>
      </c>
      <c r="B1226" s="6">
        <f t="shared" si="233"/>
        <v>22</v>
      </c>
      <c r="C1226" s="6" t="str">
        <f t="shared" si="236"/>
        <v>666041200ACushion ICAB FI 2 Row C2287544453466912</v>
      </c>
      <c r="D1226" s="7" t="s">
        <v>242</v>
      </c>
      <c r="E1226" s="6" t="s">
        <v>472</v>
      </c>
      <c r="F1226" s="6"/>
      <c r="G1226" s="7" t="s">
        <v>237</v>
      </c>
      <c r="H1226" s="19"/>
      <c r="I1226" s="19"/>
      <c r="J1226" s="19"/>
      <c r="K1226" s="19"/>
      <c r="L1226" s="14">
        <v>2287544</v>
      </c>
      <c r="M1226" s="22">
        <v>45346</v>
      </c>
      <c r="N1226" s="19" t="s">
        <v>185</v>
      </c>
      <c r="O1226" s="19" t="s">
        <v>332</v>
      </c>
      <c r="P1226" s="15">
        <v>6912</v>
      </c>
      <c r="Q1226" s="15">
        <v>1466083.43</v>
      </c>
      <c r="R1226" s="15">
        <v>87089500</v>
      </c>
      <c r="S1226" s="15">
        <v>15</v>
      </c>
      <c r="T1226" s="19" t="s">
        <v>350</v>
      </c>
      <c r="U1226" s="19" t="s">
        <v>178</v>
      </c>
      <c r="V1226" s="16">
        <f t="shared" si="237"/>
        <v>219912.51449999999</v>
      </c>
      <c r="W1226" s="16">
        <f t="shared" si="238"/>
        <v>21991.25145</v>
      </c>
      <c r="X1226" s="16">
        <f t="shared" si="239"/>
        <v>241903.76595</v>
      </c>
      <c r="Y1226" s="16">
        <f t="shared" si="240"/>
        <v>34.997651323784723</v>
      </c>
      <c r="Z1226" s="16">
        <f t="shared" si="241"/>
        <v>212.10697771990741</v>
      </c>
      <c r="AA1226" s="17">
        <f t="shared" si="242"/>
        <v>6912</v>
      </c>
      <c r="AB1226" s="10">
        <v>140</v>
      </c>
      <c r="AC1226" s="18">
        <f t="shared" si="235"/>
        <v>4899.6711853298611</v>
      </c>
      <c r="AD1226" s="12">
        <f t="shared" si="234"/>
        <v>6912</v>
      </c>
      <c r="AE1226" s="13">
        <f t="shared" si="243"/>
        <v>0</v>
      </c>
    </row>
    <row r="1227" spans="1:31">
      <c r="A1227" s="6">
        <v>9</v>
      </c>
      <c r="B1227" s="6">
        <f t="shared" si="233"/>
        <v>23</v>
      </c>
      <c r="C1227" s="6" t="str">
        <f t="shared" si="236"/>
        <v>654590600ASU2ID STD CUSHION COMPON CVR NON-WOVEN RH7515198451635400</v>
      </c>
      <c r="D1227" s="7" t="s">
        <v>242</v>
      </c>
      <c r="E1227" s="6" t="s">
        <v>78</v>
      </c>
      <c r="F1227" s="6"/>
      <c r="G1227" s="7" t="s">
        <v>38</v>
      </c>
      <c r="H1227" s="19"/>
      <c r="I1227" s="19"/>
      <c r="J1227" s="19"/>
      <c r="K1227" s="19"/>
      <c r="L1227" s="14">
        <v>7515198</v>
      </c>
      <c r="M1227" s="22">
        <v>45163</v>
      </c>
      <c r="N1227" s="19" t="s">
        <v>185</v>
      </c>
      <c r="O1227" s="19" t="s">
        <v>332</v>
      </c>
      <c r="P1227" s="15">
        <v>5400</v>
      </c>
      <c r="Q1227" s="15">
        <v>74069.62</v>
      </c>
      <c r="R1227" s="15">
        <v>87089500</v>
      </c>
      <c r="S1227" s="15">
        <v>5</v>
      </c>
      <c r="T1227" s="19" t="s">
        <v>340</v>
      </c>
      <c r="U1227" s="19" t="s">
        <v>178</v>
      </c>
      <c r="V1227" s="16">
        <f t="shared" si="237"/>
        <v>3703.4809999999998</v>
      </c>
      <c r="W1227" s="16">
        <f t="shared" si="238"/>
        <v>370.34809999999999</v>
      </c>
      <c r="X1227" s="16">
        <f t="shared" si="239"/>
        <v>4073.8290999999999</v>
      </c>
      <c r="Y1227" s="16">
        <f t="shared" si="240"/>
        <v>0.75441279629629632</v>
      </c>
      <c r="Z1227" s="16">
        <f t="shared" si="241"/>
        <v>13.716596296296295</v>
      </c>
      <c r="AA1227" s="17">
        <f t="shared" si="242"/>
        <v>5400</v>
      </c>
      <c r="AB1227" s="10">
        <v>0</v>
      </c>
      <c r="AC1227" s="18">
        <f t="shared" si="235"/>
        <v>0</v>
      </c>
      <c r="AD1227" s="12">
        <v>5400</v>
      </c>
      <c r="AE1227" s="13">
        <f t="shared" si="243"/>
        <v>0</v>
      </c>
    </row>
    <row r="1228" spans="1:31">
      <c r="A1228" s="6">
        <v>9</v>
      </c>
      <c r="B1228" s="6">
        <f t="shared" si="233"/>
        <v>24</v>
      </c>
      <c r="C1228" s="6" t="str">
        <f t="shared" si="236"/>
        <v>654590600ASU2ID STD CUSHION COMPON CVR NON-WOVEN RH2605037453675400</v>
      </c>
      <c r="D1228" s="7" t="s">
        <v>242</v>
      </c>
      <c r="E1228" s="6" t="s">
        <v>78</v>
      </c>
      <c r="F1228" s="6"/>
      <c r="G1228" s="7" t="s">
        <v>38</v>
      </c>
      <c r="H1228" s="19"/>
      <c r="I1228" s="19"/>
      <c r="J1228" s="19"/>
      <c r="K1228" s="19"/>
      <c r="L1228" s="14">
        <v>2605037</v>
      </c>
      <c r="M1228" s="22">
        <v>45367</v>
      </c>
      <c r="N1228" s="19" t="s">
        <v>185</v>
      </c>
      <c r="O1228" s="19" t="s">
        <v>332</v>
      </c>
      <c r="P1228" s="15">
        <v>5400</v>
      </c>
      <c r="Q1228" s="15">
        <v>65556.710000000006</v>
      </c>
      <c r="R1228" s="15">
        <v>87089400</v>
      </c>
      <c r="S1228" s="15">
        <v>5</v>
      </c>
      <c r="T1228" s="19" t="s">
        <v>347</v>
      </c>
      <c r="U1228" s="19" t="s">
        <v>178</v>
      </c>
      <c r="V1228" s="16">
        <f t="shared" si="237"/>
        <v>3277.8355000000006</v>
      </c>
      <c r="W1228" s="16">
        <f t="shared" si="238"/>
        <v>327.7835500000001</v>
      </c>
      <c r="X1228" s="16">
        <f t="shared" si="239"/>
        <v>3605.6190500000007</v>
      </c>
      <c r="Y1228" s="16">
        <f t="shared" si="240"/>
        <v>0.66770723148148159</v>
      </c>
      <c r="Z1228" s="16">
        <f t="shared" si="241"/>
        <v>12.140131481481482</v>
      </c>
      <c r="AA1228" s="17">
        <f t="shared" si="242"/>
        <v>5400</v>
      </c>
      <c r="AB1228" s="10">
        <v>1440</v>
      </c>
      <c r="AC1228" s="18">
        <f t="shared" si="235"/>
        <v>961.49841333333347</v>
      </c>
      <c r="AD1228" s="12">
        <v>5400</v>
      </c>
      <c r="AE1228" s="13">
        <f t="shared" si="243"/>
        <v>0</v>
      </c>
    </row>
    <row r="1229" spans="1:31">
      <c r="A1229" s="6">
        <v>9</v>
      </c>
      <c r="B1229" s="6">
        <f t="shared" ref="B1229:B1295" si="244">B1228+1</f>
        <v>25</v>
      </c>
      <c r="C1229" s="6" t="str">
        <f t="shared" si="236"/>
        <v>622408300ALABEL, BLANK, BAR CODE,964466545303100000</v>
      </c>
      <c r="D1229" s="7" t="s">
        <v>242</v>
      </c>
      <c r="E1229" s="6" t="s">
        <v>473</v>
      </c>
      <c r="F1229" s="6"/>
      <c r="G1229" s="7" t="s">
        <v>239</v>
      </c>
      <c r="H1229" s="19"/>
      <c r="I1229" s="19"/>
      <c r="J1229" s="19"/>
      <c r="K1229" s="19"/>
      <c r="L1229" s="14">
        <v>9644665</v>
      </c>
      <c r="M1229" s="22">
        <v>45303</v>
      </c>
      <c r="N1229" s="19" t="s">
        <v>196</v>
      </c>
      <c r="O1229" s="19" t="s">
        <v>333</v>
      </c>
      <c r="P1229" s="15">
        <v>100000</v>
      </c>
      <c r="Q1229" s="15">
        <v>69765.98</v>
      </c>
      <c r="R1229" s="15">
        <v>87089500</v>
      </c>
      <c r="S1229" s="15">
        <v>15</v>
      </c>
      <c r="T1229" s="19" t="s">
        <v>351</v>
      </c>
      <c r="U1229" s="19" t="s">
        <v>178</v>
      </c>
      <c r="V1229" s="16">
        <f t="shared" si="237"/>
        <v>10464.896999999999</v>
      </c>
      <c r="W1229" s="16">
        <f t="shared" si="238"/>
        <v>1046.4896999999999</v>
      </c>
      <c r="X1229" s="16">
        <f t="shared" si="239"/>
        <v>11511.386699999999</v>
      </c>
      <c r="Y1229" s="16">
        <f t="shared" si="240"/>
        <v>0.11511386699999999</v>
      </c>
      <c r="Z1229" s="16">
        <f t="shared" si="241"/>
        <v>0.69765979999999994</v>
      </c>
      <c r="AA1229" s="17">
        <f t="shared" si="242"/>
        <v>100000</v>
      </c>
      <c r="AB1229" s="10">
        <v>2592</v>
      </c>
      <c r="AC1229" s="18">
        <f t="shared" si="235"/>
        <v>298.37514326399997</v>
      </c>
      <c r="AD1229" s="12">
        <f t="shared" ref="AD1229:AD1255" si="245">SUMIF($C$2:$C$2284,C1229,$AB$2:$AB$2284)</f>
        <v>98136</v>
      </c>
      <c r="AE1229" s="13">
        <f t="shared" si="243"/>
        <v>1864</v>
      </c>
    </row>
    <row r="1230" spans="1:31">
      <c r="A1230" s="6">
        <v>9</v>
      </c>
      <c r="B1230" s="6">
        <f t="shared" si="244"/>
        <v>26</v>
      </c>
      <c r="C1230" s="6" t="str">
        <f t="shared" si="236"/>
        <v>6242999AABFELT, OTHER OTHER2011457453284800</v>
      </c>
      <c r="D1230" s="7" t="s">
        <v>242</v>
      </c>
      <c r="E1230" s="6" t="s">
        <v>127</v>
      </c>
      <c r="F1230" s="6"/>
      <c r="G1230" s="19" t="s">
        <v>105</v>
      </c>
      <c r="H1230" s="19"/>
      <c r="I1230" s="19"/>
      <c r="J1230" s="19"/>
      <c r="K1230" s="19"/>
      <c r="L1230" s="14">
        <v>2011457</v>
      </c>
      <c r="M1230" s="22">
        <v>45328</v>
      </c>
      <c r="N1230" s="19" t="s">
        <v>196</v>
      </c>
      <c r="O1230" s="19" t="s">
        <v>333</v>
      </c>
      <c r="P1230" s="15">
        <v>4800</v>
      </c>
      <c r="Q1230" s="15">
        <v>65850.58</v>
      </c>
      <c r="R1230" s="15">
        <v>87082900</v>
      </c>
      <c r="S1230" s="15">
        <v>15</v>
      </c>
      <c r="T1230" s="19" t="s">
        <v>343</v>
      </c>
      <c r="U1230" s="19" t="s">
        <v>178</v>
      </c>
      <c r="V1230" s="16">
        <f t="shared" si="237"/>
        <v>9877.5869999999995</v>
      </c>
      <c r="W1230" s="16">
        <f t="shared" si="238"/>
        <v>987.75869999999998</v>
      </c>
      <c r="X1230" s="16">
        <f t="shared" si="239"/>
        <v>10865.3457</v>
      </c>
      <c r="Y1230" s="16">
        <f t="shared" si="240"/>
        <v>2.2636136874999999</v>
      </c>
      <c r="Z1230" s="16">
        <f t="shared" si="241"/>
        <v>13.718870833333334</v>
      </c>
      <c r="AA1230" s="17">
        <f t="shared" si="242"/>
        <v>4800</v>
      </c>
      <c r="AB1230" s="10">
        <v>1059.8400000000001</v>
      </c>
      <c r="AC1230" s="18">
        <f t="shared" si="235"/>
        <v>2399.06833056</v>
      </c>
      <c r="AD1230" s="12">
        <f t="shared" si="245"/>
        <v>4569.6000000000004</v>
      </c>
      <c r="AE1230" s="13">
        <f t="shared" si="243"/>
        <v>230.39999999999964</v>
      </c>
    </row>
    <row r="1231" spans="1:31">
      <c r="A1231" s="6">
        <v>9</v>
      </c>
      <c r="B1231" s="6">
        <f t="shared" si="244"/>
        <v>27</v>
      </c>
      <c r="C1231" s="6" t="str">
        <f t="shared" si="236"/>
        <v>632955901AINFLATORS, APP-4.6 49469134499325920</v>
      </c>
      <c r="D1231" s="7" t="s">
        <v>242</v>
      </c>
      <c r="E1231" s="6" t="s">
        <v>48</v>
      </c>
      <c r="F1231" s="6"/>
      <c r="G1231" s="7" t="s">
        <v>10</v>
      </c>
      <c r="H1231" s="19"/>
      <c r="I1231" s="19"/>
      <c r="J1231" s="19"/>
      <c r="K1231" s="19"/>
      <c r="L1231" s="14">
        <v>4946913</v>
      </c>
      <c r="M1231" s="22">
        <v>44993</v>
      </c>
      <c r="N1231" s="19" t="s">
        <v>199</v>
      </c>
      <c r="O1231" s="19" t="s">
        <v>333</v>
      </c>
      <c r="P1231" s="15">
        <v>25920</v>
      </c>
      <c r="Q1231" s="15">
        <v>11518145.1</v>
      </c>
      <c r="R1231" s="15">
        <v>87089500</v>
      </c>
      <c r="S1231" s="15">
        <v>15</v>
      </c>
      <c r="T1231" s="19" t="s">
        <v>202</v>
      </c>
      <c r="U1231" s="19" t="s">
        <v>200</v>
      </c>
      <c r="V1231" s="16">
        <f t="shared" si="237"/>
        <v>1727721.7649999999</v>
      </c>
      <c r="W1231" s="16">
        <f t="shared" si="238"/>
        <v>172772.1765</v>
      </c>
      <c r="X1231" s="16">
        <f t="shared" si="239"/>
        <v>1900493.9415</v>
      </c>
      <c r="Y1231" s="16">
        <f t="shared" si="240"/>
        <v>73.321525520833333</v>
      </c>
      <c r="Z1231" s="16">
        <f t="shared" si="241"/>
        <v>444.37288194444443</v>
      </c>
      <c r="AA1231" s="17">
        <f t="shared" si="242"/>
        <v>25920</v>
      </c>
      <c r="AB1231" s="10">
        <v>1512</v>
      </c>
      <c r="AC1231" s="18">
        <f t="shared" si="235"/>
        <v>110862.1465875</v>
      </c>
      <c r="AD1231" s="12">
        <f t="shared" si="245"/>
        <v>7056</v>
      </c>
      <c r="AE1231" s="13">
        <f t="shared" si="243"/>
        <v>18864</v>
      </c>
    </row>
    <row r="1232" spans="1:31">
      <c r="A1232" s="6">
        <v>10</v>
      </c>
      <c r="B1232" s="6">
        <v>1</v>
      </c>
      <c r="C1232" s="6" t="str">
        <f t="shared" si="236"/>
        <v>609183701ASTUD, M6 X 1.0, 16.036956764543984000</v>
      </c>
      <c r="D1232" s="7" t="s">
        <v>298</v>
      </c>
      <c r="E1232" s="6" t="s">
        <v>51</v>
      </c>
      <c r="F1232" s="6"/>
      <c r="G1232" s="7" t="s">
        <v>411</v>
      </c>
      <c r="H1232" s="19"/>
      <c r="I1232" s="19"/>
      <c r="J1232" s="19"/>
      <c r="K1232" s="19"/>
      <c r="L1232" s="14">
        <v>3695676</v>
      </c>
      <c r="M1232" s="22">
        <v>45439</v>
      </c>
      <c r="N1232" s="19" t="s">
        <v>185</v>
      </c>
      <c r="O1232" s="19" t="s">
        <v>332</v>
      </c>
      <c r="P1232" s="15">
        <v>84000</v>
      </c>
      <c r="Q1232" s="15">
        <v>238012.39</v>
      </c>
      <c r="R1232" s="15">
        <v>87089500</v>
      </c>
      <c r="S1232" s="15">
        <v>15</v>
      </c>
      <c r="T1232" s="19" t="s">
        <v>304</v>
      </c>
      <c r="U1232" s="19" t="s">
        <v>178</v>
      </c>
      <c r="V1232" s="16">
        <f t="shared" si="237"/>
        <v>35701.858500000002</v>
      </c>
      <c r="W1232" s="16">
        <f t="shared" si="238"/>
        <v>3570.1858500000003</v>
      </c>
      <c r="X1232" s="16">
        <f t="shared" si="239"/>
        <v>39272.044350000004</v>
      </c>
      <c r="Y1232" s="16">
        <f t="shared" si="240"/>
        <v>0.46752433750000005</v>
      </c>
      <c r="Z1232" s="16">
        <f t="shared" si="241"/>
        <v>2.8334808333333337</v>
      </c>
      <c r="AA1232" s="17">
        <f t="shared" si="242"/>
        <v>84000</v>
      </c>
      <c r="AB1232" s="10">
        <v>12116</v>
      </c>
      <c r="AC1232" s="18">
        <f t="shared" si="235"/>
        <v>5664.5248731500005</v>
      </c>
      <c r="AD1232" s="12">
        <f t="shared" si="245"/>
        <v>82196</v>
      </c>
      <c r="AE1232" s="13">
        <f t="shared" si="243"/>
        <v>1804</v>
      </c>
    </row>
    <row r="1233" spans="1:31">
      <c r="A1233" s="6">
        <v>10</v>
      </c>
      <c r="B1233" s="6">
        <f t="shared" si="244"/>
        <v>2</v>
      </c>
      <c r="C1233" s="6" t="str">
        <f t="shared" si="236"/>
        <v>PC47516-3810SNAP-IN-FASTENER, PUSH P PUSH PIN, BLACK98316324531614000</v>
      </c>
      <c r="D1233" s="7" t="s">
        <v>298</v>
      </c>
      <c r="E1233" s="6" t="s">
        <v>54</v>
      </c>
      <c r="F1233" s="6"/>
      <c r="G1233" s="7" t="s">
        <v>14</v>
      </c>
      <c r="H1233" s="19"/>
      <c r="I1233" s="19"/>
      <c r="J1233" s="19"/>
      <c r="K1233" s="19"/>
      <c r="L1233" s="14">
        <v>9831632</v>
      </c>
      <c r="M1233" s="22">
        <v>45316</v>
      </c>
      <c r="N1233" s="19" t="s">
        <v>196</v>
      </c>
      <c r="O1233" s="19" t="s">
        <v>333</v>
      </c>
      <c r="P1233" s="15">
        <v>14000</v>
      </c>
      <c r="Q1233" s="15">
        <v>16391.05</v>
      </c>
      <c r="R1233" s="15">
        <v>87089500</v>
      </c>
      <c r="S1233" s="15">
        <v>15</v>
      </c>
      <c r="T1233" s="19" t="s">
        <v>306</v>
      </c>
      <c r="U1233" s="19" t="s">
        <v>178</v>
      </c>
      <c r="V1233" s="16">
        <f t="shared" si="237"/>
        <v>2458.6574999999998</v>
      </c>
      <c r="W1233" s="16">
        <f t="shared" si="238"/>
        <v>245.86574999999999</v>
      </c>
      <c r="X1233" s="16">
        <f t="shared" si="239"/>
        <v>2704.5232499999997</v>
      </c>
      <c r="Y1233" s="16">
        <f t="shared" si="240"/>
        <v>0.19318023214285712</v>
      </c>
      <c r="Z1233" s="16">
        <f t="shared" si="241"/>
        <v>1.1707892857142856</v>
      </c>
      <c r="AA1233" s="17">
        <f t="shared" si="242"/>
        <v>14000</v>
      </c>
      <c r="AB1233" s="10">
        <v>5184</v>
      </c>
      <c r="AC1233" s="18">
        <f t="shared" si="235"/>
        <v>1001.4463234285713</v>
      </c>
      <c r="AD1233" s="12">
        <f t="shared" si="245"/>
        <v>12672</v>
      </c>
      <c r="AE1233" s="13">
        <f t="shared" si="243"/>
        <v>1328</v>
      </c>
    </row>
    <row r="1234" spans="1:31">
      <c r="A1234" s="6">
        <v>10</v>
      </c>
      <c r="B1234" s="6">
        <f t="shared" si="244"/>
        <v>3</v>
      </c>
      <c r="C1234" s="6" t="str">
        <f t="shared" si="236"/>
        <v>616531900ARING, CRIMP, CLAMP, BAND23159074534830000</v>
      </c>
      <c r="D1234" s="7" t="s">
        <v>298</v>
      </c>
      <c r="E1234" s="6" t="s">
        <v>52</v>
      </c>
      <c r="F1234" s="6"/>
      <c r="G1234" s="7" t="s">
        <v>410</v>
      </c>
      <c r="H1234" s="19"/>
      <c r="I1234" s="19"/>
      <c r="J1234" s="19"/>
      <c r="K1234" s="19"/>
      <c r="L1234" s="14">
        <v>2315907</v>
      </c>
      <c r="M1234" s="22">
        <v>45348</v>
      </c>
      <c r="N1234" s="19" t="s">
        <v>190</v>
      </c>
      <c r="O1234" s="19" t="s">
        <v>333</v>
      </c>
      <c r="P1234" s="15">
        <v>30000</v>
      </c>
      <c r="Q1234" s="15">
        <v>507892.96</v>
      </c>
      <c r="R1234" s="15">
        <v>87089500</v>
      </c>
      <c r="S1234" s="15">
        <v>15</v>
      </c>
      <c r="T1234" s="19" t="s">
        <v>353</v>
      </c>
      <c r="U1234" s="19" t="s">
        <v>178</v>
      </c>
      <c r="V1234" s="16">
        <f t="shared" si="237"/>
        <v>76183.944000000003</v>
      </c>
      <c r="W1234" s="16">
        <f t="shared" si="238"/>
        <v>7618.394400000001</v>
      </c>
      <c r="X1234" s="16">
        <f t="shared" si="239"/>
        <v>83802.338400000008</v>
      </c>
      <c r="Y1234" s="16">
        <f t="shared" si="240"/>
        <v>2.7934112800000004</v>
      </c>
      <c r="Z1234" s="16">
        <f t="shared" si="241"/>
        <v>16.929765333333336</v>
      </c>
      <c r="AA1234" s="17">
        <f t="shared" si="242"/>
        <v>30000</v>
      </c>
      <c r="AB1234" s="10">
        <v>21602</v>
      </c>
      <c r="AC1234" s="18">
        <f t="shared" si="235"/>
        <v>60343.270470560012</v>
      </c>
      <c r="AD1234" s="12">
        <f t="shared" si="245"/>
        <v>27442</v>
      </c>
      <c r="AE1234" s="13">
        <f t="shared" si="243"/>
        <v>2558</v>
      </c>
    </row>
    <row r="1235" spans="1:31">
      <c r="A1235" s="6">
        <v>10</v>
      </c>
      <c r="B1235" s="6">
        <f t="shared" si="244"/>
        <v>4</v>
      </c>
      <c r="C1235" s="6" t="str">
        <f t="shared" si="236"/>
        <v>655116100ALABEL, BLANK, 50.0, 25.0  LABEL, BLANK, 2PCS, 50X89218744525418000</v>
      </c>
      <c r="D1235" s="7" t="s">
        <v>298</v>
      </c>
      <c r="E1235" s="6" t="s">
        <v>49</v>
      </c>
      <c r="F1235" s="6"/>
      <c r="G1235" s="7" t="s">
        <v>11</v>
      </c>
      <c r="H1235" s="19"/>
      <c r="I1235" s="19"/>
      <c r="J1235" s="19"/>
      <c r="K1235" s="19"/>
      <c r="L1235" s="14">
        <v>8921874</v>
      </c>
      <c r="M1235" s="22">
        <v>45254</v>
      </c>
      <c r="N1235" s="19" t="s">
        <v>196</v>
      </c>
      <c r="O1235" s="19" t="s">
        <v>333</v>
      </c>
      <c r="P1235" s="15">
        <v>18000</v>
      </c>
      <c r="Q1235" s="15">
        <v>57477.95</v>
      </c>
      <c r="R1235" s="15">
        <v>87089500</v>
      </c>
      <c r="S1235" s="15">
        <v>15</v>
      </c>
      <c r="T1235" s="19" t="s">
        <v>303</v>
      </c>
      <c r="U1235" s="19" t="s">
        <v>178</v>
      </c>
      <c r="V1235" s="16">
        <f t="shared" si="237"/>
        <v>8621.6924999999992</v>
      </c>
      <c r="W1235" s="16">
        <f t="shared" si="238"/>
        <v>862.16924999999992</v>
      </c>
      <c r="X1235" s="16">
        <f t="shared" si="239"/>
        <v>9483.86175</v>
      </c>
      <c r="Y1235" s="16">
        <f t="shared" si="240"/>
        <v>0.5268812083333333</v>
      </c>
      <c r="Z1235" s="16">
        <f t="shared" si="241"/>
        <v>3.1932194444444444</v>
      </c>
      <c r="AA1235" s="17">
        <f t="shared" si="242"/>
        <v>18000</v>
      </c>
      <c r="AB1235" s="10">
        <v>9948</v>
      </c>
      <c r="AC1235" s="18">
        <f t="shared" si="235"/>
        <v>5241.4142604999997</v>
      </c>
      <c r="AD1235" s="12">
        <f t="shared" si="245"/>
        <v>17139</v>
      </c>
      <c r="AE1235" s="13">
        <f t="shared" si="243"/>
        <v>861</v>
      </c>
    </row>
    <row r="1236" spans="1:31">
      <c r="A1236" s="6">
        <v>10</v>
      </c>
      <c r="B1236" s="6">
        <f t="shared" si="244"/>
        <v>5</v>
      </c>
      <c r="C1236" s="6" t="str">
        <f t="shared" si="236"/>
        <v>6242999AABFELT, OTHER OTHER3185719454067200</v>
      </c>
      <c r="D1236" s="7" t="s">
        <v>298</v>
      </c>
      <c r="E1236" s="6" t="s">
        <v>127</v>
      </c>
      <c r="F1236" s="6"/>
      <c r="G1236" s="19" t="s">
        <v>105</v>
      </c>
      <c r="H1236" s="19"/>
      <c r="I1236" s="19"/>
      <c r="J1236" s="19"/>
      <c r="K1236" s="19"/>
      <c r="L1236" s="14">
        <v>3185719</v>
      </c>
      <c r="M1236" s="22">
        <v>45406</v>
      </c>
      <c r="N1236" s="19" t="s">
        <v>196</v>
      </c>
      <c r="O1236" s="19" t="s">
        <v>332</v>
      </c>
      <c r="P1236" s="15">
        <v>7200</v>
      </c>
      <c r="Q1236" s="15">
        <v>95405.8</v>
      </c>
      <c r="R1236" s="15">
        <v>87082900</v>
      </c>
      <c r="S1236" s="15">
        <v>15</v>
      </c>
      <c r="T1236" s="19" t="s">
        <v>354</v>
      </c>
      <c r="U1236" s="19" t="s">
        <v>178</v>
      </c>
      <c r="V1236" s="16">
        <f t="shared" si="237"/>
        <v>14310.87</v>
      </c>
      <c r="W1236" s="16">
        <f t="shared" si="238"/>
        <v>1431.0870000000002</v>
      </c>
      <c r="X1236" s="16">
        <f t="shared" si="239"/>
        <v>15741.957</v>
      </c>
      <c r="Y1236" s="16">
        <f t="shared" si="240"/>
        <v>2.1863829166666666</v>
      </c>
      <c r="Z1236" s="16">
        <f t="shared" si="241"/>
        <v>13.250805555555557</v>
      </c>
      <c r="AA1236" s="17">
        <f t="shared" si="242"/>
        <v>7200</v>
      </c>
      <c r="AB1236" s="10">
        <v>2937.56</v>
      </c>
      <c r="AC1236" s="18">
        <f t="shared" si="235"/>
        <v>6422.6310006833328</v>
      </c>
      <c r="AD1236" s="12">
        <f t="shared" si="245"/>
        <v>3836.12</v>
      </c>
      <c r="AE1236" s="13">
        <f t="shared" si="243"/>
        <v>3363.88</v>
      </c>
    </row>
    <row r="1237" spans="1:31">
      <c r="A1237" s="6">
        <v>10</v>
      </c>
      <c r="B1237" s="6">
        <f t="shared" si="244"/>
        <v>6</v>
      </c>
      <c r="C1237" s="6" t="str">
        <f t="shared" si="236"/>
        <v>656334800FCushion ICAB FI 2 Row C KSID, ASP5.1, BUTTON HOL3289473448791080</v>
      </c>
      <c r="D1237" s="7" t="s">
        <v>298</v>
      </c>
      <c r="E1237" s="6" t="s">
        <v>131</v>
      </c>
      <c r="F1237" s="6"/>
      <c r="G1237" s="19" t="s">
        <v>104</v>
      </c>
      <c r="H1237" s="19"/>
      <c r="I1237" s="19"/>
      <c r="J1237" s="19"/>
      <c r="K1237" s="19"/>
      <c r="L1237" s="14">
        <v>3289473</v>
      </c>
      <c r="M1237" s="22">
        <v>44879</v>
      </c>
      <c r="N1237" s="19" t="s">
        <v>199</v>
      </c>
      <c r="O1237" s="19" t="s">
        <v>333</v>
      </c>
      <c r="P1237" s="15">
        <v>1080</v>
      </c>
      <c r="Q1237" s="15">
        <v>100707.7</v>
      </c>
      <c r="R1237" s="15">
        <v>87089500</v>
      </c>
      <c r="S1237" s="15">
        <v>5</v>
      </c>
      <c r="T1237" s="19" t="s">
        <v>206</v>
      </c>
      <c r="U1237" s="19" t="s">
        <v>200</v>
      </c>
      <c r="V1237" s="16">
        <f t="shared" si="237"/>
        <v>5035.3850000000002</v>
      </c>
      <c r="W1237" s="16">
        <f t="shared" si="238"/>
        <v>503.53850000000006</v>
      </c>
      <c r="X1237" s="16">
        <f t="shared" si="239"/>
        <v>5538.9234999999999</v>
      </c>
      <c r="Y1237" s="16">
        <f t="shared" si="240"/>
        <v>5.1286328703703701</v>
      </c>
      <c r="Z1237" s="16">
        <f t="shared" si="241"/>
        <v>93.247870370370364</v>
      </c>
      <c r="AA1237" s="17">
        <f t="shared" si="242"/>
        <v>1080</v>
      </c>
      <c r="AB1237" s="10">
        <v>1080</v>
      </c>
      <c r="AC1237" s="18">
        <f t="shared" si="235"/>
        <v>5538.9234999999999</v>
      </c>
      <c r="AD1237" s="12">
        <f t="shared" si="245"/>
        <v>1080</v>
      </c>
      <c r="AE1237" s="13">
        <f t="shared" si="243"/>
        <v>0</v>
      </c>
    </row>
    <row r="1238" spans="1:31">
      <c r="A1238" s="6">
        <v>10</v>
      </c>
      <c r="B1238" s="6">
        <f t="shared" si="244"/>
        <v>7</v>
      </c>
      <c r="C1238" s="6" t="str">
        <f t="shared" si="236"/>
        <v>656334800FCushion ICAB FI 2 Row C KSID, ASP5.1, BUTTON HOL927801645277720</v>
      </c>
      <c r="D1238" s="7" t="s">
        <v>298</v>
      </c>
      <c r="E1238" s="6" t="s">
        <v>131</v>
      </c>
      <c r="F1238" s="6"/>
      <c r="G1238" s="19" t="s">
        <v>104</v>
      </c>
      <c r="H1238" s="19"/>
      <c r="I1238" s="19"/>
      <c r="J1238" s="19"/>
      <c r="K1238" s="19"/>
      <c r="L1238" s="14">
        <v>9278016</v>
      </c>
      <c r="M1238" s="22">
        <v>45277</v>
      </c>
      <c r="N1238" s="19" t="s">
        <v>197</v>
      </c>
      <c r="O1238" s="19" t="s">
        <v>333</v>
      </c>
      <c r="P1238" s="15">
        <v>720</v>
      </c>
      <c r="Q1238" s="15">
        <v>623338.31000000006</v>
      </c>
      <c r="R1238" s="15">
        <v>87089500</v>
      </c>
      <c r="S1238" s="15">
        <v>5</v>
      </c>
      <c r="T1238" s="19" t="s">
        <v>355</v>
      </c>
      <c r="U1238" s="19" t="s">
        <v>200</v>
      </c>
      <c r="V1238" s="16">
        <f t="shared" si="237"/>
        <v>31166.915500000003</v>
      </c>
      <c r="W1238" s="16">
        <f t="shared" si="238"/>
        <v>3116.6915500000005</v>
      </c>
      <c r="X1238" s="16">
        <f t="shared" si="239"/>
        <v>34283.607050000006</v>
      </c>
      <c r="Y1238" s="16">
        <f t="shared" si="240"/>
        <v>47.616120902777787</v>
      </c>
      <c r="Z1238" s="16">
        <f t="shared" si="241"/>
        <v>865.74765277777783</v>
      </c>
      <c r="AA1238" s="17">
        <f t="shared" si="242"/>
        <v>720</v>
      </c>
      <c r="AB1238" s="10">
        <v>720</v>
      </c>
      <c r="AC1238" s="18">
        <f t="shared" si="235"/>
        <v>34283.607050000006</v>
      </c>
      <c r="AD1238" s="12">
        <f t="shared" si="245"/>
        <v>720</v>
      </c>
      <c r="AE1238" s="13">
        <f t="shared" si="243"/>
        <v>0</v>
      </c>
    </row>
    <row r="1239" spans="1:31">
      <c r="A1239" s="6">
        <v>10</v>
      </c>
      <c r="B1239" s="6">
        <f t="shared" si="244"/>
        <v>8</v>
      </c>
      <c r="C1239" s="6" t="str">
        <f t="shared" si="236"/>
        <v>656334800FCushion ICAB FI 2 Row C KSID, ASP5.1, BUTTON HOL354235545430540</v>
      </c>
      <c r="D1239" s="7" t="s">
        <v>298</v>
      </c>
      <c r="E1239" s="6" t="s">
        <v>131</v>
      </c>
      <c r="F1239" s="6"/>
      <c r="G1239" s="19" t="s">
        <v>104</v>
      </c>
      <c r="H1239" s="19"/>
      <c r="I1239" s="19"/>
      <c r="J1239" s="19"/>
      <c r="K1239" s="19"/>
      <c r="L1239" s="14">
        <v>3542355</v>
      </c>
      <c r="M1239" s="22">
        <v>45430</v>
      </c>
      <c r="N1239" s="19" t="s">
        <v>196</v>
      </c>
      <c r="O1239" s="19" t="s">
        <v>333</v>
      </c>
      <c r="P1239" s="15">
        <v>540</v>
      </c>
      <c r="Q1239" s="15">
        <v>411854.64</v>
      </c>
      <c r="R1239" s="15">
        <v>87089500</v>
      </c>
      <c r="S1239" s="15">
        <v>15</v>
      </c>
      <c r="T1239" s="19" t="s">
        <v>356</v>
      </c>
      <c r="U1239" s="19" t="s">
        <v>178</v>
      </c>
      <c r="V1239" s="16">
        <f t="shared" si="237"/>
        <v>61778.195999999996</v>
      </c>
      <c r="W1239" s="16">
        <f t="shared" si="238"/>
        <v>6177.8195999999998</v>
      </c>
      <c r="X1239" s="16">
        <f t="shared" si="239"/>
        <v>67956.015599999999</v>
      </c>
      <c r="Y1239" s="16">
        <f t="shared" si="240"/>
        <v>125.84447333333333</v>
      </c>
      <c r="Z1239" s="16">
        <f t="shared" si="241"/>
        <v>762.69377777777777</v>
      </c>
      <c r="AA1239" s="17">
        <f t="shared" si="242"/>
        <v>540</v>
      </c>
      <c r="AB1239" s="10">
        <v>540</v>
      </c>
      <c r="AC1239" s="18">
        <f t="shared" si="235"/>
        <v>67956.015599999999</v>
      </c>
      <c r="AD1239" s="12">
        <f t="shared" si="245"/>
        <v>540</v>
      </c>
      <c r="AE1239" s="13">
        <f t="shared" si="243"/>
        <v>0</v>
      </c>
    </row>
    <row r="1240" spans="1:31">
      <c r="A1240" s="6">
        <v>10</v>
      </c>
      <c r="B1240" s="6">
        <f t="shared" si="244"/>
        <v>9</v>
      </c>
      <c r="C1240" s="6" t="str">
        <f t="shared" si="236"/>
        <v>656334800FCushion ICAB FI 2 Row C KSID, ASP5.1, BUTTON HOL346769045426660</v>
      </c>
      <c r="D1240" s="7" t="s">
        <v>298</v>
      </c>
      <c r="E1240" s="6" t="s">
        <v>131</v>
      </c>
      <c r="F1240" s="6"/>
      <c r="G1240" s="19" t="s">
        <v>104</v>
      </c>
      <c r="H1240" s="19"/>
      <c r="I1240" s="19"/>
      <c r="J1240" s="19"/>
      <c r="K1240" s="19"/>
      <c r="L1240" s="14">
        <v>3467690</v>
      </c>
      <c r="M1240" s="22">
        <v>45426</v>
      </c>
      <c r="N1240" s="19" t="s">
        <v>197</v>
      </c>
      <c r="O1240" s="19" t="s">
        <v>333</v>
      </c>
      <c r="P1240" s="15">
        <v>660</v>
      </c>
      <c r="Q1240" s="15">
        <v>428626.3</v>
      </c>
      <c r="R1240" s="15">
        <v>87089900</v>
      </c>
      <c r="S1240" s="15">
        <v>5</v>
      </c>
      <c r="T1240" s="19" t="s">
        <v>355</v>
      </c>
      <c r="U1240" s="19" t="s">
        <v>200</v>
      </c>
      <c r="V1240" s="16">
        <f t="shared" si="237"/>
        <v>21431.315000000002</v>
      </c>
      <c r="W1240" s="16">
        <f t="shared" si="238"/>
        <v>2143.1315000000004</v>
      </c>
      <c r="X1240" s="16">
        <f t="shared" si="239"/>
        <v>23574.446500000002</v>
      </c>
      <c r="Y1240" s="16">
        <f t="shared" si="240"/>
        <v>35.718858333333337</v>
      </c>
      <c r="Z1240" s="16">
        <f t="shared" si="241"/>
        <v>649.43378787878783</v>
      </c>
      <c r="AA1240" s="17">
        <f t="shared" si="242"/>
        <v>660</v>
      </c>
      <c r="AB1240" s="10">
        <v>84</v>
      </c>
      <c r="AC1240" s="18">
        <f t="shared" si="235"/>
        <v>3000.3841000000002</v>
      </c>
      <c r="AD1240" s="12">
        <f t="shared" si="245"/>
        <v>636</v>
      </c>
      <c r="AE1240" s="13">
        <f t="shared" si="243"/>
        <v>24</v>
      </c>
    </row>
    <row r="1241" spans="1:31">
      <c r="A1241" s="6">
        <v>10</v>
      </c>
      <c r="B1241" s="6">
        <f t="shared" si="244"/>
        <v>10</v>
      </c>
      <c r="C1241" s="6" t="str">
        <f t="shared" si="236"/>
        <v>666041200ACushion ICAB FI 2 Row C9301968452792000</v>
      </c>
      <c r="D1241" s="7" t="s">
        <v>298</v>
      </c>
      <c r="E1241" s="6" t="s">
        <v>472</v>
      </c>
      <c r="F1241" s="6"/>
      <c r="G1241" s="7" t="s">
        <v>237</v>
      </c>
      <c r="H1241" s="19"/>
      <c r="I1241" s="19"/>
      <c r="J1241" s="19"/>
      <c r="K1241" s="19"/>
      <c r="L1241" s="14">
        <v>9301968</v>
      </c>
      <c r="M1241" s="22">
        <v>45279</v>
      </c>
      <c r="N1241" s="19" t="s">
        <v>185</v>
      </c>
      <c r="O1241" s="19" t="s">
        <v>332</v>
      </c>
      <c r="P1241" s="15">
        <v>2000</v>
      </c>
      <c r="Q1241" s="15">
        <v>1754856.77</v>
      </c>
      <c r="R1241" s="15">
        <v>87089500</v>
      </c>
      <c r="S1241" s="15">
        <v>15</v>
      </c>
      <c r="T1241" s="19" t="s">
        <v>357</v>
      </c>
      <c r="U1241" s="19" t="s">
        <v>178</v>
      </c>
      <c r="V1241" s="16">
        <f t="shared" si="237"/>
        <v>263228.51549999998</v>
      </c>
      <c r="W1241" s="16">
        <f t="shared" si="238"/>
        <v>26322.851549999999</v>
      </c>
      <c r="X1241" s="16">
        <f t="shared" si="239"/>
        <v>289551.36705</v>
      </c>
      <c r="Y1241" s="16">
        <f t="shared" si="240"/>
        <v>144.77568352500001</v>
      </c>
      <c r="Z1241" s="16">
        <f t="shared" si="241"/>
        <v>877.42838500000005</v>
      </c>
      <c r="AA1241" s="17">
        <f t="shared" si="242"/>
        <v>2000</v>
      </c>
      <c r="AB1241" s="10">
        <v>2000</v>
      </c>
      <c r="AC1241" s="18">
        <f t="shared" si="235"/>
        <v>289551.36705</v>
      </c>
      <c r="AD1241" s="12">
        <f t="shared" si="245"/>
        <v>2000</v>
      </c>
      <c r="AE1241" s="13">
        <f t="shared" si="243"/>
        <v>0</v>
      </c>
    </row>
    <row r="1242" spans="1:31">
      <c r="A1242" s="6">
        <v>10</v>
      </c>
      <c r="B1242" s="6">
        <f t="shared" si="244"/>
        <v>11</v>
      </c>
      <c r="C1242" s="6" t="str">
        <f t="shared" si="236"/>
        <v>666041200ACushion ICAB FI 2 Row C3571680454325000</v>
      </c>
      <c r="D1242" s="7" t="s">
        <v>298</v>
      </c>
      <c r="E1242" s="6" t="s">
        <v>472</v>
      </c>
      <c r="F1242" s="6"/>
      <c r="G1242" s="7" t="s">
        <v>237</v>
      </c>
      <c r="H1242" s="19"/>
      <c r="I1242" s="19"/>
      <c r="J1242" s="19"/>
      <c r="K1242" s="19"/>
      <c r="L1242" s="14">
        <v>3571680</v>
      </c>
      <c r="M1242" s="22">
        <v>45432</v>
      </c>
      <c r="N1242" s="19" t="s">
        <v>185</v>
      </c>
      <c r="O1242" s="19" t="s">
        <v>332</v>
      </c>
      <c r="P1242" s="15">
        <v>5000</v>
      </c>
      <c r="Q1242" s="15">
        <v>4260260</v>
      </c>
      <c r="R1242" s="15">
        <v>87089500</v>
      </c>
      <c r="S1242" s="15">
        <v>5</v>
      </c>
      <c r="T1242" s="19" t="s">
        <v>350</v>
      </c>
      <c r="U1242" s="19" t="s">
        <v>178</v>
      </c>
      <c r="V1242" s="16">
        <f t="shared" si="237"/>
        <v>213013</v>
      </c>
      <c r="W1242" s="16">
        <f t="shared" si="238"/>
        <v>21301.300000000003</v>
      </c>
      <c r="X1242" s="16">
        <f t="shared" si="239"/>
        <v>234314.3</v>
      </c>
      <c r="Y1242" s="16">
        <f t="shared" si="240"/>
        <v>46.862859999999998</v>
      </c>
      <c r="Z1242" s="16">
        <f t="shared" si="241"/>
        <v>852.05200000000002</v>
      </c>
      <c r="AA1242" s="17">
        <f t="shared" si="242"/>
        <v>5000</v>
      </c>
      <c r="AB1242" s="10">
        <v>688</v>
      </c>
      <c r="AC1242" s="18">
        <f t="shared" si="235"/>
        <v>32241.647679999998</v>
      </c>
      <c r="AD1242" s="12">
        <f t="shared" si="245"/>
        <v>4712</v>
      </c>
      <c r="AE1242" s="13">
        <f t="shared" si="243"/>
        <v>288</v>
      </c>
    </row>
    <row r="1243" spans="1:31">
      <c r="A1243" s="6">
        <v>10</v>
      </c>
      <c r="B1243" s="6">
        <f t="shared" si="244"/>
        <v>12</v>
      </c>
      <c r="C1243" s="6" t="str">
        <f t="shared" si="236"/>
        <v>656334900FAB Cushion ICAB FI 2 Row C KSID, ASP5.1, BUTTON HOL576545245048900</v>
      </c>
      <c r="D1243" s="7" t="s">
        <v>298</v>
      </c>
      <c r="E1243" s="6" t="s">
        <v>474</v>
      </c>
      <c r="F1243" s="6"/>
      <c r="G1243" s="19" t="s">
        <v>243</v>
      </c>
      <c r="H1243" s="19"/>
      <c r="I1243" s="19"/>
      <c r="J1243" s="19"/>
      <c r="K1243" s="19"/>
      <c r="L1243" s="14">
        <v>5765452</v>
      </c>
      <c r="M1243" s="22">
        <v>45048</v>
      </c>
      <c r="N1243" s="19" t="s">
        <v>197</v>
      </c>
      <c r="O1243" s="19" t="s">
        <v>333</v>
      </c>
      <c r="P1243" s="15">
        <v>900</v>
      </c>
      <c r="Q1243" s="15">
        <v>764432.58</v>
      </c>
      <c r="R1243" s="15">
        <v>87089500</v>
      </c>
      <c r="S1243" s="15">
        <v>5</v>
      </c>
      <c r="T1243" s="19" t="s">
        <v>300</v>
      </c>
      <c r="U1243" s="19" t="s">
        <v>200</v>
      </c>
      <c r="V1243" s="16">
        <f t="shared" si="237"/>
        <v>38221.629000000001</v>
      </c>
      <c r="W1243" s="16">
        <f t="shared" si="238"/>
        <v>3822.1629000000003</v>
      </c>
      <c r="X1243" s="16">
        <f t="shared" si="239"/>
        <v>42043.791900000004</v>
      </c>
      <c r="Y1243" s="16">
        <f t="shared" si="240"/>
        <v>46.715324333333335</v>
      </c>
      <c r="Z1243" s="16">
        <f t="shared" si="241"/>
        <v>849.36953333333327</v>
      </c>
      <c r="AA1243" s="17">
        <f t="shared" si="242"/>
        <v>900</v>
      </c>
      <c r="AB1243" s="10">
        <v>900</v>
      </c>
      <c r="AC1243" s="18">
        <f t="shared" si="235"/>
        <v>42043.791900000004</v>
      </c>
      <c r="AD1243" s="12">
        <f t="shared" si="245"/>
        <v>900</v>
      </c>
      <c r="AE1243" s="13">
        <f t="shared" si="243"/>
        <v>0</v>
      </c>
    </row>
    <row r="1244" spans="1:31">
      <c r="A1244" s="6">
        <v>10</v>
      </c>
      <c r="B1244" s="6">
        <f t="shared" si="244"/>
        <v>13</v>
      </c>
      <c r="C1244" s="6" t="str">
        <f t="shared" si="236"/>
        <v>656334900FAB Cushion ICAB FI 2 Row C KSID, ASP5.1, BUTTON HOL9907886447791260</v>
      </c>
      <c r="D1244" s="7" t="s">
        <v>298</v>
      </c>
      <c r="E1244" s="6" t="s">
        <v>474</v>
      </c>
      <c r="F1244" s="6"/>
      <c r="G1244" s="19" t="s">
        <v>243</v>
      </c>
      <c r="H1244" s="19"/>
      <c r="I1244" s="19"/>
      <c r="J1244" s="19"/>
      <c r="K1244" s="19"/>
      <c r="L1244" s="14">
        <v>9907886</v>
      </c>
      <c r="M1244" s="22">
        <v>44779</v>
      </c>
      <c r="N1244" s="19" t="s">
        <v>185</v>
      </c>
      <c r="O1244" s="19" t="s">
        <v>332</v>
      </c>
      <c r="P1244" s="15">
        <v>1260</v>
      </c>
      <c r="Q1244" s="15">
        <v>1132521.9099999999</v>
      </c>
      <c r="R1244" s="15">
        <v>87089500</v>
      </c>
      <c r="S1244" s="15">
        <v>5</v>
      </c>
      <c r="T1244" s="19" t="s">
        <v>300</v>
      </c>
      <c r="U1244" s="19" t="s">
        <v>200</v>
      </c>
      <c r="V1244" s="16">
        <f t="shared" si="237"/>
        <v>56626.095499999996</v>
      </c>
      <c r="W1244" s="16">
        <f t="shared" si="238"/>
        <v>5662.6095500000001</v>
      </c>
      <c r="X1244" s="16">
        <f t="shared" si="239"/>
        <v>62288.705049999997</v>
      </c>
      <c r="Y1244" s="16">
        <f t="shared" si="240"/>
        <v>49.435480198412698</v>
      </c>
      <c r="Z1244" s="16">
        <f t="shared" si="241"/>
        <v>898.82691269841268</v>
      </c>
      <c r="AA1244" s="17">
        <f t="shared" si="242"/>
        <v>1260</v>
      </c>
      <c r="AB1244" s="10">
        <v>1260</v>
      </c>
      <c r="AC1244" s="18">
        <f t="shared" si="235"/>
        <v>62288.705049999997</v>
      </c>
      <c r="AD1244" s="12">
        <f t="shared" si="245"/>
        <v>1260</v>
      </c>
      <c r="AE1244" s="13">
        <f t="shared" si="243"/>
        <v>0</v>
      </c>
    </row>
    <row r="1245" spans="1:31">
      <c r="A1245" s="6">
        <v>10</v>
      </c>
      <c r="B1245" s="6">
        <f t="shared" si="244"/>
        <v>14</v>
      </c>
      <c r="C1245" s="6" t="str">
        <f t="shared" si="236"/>
        <v>656334900FAB Cushion ICAB FI 2 Row C KSID, ASP5.1, BUTTON HOL239527344816540</v>
      </c>
      <c r="D1245" s="7" t="s">
        <v>298</v>
      </c>
      <c r="E1245" s="6" t="s">
        <v>474</v>
      </c>
      <c r="F1245" s="6"/>
      <c r="G1245" s="19" t="s">
        <v>243</v>
      </c>
      <c r="H1245" s="19"/>
      <c r="I1245" s="19"/>
      <c r="J1245" s="19"/>
      <c r="K1245" s="19"/>
      <c r="L1245" s="14">
        <v>2395273</v>
      </c>
      <c r="M1245" s="22">
        <v>44816</v>
      </c>
      <c r="N1245" s="19" t="s">
        <v>199</v>
      </c>
      <c r="O1245" s="19" t="s">
        <v>333</v>
      </c>
      <c r="P1245" s="15">
        <v>540</v>
      </c>
      <c r="Q1245" s="15">
        <v>483502.9</v>
      </c>
      <c r="R1245" s="15">
        <v>87089500</v>
      </c>
      <c r="S1245" s="15">
        <v>5</v>
      </c>
      <c r="T1245" s="19" t="s">
        <v>206</v>
      </c>
      <c r="U1245" s="19" t="s">
        <v>200</v>
      </c>
      <c r="V1245" s="16">
        <f t="shared" si="237"/>
        <v>24175.145000000004</v>
      </c>
      <c r="W1245" s="16">
        <f t="shared" si="238"/>
        <v>2417.5145000000007</v>
      </c>
      <c r="X1245" s="16">
        <f t="shared" si="239"/>
        <v>26592.659500000005</v>
      </c>
      <c r="Y1245" s="16">
        <f t="shared" si="240"/>
        <v>49.245665740740748</v>
      </c>
      <c r="Z1245" s="16">
        <f t="shared" si="241"/>
        <v>895.37574074074075</v>
      </c>
      <c r="AA1245" s="17">
        <f t="shared" si="242"/>
        <v>540</v>
      </c>
      <c r="AB1245" s="10">
        <v>540</v>
      </c>
      <c r="AC1245" s="18">
        <f t="shared" si="235"/>
        <v>26592.659500000005</v>
      </c>
      <c r="AD1245" s="12">
        <f t="shared" si="245"/>
        <v>540</v>
      </c>
      <c r="AE1245" s="13">
        <f t="shared" si="243"/>
        <v>0</v>
      </c>
    </row>
    <row r="1246" spans="1:31">
      <c r="A1246" s="6">
        <v>10</v>
      </c>
      <c r="B1246" s="6">
        <f t="shared" si="244"/>
        <v>15</v>
      </c>
      <c r="C1246" s="6" t="str">
        <f t="shared" si="236"/>
        <v>656334900FAB Cushion ICAB FI 2 Row C KSID, ASP5.1, BUTTON HOL862976045234180</v>
      </c>
      <c r="D1246" s="7" t="s">
        <v>298</v>
      </c>
      <c r="E1246" s="6" t="s">
        <v>474</v>
      </c>
      <c r="F1246" s="6"/>
      <c r="G1246" s="19" t="s">
        <v>243</v>
      </c>
      <c r="H1246" s="19"/>
      <c r="I1246" s="19"/>
      <c r="J1246" s="19"/>
      <c r="K1246" s="19"/>
      <c r="L1246" s="14">
        <v>8629760</v>
      </c>
      <c r="M1246" s="22">
        <v>45234</v>
      </c>
      <c r="N1246" s="19" t="s">
        <v>197</v>
      </c>
      <c r="O1246" s="19" t="s">
        <v>333</v>
      </c>
      <c r="P1246" s="15">
        <v>180</v>
      </c>
      <c r="Q1246" s="15">
        <v>154641.28</v>
      </c>
      <c r="R1246" s="15">
        <v>87089500</v>
      </c>
      <c r="S1246" s="15">
        <v>5</v>
      </c>
      <c r="T1246" s="19" t="s">
        <v>300</v>
      </c>
      <c r="U1246" s="19" t="s">
        <v>200</v>
      </c>
      <c r="V1246" s="16">
        <f t="shared" si="237"/>
        <v>7732.0640000000003</v>
      </c>
      <c r="W1246" s="16">
        <f t="shared" si="238"/>
        <v>773.20640000000003</v>
      </c>
      <c r="X1246" s="16">
        <f t="shared" si="239"/>
        <v>8505.2704000000012</v>
      </c>
      <c r="Y1246" s="16">
        <f t="shared" si="240"/>
        <v>47.251502222222229</v>
      </c>
      <c r="Z1246" s="16">
        <f t="shared" si="241"/>
        <v>859.11822222222224</v>
      </c>
      <c r="AA1246" s="17">
        <f t="shared" si="242"/>
        <v>180</v>
      </c>
      <c r="AB1246" s="10">
        <v>180</v>
      </c>
      <c r="AC1246" s="18">
        <f t="shared" si="235"/>
        <v>8505.2704000000012</v>
      </c>
      <c r="AD1246" s="12">
        <f t="shared" si="245"/>
        <v>180</v>
      </c>
      <c r="AE1246" s="13">
        <f t="shared" si="243"/>
        <v>0</v>
      </c>
    </row>
    <row r="1247" spans="1:31">
      <c r="A1247" s="6">
        <v>10</v>
      </c>
      <c r="B1247" s="6">
        <f t="shared" si="244"/>
        <v>16</v>
      </c>
      <c r="C1247" s="6" t="str">
        <f t="shared" si="236"/>
        <v>656334900FAB Cushion ICAB FI 2 Row C KSID, ASP5.1, BUTTON HOL2169560447991980</v>
      </c>
      <c r="D1247" s="7" t="s">
        <v>298</v>
      </c>
      <c r="E1247" s="6" t="s">
        <v>474</v>
      </c>
      <c r="F1247" s="6"/>
      <c r="G1247" s="19" t="s">
        <v>243</v>
      </c>
      <c r="H1247" s="19"/>
      <c r="I1247" s="19"/>
      <c r="J1247" s="19"/>
      <c r="K1247" s="19"/>
      <c r="L1247" s="14">
        <v>2169560</v>
      </c>
      <c r="M1247" s="22">
        <v>44799</v>
      </c>
      <c r="N1247" s="19" t="s">
        <v>185</v>
      </c>
      <c r="O1247" s="19" t="s">
        <v>332</v>
      </c>
      <c r="P1247" s="15">
        <v>1980</v>
      </c>
      <c r="Q1247" s="15">
        <v>1782469.32</v>
      </c>
      <c r="R1247" s="15">
        <v>87089500</v>
      </c>
      <c r="S1247" s="15">
        <v>5</v>
      </c>
      <c r="T1247" s="19" t="s">
        <v>300</v>
      </c>
      <c r="U1247" s="19" t="s">
        <v>200</v>
      </c>
      <c r="V1247" s="16">
        <f t="shared" si="237"/>
        <v>89123.466000000015</v>
      </c>
      <c r="W1247" s="16">
        <f t="shared" si="238"/>
        <v>8912.3466000000026</v>
      </c>
      <c r="X1247" s="16">
        <f t="shared" si="239"/>
        <v>98035.812600000019</v>
      </c>
      <c r="Y1247" s="16">
        <f t="shared" si="240"/>
        <v>49.513036666666679</v>
      </c>
      <c r="Z1247" s="16">
        <f t="shared" si="241"/>
        <v>900.23703030303034</v>
      </c>
      <c r="AA1247" s="17">
        <f t="shared" si="242"/>
        <v>1980</v>
      </c>
      <c r="AB1247" s="10">
        <v>313</v>
      </c>
      <c r="AC1247" s="18">
        <f t="shared" si="235"/>
        <v>15497.58047666667</v>
      </c>
      <c r="AD1247" s="12">
        <f t="shared" si="245"/>
        <v>1849</v>
      </c>
      <c r="AE1247" s="13">
        <f t="shared" si="243"/>
        <v>131</v>
      </c>
    </row>
    <row r="1248" spans="1:31">
      <c r="A1248" s="6">
        <v>10</v>
      </c>
      <c r="B1248" s="6">
        <f t="shared" si="244"/>
        <v>17</v>
      </c>
      <c r="C1248" s="6" t="str">
        <f t="shared" si="236"/>
        <v>649421000AAB INFLATOR, ASP-5.1, P20, SRR, IMI, SERV, NO STUDS5812154450516912</v>
      </c>
      <c r="D1248" s="7" t="s">
        <v>298</v>
      </c>
      <c r="E1248" s="6" t="s">
        <v>56</v>
      </c>
      <c r="F1248" s="6"/>
      <c r="G1248" s="7" t="s">
        <v>245</v>
      </c>
      <c r="H1248" s="19"/>
      <c r="I1248" s="19"/>
      <c r="J1248" s="19"/>
      <c r="K1248" s="19"/>
      <c r="L1248" s="14">
        <v>5812154</v>
      </c>
      <c r="M1248" s="22">
        <v>45051</v>
      </c>
      <c r="N1248" s="19" t="s">
        <v>197</v>
      </c>
      <c r="O1248" s="19" t="s">
        <v>333</v>
      </c>
      <c r="P1248" s="15">
        <v>6912</v>
      </c>
      <c r="Q1248" s="15">
        <v>1444384.32</v>
      </c>
      <c r="R1248" s="15">
        <v>87089500</v>
      </c>
      <c r="S1248" s="15">
        <v>15</v>
      </c>
      <c r="T1248" s="19" t="s">
        <v>202</v>
      </c>
      <c r="U1248" s="19" t="s">
        <v>200</v>
      </c>
      <c r="V1248" s="16">
        <f t="shared" si="237"/>
        <v>216657.64800000002</v>
      </c>
      <c r="W1248" s="16">
        <f t="shared" si="238"/>
        <v>21665.764800000004</v>
      </c>
      <c r="X1248" s="16">
        <f t="shared" si="239"/>
        <v>238323.41280000002</v>
      </c>
      <c r="Y1248" s="16">
        <f t="shared" si="240"/>
        <v>34.479660416666668</v>
      </c>
      <c r="Z1248" s="16">
        <f t="shared" si="241"/>
        <v>208.9676388888889</v>
      </c>
      <c r="AA1248" s="17">
        <f t="shared" si="242"/>
        <v>6912</v>
      </c>
      <c r="AB1248" s="10">
        <v>5881</v>
      </c>
      <c r="AC1248" s="18">
        <f t="shared" si="235"/>
        <v>202774.88291041667</v>
      </c>
      <c r="AD1248" s="12">
        <f t="shared" si="245"/>
        <v>6912</v>
      </c>
      <c r="AE1248" s="13">
        <f t="shared" si="243"/>
        <v>0</v>
      </c>
    </row>
    <row r="1249" spans="1:31">
      <c r="A1249" s="6">
        <v>10</v>
      </c>
      <c r="B1249" s="6">
        <f t="shared" si="244"/>
        <v>18</v>
      </c>
      <c r="C1249" s="6" t="str">
        <f t="shared" si="236"/>
        <v>566098600CWEBBING PIN, RETRACTOR, AGB, AGB-95POM FARBE:SCH432749644950120000</v>
      </c>
      <c r="D1249" s="7" t="s">
        <v>298</v>
      </c>
      <c r="E1249" s="6" t="s">
        <v>57</v>
      </c>
      <c r="F1249" s="6"/>
      <c r="G1249" s="7" t="s">
        <v>17</v>
      </c>
      <c r="H1249" s="19"/>
      <c r="I1249" s="19"/>
      <c r="J1249" s="19"/>
      <c r="K1249" s="19"/>
      <c r="L1249" s="14">
        <v>4327496</v>
      </c>
      <c r="M1249" s="22">
        <v>44950</v>
      </c>
      <c r="N1249" s="19" t="s">
        <v>199</v>
      </c>
      <c r="O1249" s="19" t="s">
        <v>332</v>
      </c>
      <c r="P1249" s="15">
        <v>120000</v>
      </c>
      <c r="Q1249" s="15">
        <v>117311.7</v>
      </c>
      <c r="R1249" s="15">
        <v>87082900</v>
      </c>
      <c r="S1249" s="15">
        <v>15</v>
      </c>
      <c r="T1249" s="19" t="s">
        <v>307</v>
      </c>
      <c r="U1249" s="19" t="s">
        <v>178</v>
      </c>
      <c r="V1249" s="16">
        <f t="shared" si="237"/>
        <v>17596.754999999997</v>
      </c>
      <c r="W1249" s="16">
        <f t="shared" si="238"/>
        <v>1759.6754999999998</v>
      </c>
      <c r="X1249" s="16">
        <f t="shared" si="239"/>
        <v>19356.430499999999</v>
      </c>
      <c r="Y1249" s="16">
        <f t="shared" si="240"/>
        <v>0.16130358749999998</v>
      </c>
      <c r="Z1249" s="16">
        <f t="shared" si="241"/>
        <v>0.97759750000000001</v>
      </c>
      <c r="AA1249" s="17">
        <f t="shared" si="242"/>
        <v>120000</v>
      </c>
      <c r="AB1249" s="10">
        <v>2772</v>
      </c>
      <c r="AC1249" s="18">
        <f t="shared" si="235"/>
        <v>447.13354454999995</v>
      </c>
      <c r="AD1249" s="12">
        <f t="shared" si="245"/>
        <v>86652</v>
      </c>
      <c r="AE1249" s="13">
        <f t="shared" si="243"/>
        <v>33348</v>
      </c>
    </row>
    <row r="1250" spans="1:31">
      <c r="A1250" s="6">
        <v>10</v>
      </c>
      <c r="B1250" s="6">
        <f t="shared" si="244"/>
        <v>19</v>
      </c>
      <c r="C1250" s="6" t="str">
        <f t="shared" si="236"/>
        <v>NWB2834WASHER, WAVED 68542594512020000</v>
      </c>
      <c r="D1250" s="7" t="s">
        <v>298</v>
      </c>
      <c r="E1250" s="6" t="s">
        <v>77</v>
      </c>
      <c r="F1250" s="6"/>
      <c r="G1250" s="7" t="s">
        <v>37</v>
      </c>
      <c r="H1250" s="19"/>
      <c r="I1250" s="19"/>
      <c r="J1250" s="19"/>
      <c r="K1250" s="19"/>
      <c r="L1250" s="14" t="s">
        <v>95</v>
      </c>
      <c r="M1250" s="22">
        <v>45120</v>
      </c>
      <c r="N1250" s="19" t="s">
        <v>196</v>
      </c>
      <c r="O1250" s="19" t="s">
        <v>226</v>
      </c>
      <c r="P1250" s="15">
        <v>20000</v>
      </c>
      <c r="Q1250" s="15">
        <v>35281.85</v>
      </c>
      <c r="R1250" s="15">
        <v>87082900</v>
      </c>
      <c r="S1250" s="15">
        <v>15</v>
      </c>
      <c r="T1250" s="19" t="s">
        <v>207</v>
      </c>
      <c r="U1250" s="19" t="s">
        <v>178</v>
      </c>
      <c r="V1250" s="16">
        <f t="shared" si="237"/>
        <v>5292.2774999999992</v>
      </c>
      <c r="W1250" s="16">
        <f t="shared" si="238"/>
        <v>529.2277499999999</v>
      </c>
      <c r="X1250" s="16">
        <f t="shared" si="239"/>
        <v>5821.5052499999993</v>
      </c>
      <c r="Y1250" s="16">
        <f t="shared" si="240"/>
        <v>0.29107526249999999</v>
      </c>
      <c r="Z1250" s="16">
        <f t="shared" si="241"/>
        <v>1.7640924999999998</v>
      </c>
      <c r="AA1250" s="17">
        <f t="shared" si="242"/>
        <v>20000</v>
      </c>
      <c r="AB1250" s="10">
        <v>5824</v>
      </c>
      <c r="AC1250" s="18">
        <f t="shared" si="235"/>
        <v>1695.2223288</v>
      </c>
      <c r="AD1250" s="12">
        <f t="shared" si="245"/>
        <v>18848</v>
      </c>
      <c r="AE1250" s="13">
        <f t="shared" si="243"/>
        <v>1152</v>
      </c>
    </row>
    <row r="1251" spans="1:31">
      <c r="A1251" s="6">
        <v>10</v>
      </c>
      <c r="B1251" s="6">
        <f t="shared" si="244"/>
        <v>20</v>
      </c>
      <c r="C1251" s="6" t="str">
        <f t="shared" si="236"/>
        <v>625090202BTAPE, IC, CONTINUOUS, 13.0 MM., PET 3M 842141242304494235100</v>
      </c>
      <c r="D1251" s="7" t="s">
        <v>298</v>
      </c>
      <c r="E1251" s="6" t="s">
        <v>128</v>
      </c>
      <c r="F1251" s="6"/>
      <c r="G1251" s="19" t="s">
        <v>103</v>
      </c>
      <c r="H1251" s="19"/>
      <c r="I1251" s="19"/>
      <c r="J1251" s="19"/>
      <c r="K1251" s="19"/>
      <c r="L1251" s="14" t="s">
        <v>107</v>
      </c>
      <c r="M1251" s="22">
        <v>44942</v>
      </c>
      <c r="N1251" s="19" t="e">
        <v>#N/A</v>
      </c>
      <c r="O1251" s="19" t="e">
        <v>#N/A</v>
      </c>
      <c r="P1251" s="15">
        <v>35100</v>
      </c>
      <c r="Q1251" s="15">
        <v>402986.27</v>
      </c>
      <c r="R1251" s="15" t="e">
        <v>#N/A</v>
      </c>
      <c r="S1251" s="15">
        <v>15</v>
      </c>
      <c r="T1251" s="19" t="e">
        <v>#N/A</v>
      </c>
      <c r="U1251" s="19" t="e">
        <v>#N/A</v>
      </c>
      <c r="V1251" s="16">
        <f t="shared" si="237"/>
        <v>60447.940499999997</v>
      </c>
      <c r="W1251" s="16">
        <f t="shared" si="238"/>
        <v>6044.7940500000004</v>
      </c>
      <c r="X1251" s="16">
        <f t="shared" si="239"/>
        <v>66492.734549999994</v>
      </c>
      <c r="Y1251" s="16">
        <f t="shared" si="240"/>
        <v>1.8943799017094016</v>
      </c>
      <c r="Z1251" s="16">
        <f t="shared" si="241"/>
        <v>11.481090313390315</v>
      </c>
      <c r="AA1251" s="17">
        <f t="shared" si="242"/>
        <v>35100</v>
      </c>
      <c r="AB1251" s="10">
        <v>5423.08</v>
      </c>
      <c r="AC1251" s="18">
        <f t="shared" si="235"/>
        <v>10273.373757362222</v>
      </c>
      <c r="AD1251" s="12">
        <f t="shared" si="245"/>
        <v>7614.28</v>
      </c>
      <c r="AE1251" s="13">
        <f t="shared" si="243"/>
        <v>27485.72</v>
      </c>
    </row>
    <row r="1252" spans="1:31">
      <c r="A1252" s="6">
        <v>10</v>
      </c>
      <c r="B1252" s="6">
        <f t="shared" si="244"/>
        <v>21</v>
      </c>
      <c r="C1252" s="6" t="str">
        <f t="shared" si="236"/>
        <v>603171100BTAPE, ADHESIVE, TERAOKA TERAOKA NO.560S 226314894484950000</v>
      </c>
      <c r="D1252" s="7" t="s">
        <v>298</v>
      </c>
      <c r="E1252" s="6" t="s">
        <v>50</v>
      </c>
      <c r="F1252" s="6"/>
      <c r="G1252" s="7" t="s">
        <v>12</v>
      </c>
      <c r="H1252" s="19"/>
      <c r="I1252" s="19"/>
      <c r="J1252" s="19"/>
      <c r="K1252" s="19"/>
      <c r="L1252" s="14">
        <v>2631489</v>
      </c>
      <c r="M1252" s="22">
        <v>44849</v>
      </c>
      <c r="N1252" s="19" t="s">
        <v>196</v>
      </c>
      <c r="O1252" s="19" t="s">
        <v>333</v>
      </c>
      <c r="P1252" s="15">
        <v>50000</v>
      </c>
      <c r="Q1252" s="15">
        <v>298875.90000000002</v>
      </c>
      <c r="R1252" s="15">
        <v>87082900</v>
      </c>
      <c r="S1252" s="15">
        <v>15</v>
      </c>
      <c r="T1252" s="19" t="s">
        <v>334</v>
      </c>
      <c r="U1252" s="19" t="s">
        <v>178</v>
      </c>
      <c r="V1252" s="16">
        <f t="shared" si="237"/>
        <v>44831.385000000002</v>
      </c>
      <c r="W1252" s="16">
        <f t="shared" si="238"/>
        <v>4483.1385</v>
      </c>
      <c r="X1252" s="16">
        <f t="shared" si="239"/>
        <v>49314.523500000003</v>
      </c>
      <c r="Y1252" s="16">
        <f t="shared" si="240"/>
        <v>0.98629047000000003</v>
      </c>
      <c r="Z1252" s="16">
        <f t="shared" si="241"/>
        <v>5.9775180000000008</v>
      </c>
      <c r="AA1252" s="17">
        <f t="shared" si="242"/>
        <v>50000</v>
      </c>
      <c r="AB1252" s="10">
        <v>1555.1999999999998</v>
      </c>
      <c r="AC1252" s="18">
        <f t="shared" si="235"/>
        <v>1533.8789389439999</v>
      </c>
      <c r="AD1252" s="12">
        <f t="shared" si="245"/>
        <v>3937.6</v>
      </c>
      <c r="AE1252" s="13">
        <f t="shared" si="243"/>
        <v>46062.400000000001</v>
      </c>
    </row>
    <row r="1253" spans="1:31">
      <c r="A1253" s="6">
        <v>10</v>
      </c>
      <c r="B1253" s="6">
        <f t="shared" si="244"/>
        <v>22</v>
      </c>
      <c r="C1253" s="6" t="str">
        <f t="shared" si="236"/>
        <v>654590600ASU2ID STD CUSHION COMPON CVR NON-WOVEN RH4050877449311800</v>
      </c>
      <c r="D1253" s="7" t="s">
        <v>298</v>
      </c>
      <c r="E1253" s="6" t="s">
        <v>78</v>
      </c>
      <c r="F1253" s="6"/>
      <c r="G1253" s="7" t="s">
        <v>38</v>
      </c>
      <c r="H1253" s="19"/>
      <c r="I1253" s="19"/>
      <c r="J1253" s="19"/>
      <c r="K1253" s="19"/>
      <c r="L1253" s="14">
        <v>4050877</v>
      </c>
      <c r="M1253" s="22">
        <v>44931</v>
      </c>
      <c r="N1253" s="19" t="s">
        <v>196</v>
      </c>
      <c r="O1253" s="19" t="s">
        <v>333</v>
      </c>
      <c r="P1253" s="15">
        <v>1800</v>
      </c>
      <c r="Q1253" s="15">
        <v>24960.39</v>
      </c>
      <c r="R1253" s="15">
        <v>87089500</v>
      </c>
      <c r="S1253" s="15">
        <v>15</v>
      </c>
      <c r="T1253" s="19" t="s">
        <v>338</v>
      </c>
      <c r="U1253" s="19" t="s">
        <v>178</v>
      </c>
      <c r="V1253" s="16">
        <f t="shared" si="237"/>
        <v>3744.0584999999996</v>
      </c>
      <c r="W1253" s="16">
        <f t="shared" si="238"/>
        <v>374.40584999999999</v>
      </c>
      <c r="X1253" s="16">
        <f t="shared" si="239"/>
        <v>4118.4643499999993</v>
      </c>
      <c r="Y1253" s="16">
        <f t="shared" si="240"/>
        <v>2.2880357499999997</v>
      </c>
      <c r="Z1253" s="16">
        <f t="shared" si="241"/>
        <v>13.866883333333334</v>
      </c>
      <c r="AA1253" s="17">
        <f t="shared" si="242"/>
        <v>1800</v>
      </c>
      <c r="AB1253" s="10">
        <v>804</v>
      </c>
      <c r="AC1253" s="18">
        <f t="shared" si="235"/>
        <v>1839.5807429999998</v>
      </c>
      <c r="AD1253" s="12">
        <f t="shared" si="245"/>
        <v>1800</v>
      </c>
      <c r="AE1253" s="13">
        <f t="shared" si="243"/>
        <v>0</v>
      </c>
    </row>
    <row r="1254" spans="1:31">
      <c r="A1254" s="6">
        <v>10</v>
      </c>
      <c r="B1254" s="6">
        <f t="shared" si="244"/>
        <v>23</v>
      </c>
      <c r="C1254" s="6" t="str">
        <f t="shared" si="236"/>
        <v>654590600ASU2ID STD CUSHION COMPON CVR NON-WOVEN RH7309975451492700</v>
      </c>
      <c r="D1254" s="7" t="s">
        <v>298</v>
      </c>
      <c r="E1254" s="6" t="s">
        <v>78</v>
      </c>
      <c r="F1254" s="6"/>
      <c r="G1254" s="7" t="s">
        <v>38</v>
      </c>
      <c r="H1254" s="19"/>
      <c r="I1254" s="19"/>
      <c r="J1254" s="19"/>
      <c r="K1254" s="19"/>
      <c r="L1254" s="14">
        <v>7309975</v>
      </c>
      <c r="M1254" s="22">
        <v>45149</v>
      </c>
      <c r="N1254" s="19" t="s">
        <v>196</v>
      </c>
      <c r="O1254" s="19" t="s">
        <v>333</v>
      </c>
      <c r="P1254" s="15">
        <v>2700</v>
      </c>
      <c r="Q1254" s="15">
        <v>39279.21</v>
      </c>
      <c r="R1254" s="15">
        <v>87089500</v>
      </c>
      <c r="S1254" s="15">
        <v>15</v>
      </c>
      <c r="T1254" s="19" t="s">
        <v>227</v>
      </c>
      <c r="U1254" s="19" t="s">
        <v>178</v>
      </c>
      <c r="V1254" s="16">
        <f t="shared" si="237"/>
        <v>5891.8814999999995</v>
      </c>
      <c r="W1254" s="16">
        <f t="shared" si="238"/>
        <v>589.18814999999995</v>
      </c>
      <c r="X1254" s="16">
        <f t="shared" si="239"/>
        <v>6481.0696499999995</v>
      </c>
      <c r="Y1254" s="16">
        <f t="shared" si="240"/>
        <v>2.4003961666666664</v>
      </c>
      <c r="Z1254" s="16">
        <f t="shared" si="241"/>
        <v>14.547855555555556</v>
      </c>
      <c r="AA1254" s="17">
        <f t="shared" si="242"/>
        <v>2700</v>
      </c>
      <c r="AB1254" s="10">
        <v>1272</v>
      </c>
      <c r="AC1254" s="18">
        <f t="shared" si="235"/>
        <v>3053.3039239999998</v>
      </c>
      <c r="AD1254" s="12">
        <f t="shared" si="245"/>
        <v>2700</v>
      </c>
      <c r="AE1254" s="13">
        <f t="shared" si="243"/>
        <v>0</v>
      </c>
    </row>
    <row r="1255" spans="1:31">
      <c r="A1255" s="6">
        <v>10</v>
      </c>
      <c r="B1255" s="6">
        <f t="shared" si="244"/>
        <v>24</v>
      </c>
      <c r="C1255" s="6" t="str">
        <f t="shared" si="236"/>
        <v>654590600ASU2ID STD CUSHION COMPON CVR NON-WOVEN RH8495606452266300</v>
      </c>
      <c r="D1255" s="7" t="s">
        <v>298</v>
      </c>
      <c r="E1255" s="6" t="s">
        <v>78</v>
      </c>
      <c r="F1255" s="6"/>
      <c r="G1255" s="7" t="s">
        <v>38</v>
      </c>
      <c r="H1255" s="19"/>
      <c r="I1255" s="19"/>
      <c r="J1255" s="19"/>
      <c r="K1255" s="19"/>
      <c r="L1255" s="14">
        <v>8495606</v>
      </c>
      <c r="M1255" s="22">
        <v>45226</v>
      </c>
      <c r="N1255" s="19" t="s">
        <v>185</v>
      </c>
      <c r="O1255" s="19" t="s">
        <v>333</v>
      </c>
      <c r="P1255" s="15">
        <v>6300</v>
      </c>
      <c r="Q1255" s="15">
        <v>79993.72</v>
      </c>
      <c r="R1255" s="15">
        <v>87089500</v>
      </c>
      <c r="S1255" s="15">
        <v>5</v>
      </c>
      <c r="T1255" s="19" t="s">
        <v>340</v>
      </c>
      <c r="U1255" s="19" t="s">
        <v>178</v>
      </c>
      <c r="V1255" s="16">
        <f t="shared" si="237"/>
        <v>3999.6860000000001</v>
      </c>
      <c r="W1255" s="16">
        <f t="shared" si="238"/>
        <v>399.96860000000004</v>
      </c>
      <c r="X1255" s="16">
        <f t="shared" si="239"/>
        <v>4399.6545999999998</v>
      </c>
      <c r="Y1255" s="16">
        <f t="shared" si="240"/>
        <v>0.69835787301587304</v>
      </c>
      <c r="Z1255" s="16">
        <f t="shared" si="241"/>
        <v>12.697415873015872</v>
      </c>
      <c r="AA1255" s="17">
        <f t="shared" si="242"/>
        <v>6300</v>
      </c>
      <c r="AB1255" s="10">
        <v>1380</v>
      </c>
      <c r="AC1255" s="18">
        <f t="shared" si="235"/>
        <v>963.73386476190478</v>
      </c>
      <c r="AD1255" s="12">
        <f t="shared" si="245"/>
        <v>5856</v>
      </c>
      <c r="AE1255" s="13">
        <f t="shared" si="243"/>
        <v>444</v>
      </c>
    </row>
    <row r="1256" spans="1:31">
      <c r="A1256" s="6">
        <v>10</v>
      </c>
      <c r="B1256" s="6">
        <f t="shared" si="244"/>
        <v>25</v>
      </c>
      <c r="C1256" s="6" t="str">
        <f t="shared" si="236"/>
        <v>654590600ASU2ID STD CUSHION COMPON CVR NON-WOVEN RH7515198451635400</v>
      </c>
      <c r="D1256" s="7" t="s">
        <v>298</v>
      </c>
      <c r="E1256" s="6" t="s">
        <v>78</v>
      </c>
      <c r="F1256" s="6"/>
      <c r="G1256" s="7" t="s">
        <v>38</v>
      </c>
      <c r="H1256" s="19"/>
      <c r="I1256" s="19"/>
      <c r="J1256" s="19"/>
      <c r="K1256" s="19"/>
      <c r="L1256" s="14">
        <v>7515198</v>
      </c>
      <c r="M1256" s="22">
        <v>45163</v>
      </c>
      <c r="N1256" s="19" t="s">
        <v>185</v>
      </c>
      <c r="O1256" s="19" t="s">
        <v>332</v>
      </c>
      <c r="P1256" s="15">
        <v>5400</v>
      </c>
      <c r="Q1256" s="15">
        <v>74069.62</v>
      </c>
      <c r="R1256" s="15">
        <v>87089500</v>
      </c>
      <c r="S1256" s="15">
        <v>5</v>
      </c>
      <c r="T1256" s="19" t="s">
        <v>340</v>
      </c>
      <c r="U1256" s="19" t="s">
        <v>178</v>
      </c>
      <c r="V1256" s="16">
        <f t="shared" si="237"/>
        <v>3703.4809999999998</v>
      </c>
      <c r="W1256" s="16">
        <f t="shared" si="238"/>
        <v>370.34809999999999</v>
      </c>
      <c r="X1256" s="16">
        <f t="shared" si="239"/>
        <v>4073.8290999999999</v>
      </c>
      <c r="Y1256" s="16">
        <f t="shared" si="240"/>
        <v>0.75441279629629632</v>
      </c>
      <c r="Z1256" s="16">
        <f t="shared" si="241"/>
        <v>13.716596296296295</v>
      </c>
      <c r="AA1256" s="17">
        <f t="shared" si="242"/>
        <v>5400</v>
      </c>
      <c r="AB1256" s="10">
        <v>4032</v>
      </c>
      <c r="AC1256" s="18">
        <f t="shared" si="235"/>
        <v>3041.792394666667</v>
      </c>
      <c r="AD1256" s="12">
        <v>5400</v>
      </c>
      <c r="AE1256" s="13">
        <f t="shared" si="243"/>
        <v>0</v>
      </c>
    </row>
    <row r="1257" spans="1:31">
      <c r="A1257" s="6">
        <v>10</v>
      </c>
      <c r="B1257" s="6">
        <f t="shared" si="244"/>
        <v>26</v>
      </c>
      <c r="C1257" s="6" t="str">
        <f t="shared" si="236"/>
        <v>609183701ASTUD, M6 X 1.0, 16.0561310344974140000</v>
      </c>
      <c r="D1257" s="7" t="s">
        <v>298</v>
      </c>
      <c r="E1257" s="6" t="s">
        <v>51</v>
      </c>
      <c r="F1257" s="6"/>
      <c r="G1257" s="7" t="s">
        <v>411</v>
      </c>
      <c r="H1257" s="19"/>
      <c r="I1257" s="19"/>
      <c r="J1257" s="19"/>
      <c r="K1257" s="19"/>
      <c r="L1257" s="14">
        <v>5613103</v>
      </c>
      <c r="M1257" s="22">
        <v>44974</v>
      </c>
      <c r="N1257" s="19" t="s">
        <v>185</v>
      </c>
      <c r="O1257" s="19" t="s">
        <v>332</v>
      </c>
      <c r="P1257" s="15">
        <v>140000</v>
      </c>
      <c r="Q1257" s="15">
        <v>402663.89</v>
      </c>
      <c r="R1257" s="15">
        <v>87082900</v>
      </c>
      <c r="S1257" s="15">
        <v>15</v>
      </c>
      <c r="T1257" s="19" t="s">
        <v>304</v>
      </c>
      <c r="U1257" s="19" t="s">
        <v>178</v>
      </c>
      <c r="V1257" s="16">
        <f t="shared" si="237"/>
        <v>60399.583500000001</v>
      </c>
      <c r="W1257" s="16">
        <f t="shared" si="238"/>
        <v>6039.9583500000008</v>
      </c>
      <c r="X1257" s="16">
        <f t="shared" si="239"/>
        <v>66439.541850000009</v>
      </c>
      <c r="Y1257" s="16">
        <f t="shared" si="240"/>
        <v>0.47456815607142866</v>
      </c>
      <c r="Z1257" s="16">
        <f t="shared" si="241"/>
        <v>2.8761706428571427</v>
      </c>
      <c r="AA1257" s="17">
        <f t="shared" si="242"/>
        <v>140000</v>
      </c>
      <c r="AB1257" s="10">
        <v>20720</v>
      </c>
      <c r="AC1257" s="18">
        <f t="shared" si="235"/>
        <v>9833.052193800002</v>
      </c>
      <c r="AD1257" s="12">
        <f t="shared" ref="AD1257:AD1297" si="246">SUMIF($C$2:$C$2284,C1257,$AB$2:$AB$2284)</f>
        <v>140000</v>
      </c>
      <c r="AE1257" s="13">
        <f t="shared" si="243"/>
        <v>0</v>
      </c>
    </row>
    <row r="1258" spans="1:31">
      <c r="A1258" s="6">
        <v>10</v>
      </c>
      <c r="B1258" s="6">
        <f t="shared" si="244"/>
        <v>27</v>
      </c>
      <c r="C1258" s="6" t="str">
        <f t="shared" si="236"/>
        <v>605555507ESTEERING DISC NATURE WHITE717838944902100800</v>
      </c>
      <c r="D1258" s="7" t="s">
        <v>298</v>
      </c>
      <c r="E1258" s="6" t="s">
        <v>66</v>
      </c>
      <c r="F1258" s="6"/>
      <c r="G1258" s="7" t="s">
        <v>26</v>
      </c>
      <c r="H1258" s="19"/>
      <c r="I1258" s="19"/>
      <c r="J1258" s="19"/>
      <c r="K1258" s="19"/>
      <c r="L1258" s="14">
        <v>7178389</v>
      </c>
      <c r="M1258" s="22">
        <v>44902</v>
      </c>
      <c r="N1258" s="19" t="s">
        <v>185</v>
      </c>
      <c r="O1258" s="19" t="s">
        <v>332</v>
      </c>
      <c r="P1258" s="15">
        <v>100800</v>
      </c>
      <c r="Q1258" s="15">
        <v>397158.13</v>
      </c>
      <c r="R1258" s="15">
        <v>87082900</v>
      </c>
      <c r="S1258" s="15">
        <v>15</v>
      </c>
      <c r="T1258" s="19" t="s">
        <v>315</v>
      </c>
      <c r="U1258" s="19" t="s">
        <v>178</v>
      </c>
      <c r="V1258" s="16">
        <f t="shared" si="237"/>
        <v>59573.719499999999</v>
      </c>
      <c r="W1258" s="16">
        <f t="shared" si="238"/>
        <v>5957.3719500000007</v>
      </c>
      <c r="X1258" s="16">
        <f t="shared" si="239"/>
        <v>65531.09145</v>
      </c>
      <c r="Y1258" s="16">
        <f t="shared" si="240"/>
        <v>0.65011003422619051</v>
      </c>
      <c r="Z1258" s="16">
        <f t="shared" si="241"/>
        <v>3.9400608134920634</v>
      </c>
      <c r="AA1258" s="17">
        <f t="shared" si="242"/>
        <v>100800</v>
      </c>
      <c r="AB1258" s="10">
        <v>2772</v>
      </c>
      <c r="AC1258" s="18">
        <f t="shared" si="235"/>
        <v>1802.1050148750001</v>
      </c>
      <c r="AD1258" s="12">
        <f t="shared" si="246"/>
        <v>80292</v>
      </c>
      <c r="AE1258" s="13">
        <f t="shared" si="243"/>
        <v>20508</v>
      </c>
    </row>
    <row r="1259" spans="1:31">
      <c r="A1259" s="6">
        <v>10</v>
      </c>
      <c r="B1259" s="6">
        <f t="shared" si="244"/>
        <v>28</v>
      </c>
      <c r="C1259" s="6" t="str">
        <f t="shared" si="236"/>
        <v>560130122ASPRING, WIRE, COMPRESSIO K12A/AT495151045028300000</v>
      </c>
      <c r="D1259" s="7" t="s">
        <v>298</v>
      </c>
      <c r="E1259" s="6" t="s">
        <v>73</v>
      </c>
      <c r="F1259" s="6"/>
      <c r="G1259" s="7" t="s">
        <v>33</v>
      </c>
      <c r="H1259" s="19"/>
      <c r="I1259" s="19"/>
      <c r="J1259" s="19"/>
      <c r="K1259" s="19"/>
      <c r="L1259" s="14">
        <v>4951510</v>
      </c>
      <c r="M1259" s="22">
        <v>45028</v>
      </c>
      <c r="N1259" s="19" t="s">
        <v>199</v>
      </c>
      <c r="O1259" s="19" t="s">
        <v>332</v>
      </c>
      <c r="P1259" s="15">
        <v>300000</v>
      </c>
      <c r="Q1259" s="15">
        <v>285155.93</v>
      </c>
      <c r="R1259" s="15">
        <v>87082900</v>
      </c>
      <c r="S1259" s="15">
        <v>15</v>
      </c>
      <c r="T1259" s="19" t="s">
        <v>319</v>
      </c>
      <c r="U1259" s="19" t="s">
        <v>178</v>
      </c>
      <c r="V1259" s="16">
        <f t="shared" si="237"/>
        <v>42773.389499999997</v>
      </c>
      <c r="W1259" s="16">
        <f t="shared" si="238"/>
        <v>4277.3389500000003</v>
      </c>
      <c r="X1259" s="16">
        <f t="shared" si="239"/>
        <v>47050.728449999995</v>
      </c>
      <c r="Y1259" s="16">
        <f t="shared" si="240"/>
        <v>0.15683576149999998</v>
      </c>
      <c r="Z1259" s="16">
        <f t="shared" si="241"/>
        <v>0.9505197666666666</v>
      </c>
      <c r="AA1259" s="17">
        <f t="shared" si="242"/>
        <v>300000</v>
      </c>
      <c r="AB1259" s="10">
        <v>5824</v>
      </c>
      <c r="AC1259" s="18">
        <f t="shared" si="235"/>
        <v>913.41147497599991</v>
      </c>
      <c r="AD1259" s="12">
        <f t="shared" si="246"/>
        <v>94048</v>
      </c>
      <c r="AE1259" s="13">
        <f t="shared" si="243"/>
        <v>205952</v>
      </c>
    </row>
    <row r="1260" spans="1:31">
      <c r="A1260" s="6">
        <v>10</v>
      </c>
      <c r="B1260" s="6">
        <f t="shared" si="244"/>
        <v>29</v>
      </c>
      <c r="C1260" s="6" t="str">
        <f t="shared" si="236"/>
        <v>649421000AAB INFLATOR, ASP-5.1, P20, SRR, IMI, SERV, NO STUDS5057085450001728</v>
      </c>
      <c r="D1260" s="7" t="s">
        <v>298</v>
      </c>
      <c r="E1260" s="6" t="s">
        <v>56</v>
      </c>
      <c r="F1260" s="6"/>
      <c r="G1260" s="7" t="s">
        <v>245</v>
      </c>
      <c r="H1260" s="19"/>
      <c r="I1260" s="19"/>
      <c r="J1260" s="19"/>
      <c r="K1260" s="19"/>
      <c r="L1260" s="14">
        <v>5057085</v>
      </c>
      <c r="M1260" s="22">
        <v>45000</v>
      </c>
      <c r="N1260" s="19" t="s">
        <v>197</v>
      </c>
      <c r="O1260" s="19" t="s">
        <v>333</v>
      </c>
      <c r="P1260" s="15">
        <v>1728</v>
      </c>
      <c r="Q1260" s="15">
        <v>336464.12</v>
      </c>
      <c r="R1260" s="15">
        <v>87089500</v>
      </c>
      <c r="S1260" s="15">
        <v>15</v>
      </c>
      <c r="T1260" s="19" t="s">
        <v>202</v>
      </c>
      <c r="U1260" s="19" t="s">
        <v>200</v>
      </c>
      <c r="V1260" s="16">
        <f t="shared" si="237"/>
        <v>50469.617999999995</v>
      </c>
      <c r="W1260" s="16">
        <f t="shared" si="238"/>
        <v>5046.9618</v>
      </c>
      <c r="X1260" s="16">
        <f t="shared" si="239"/>
        <v>55516.579799999992</v>
      </c>
      <c r="Y1260" s="16">
        <f t="shared" si="240"/>
        <v>32.127650347222215</v>
      </c>
      <c r="Z1260" s="16">
        <f t="shared" si="241"/>
        <v>194.71303240740741</v>
      </c>
      <c r="AA1260" s="17">
        <f t="shared" si="242"/>
        <v>1728</v>
      </c>
      <c r="AB1260" s="10">
        <v>0</v>
      </c>
      <c r="AC1260" s="18">
        <f t="shared" si="235"/>
        <v>0</v>
      </c>
      <c r="AD1260" s="12">
        <f t="shared" si="246"/>
        <v>1569</v>
      </c>
      <c r="AE1260" s="13">
        <f t="shared" si="243"/>
        <v>159</v>
      </c>
    </row>
    <row r="1261" spans="1:31">
      <c r="A1261" s="6">
        <v>10</v>
      </c>
      <c r="B1261" s="6">
        <f t="shared" si="244"/>
        <v>30</v>
      </c>
      <c r="C1261" s="6" t="str">
        <f t="shared" si="236"/>
        <v>649421000AAB INFLATOR, ASP-5.1, P20, SRR, IMI, SERV, NO STUDS4946913449936912</v>
      </c>
      <c r="D1261" s="7" t="s">
        <v>298</v>
      </c>
      <c r="E1261" s="6" t="s">
        <v>56</v>
      </c>
      <c r="F1261" s="6"/>
      <c r="G1261" s="7" t="s">
        <v>245</v>
      </c>
      <c r="H1261" s="19"/>
      <c r="I1261" s="19"/>
      <c r="J1261" s="19"/>
      <c r="K1261" s="19"/>
      <c r="L1261" s="14">
        <v>4946913</v>
      </c>
      <c r="M1261" s="22">
        <v>44993</v>
      </c>
      <c r="N1261" s="19" t="s">
        <v>199</v>
      </c>
      <c r="O1261" s="19" t="s">
        <v>333</v>
      </c>
      <c r="P1261" s="15">
        <v>6912</v>
      </c>
      <c r="Q1261" s="15">
        <v>1466083.43</v>
      </c>
      <c r="R1261" s="15">
        <v>87089500</v>
      </c>
      <c r="S1261" s="15">
        <v>15</v>
      </c>
      <c r="T1261" s="19" t="s">
        <v>202</v>
      </c>
      <c r="U1261" s="19" t="s">
        <v>200</v>
      </c>
      <c r="V1261" s="16">
        <f t="shared" si="237"/>
        <v>219912.51449999999</v>
      </c>
      <c r="W1261" s="16">
        <f t="shared" si="238"/>
        <v>21991.25145</v>
      </c>
      <c r="X1261" s="16">
        <f t="shared" si="239"/>
        <v>241903.76595</v>
      </c>
      <c r="Y1261" s="16">
        <f t="shared" si="240"/>
        <v>34.997651323784723</v>
      </c>
      <c r="Z1261" s="16">
        <f t="shared" si="241"/>
        <v>212.10697771990741</v>
      </c>
      <c r="AA1261" s="17">
        <f t="shared" si="242"/>
        <v>6912</v>
      </c>
      <c r="AB1261" s="10">
        <v>0</v>
      </c>
      <c r="AC1261" s="18">
        <f t="shared" si="235"/>
        <v>0</v>
      </c>
      <c r="AD1261" s="12">
        <f t="shared" si="246"/>
        <v>6912</v>
      </c>
      <c r="AE1261" s="13">
        <f t="shared" si="243"/>
        <v>0</v>
      </c>
    </row>
    <row r="1262" spans="1:31">
      <c r="A1262" s="6">
        <v>10</v>
      </c>
      <c r="B1262" s="6">
        <f t="shared" si="244"/>
        <v>31</v>
      </c>
      <c r="C1262" s="6" t="str">
        <f t="shared" si="236"/>
        <v>566253211EADAPTER, CAR SENS, RETRA ALL VERSIONS390969644984216000</v>
      </c>
      <c r="D1262" s="7" t="s">
        <v>298</v>
      </c>
      <c r="E1262" s="6" t="s">
        <v>58</v>
      </c>
      <c r="F1262" s="6"/>
      <c r="G1262" s="7" t="s">
        <v>18</v>
      </c>
      <c r="H1262" s="19"/>
      <c r="I1262" s="19"/>
      <c r="J1262" s="19"/>
      <c r="K1262" s="19"/>
      <c r="L1262" s="14">
        <v>3909696</v>
      </c>
      <c r="M1262" s="22">
        <v>44984</v>
      </c>
      <c r="N1262" s="19" t="s">
        <v>199</v>
      </c>
      <c r="O1262" s="19" t="s">
        <v>332</v>
      </c>
      <c r="P1262" s="15">
        <v>216000</v>
      </c>
      <c r="Q1262" s="15">
        <v>549354.86</v>
      </c>
      <c r="R1262" s="15">
        <v>87082900</v>
      </c>
      <c r="S1262" s="15">
        <v>15</v>
      </c>
      <c r="T1262" s="19" t="s">
        <v>308</v>
      </c>
      <c r="U1262" s="19" t="s">
        <v>178</v>
      </c>
      <c r="V1262" s="16">
        <f t="shared" si="237"/>
        <v>82403.228999999992</v>
      </c>
      <c r="W1262" s="16">
        <f t="shared" si="238"/>
        <v>8240.3228999999992</v>
      </c>
      <c r="X1262" s="16">
        <f t="shared" si="239"/>
        <v>90643.551899999991</v>
      </c>
      <c r="Y1262" s="16">
        <f t="shared" si="240"/>
        <v>0.41964607361111106</v>
      </c>
      <c r="Z1262" s="16">
        <f t="shared" si="241"/>
        <v>2.5433095370370369</v>
      </c>
      <c r="AA1262" s="17">
        <f t="shared" si="242"/>
        <v>216000</v>
      </c>
      <c r="AB1262" s="10">
        <v>2772</v>
      </c>
      <c r="AC1262" s="18">
        <f t="shared" si="235"/>
        <v>1163.2589160499999</v>
      </c>
      <c r="AD1262" s="12">
        <f t="shared" si="246"/>
        <v>86652</v>
      </c>
      <c r="AE1262" s="13">
        <f t="shared" si="243"/>
        <v>129348</v>
      </c>
    </row>
    <row r="1263" spans="1:31">
      <c r="A1263" s="6">
        <v>10</v>
      </c>
      <c r="B1263" s="6">
        <f t="shared" si="244"/>
        <v>32</v>
      </c>
      <c r="C1263" s="6" t="str">
        <f t="shared" si="236"/>
        <v>632154400AADHESIVE, PAD 40785224493620000</v>
      </c>
      <c r="D1263" s="7" t="s">
        <v>298</v>
      </c>
      <c r="E1263" s="6" t="s">
        <v>79</v>
      </c>
      <c r="F1263" s="6"/>
      <c r="G1263" s="7" t="s">
        <v>39</v>
      </c>
      <c r="H1263" s="19"/>
      <c r="I1263" s="19"/>
      <c r="J1263" s="19"/>
      <c r="K1263" s="19"/>
      <c r="L1263" s="14" t="s">
        <v>101</v>
      </c>
      <c r="M1263" s="22">
        <v>44936</v>
      </c>
      <c r="N1263" s="19" t="s">
        <v>196</v>
      </c>
      <c r="O1263" s="19" t="s">
        <v>333</v>
      </c>
      <c r="P1263" s="15">
        <v>20000</v>
      </c>
      <c r="Q1263" s="15">
        <v>66978.789999999994</v>
      </c>
      <c r="R1263" s="15">
        <v>87082900</v>
      </c>
      <c r="S1263" s="15">
        <v>15</v>
      </c>
      <c r="T1263" s="19" t="s">
        <v>201</v>
      </c>
      <c r="U1263" s="19" t="s">
        <v>178</v>
      </c>
      <c r="V1263" s="16">
        <f t="shared" si="237"/>
        <v>10046.818499999999</v>
      </c>
      <c r="W1263" s="16">
        <f t="shared" si="238"/>
        <v>1004.6818499999999</v>
      </c>
      <c r="X1263" s="16">
        <f t="shared" si="239"/>
        <v>11051.500349999998</v>
      </c>
      <c r="Y1263" s="16">
        <f t="shared" si="240"/>
        <v>0.55257501749999993</v>
      </c>
      <c r="Z1263" s="16">
        <f t="shared" si="241"/>
        <v>3.3489394999999997</v>
      </c>
      <c r="AA1263" s="17">
        <f t="shared" si="242"/>
        <v>20000</v>
      </c>
      <c r="AB1263" s="10">
        <v>2772</v>
      </c>
      <c r="AC1263" s="18">
        <f t="shared" si="235"/>
        <v>1531.7379485099998</v>
      </c>
      <c r="AD1263" s="12">
        <f t="shared" si="246"/>
        <v>18136</v>
      </c>
      <c r="AE1263" s="13">
        <f t="shared" si="243"/>
        <v>1864</v>
      </c>
    </row>
    <row r="1264" spans="1:31">
      <c r="A1264" s="6">
        <v>10</v>
      </c>
      <c r="B1264" s="6">
        <f t="shared" si="244"/>
        <v>33</v>
      </c>
      <c r="C1264" s="6" t="str">
        <f t="shared" si="236"/>
        <v>605151600ASPRING, SHEET, LEAF, RET ALL VERSIONS, WS US407852744933100000</v>
      </c>
      <c r="D1264" s="7" t="s">
        <v>298</v>
      </c>
      <c r="E1264" s="6" t="s">
        <v>65</v>
      </c>
      <c r="F1264" s="6"/>
      <c r="G1264" s="7" t="s">
        <v>25</v>
      </c>
      <c r="H1264" s="19"/>
      <c r="I1264" s="19"/>
      <c r="J1264" s="19"/>
      <c r="K1264" s="19"/>
      <c r="L1264" s="14">
        <v>4078527</v>
      </c>
      <c r="M1264" s="22">
        <v>44933</v>
      </c>
      <c r="N1264" s="19" t="s">
        <v>196</v>
      </c>
      <c r="O1264" s="19" t="s">
        <v>333</v>
      </c>
      <c r="P1264" s="15">
        <v>100000</v>
      </c>
      <c r="Q1264" s="15">
        <v>147318.03</v>
      </c>
      <c r="R1264" s="15">
        <v>87082900</v>
      </c>
      <c r="S1264" s="15">
        <v>15</v>
      </c>
      <c r="T1264" s="19" t="s">
        <v>314</v>
      </c>
      <c r="U1264" s="19" t="s">
        <v>178</v>
      </c>
      <c r="V1264" s="16">
        <f t="shared" si="237"/>
        <v>22097.7045</v>
      </c>
      <c r="W1264" s="16">
        <f t="shared" si="238"/>
        <v>2209.77045</v>
      </c>
      <c r="X1264" s="16">
        <f t="shared" si="239"/>
        <v>24307.47495</v>
      </c>
      <c r="Y1264" s="16">
        <f t="shared" si="240"/>
        <v>0.24307474949999999</v>
      </c>
      <c r="Z1264" s="16">
        <f t="shared" si="241"/>
        <v>1.4731802999999999</v>
      </c>
      <c r="AA1264" s="17">
        <f t="shared" si="242"/>
        <v>100000</v>
      </c>
      <c r="AB1264" s="10">
        <v>2772</v>
      </c>
      <c r="AC1264" s="18">
        <f t="shared" si="235"/>
        <v>673.80320561400003</v>
      </c>
      <c r="AD1264" s="12">
        <f t="shared" si="246"/>
        <v>86652</v>
      </c>
      <c r="AE1264" s="13">
        <f t="shared" si="243"/>
        <v>13348</v>
      </c>
    </row>
    <row r="1265" spans="1:31">
      <c r="A1265" s="6">
        <v>10</v>
      </c>
      <c r="B1265" s="6">
        <f t="shared" si="244"/>
        <v>34</v>
      </c>
      <c r="C1265" s="6" t="str">
        <f t="shared" si="236"/>
        <v>566305721BSPRING, SHEET, LEAF, RET ALL VERSIONS, WS ECE4742807449445000</v>
      </c>
      <c r="D1265" s="7" t="s">
        <v>298</v>
      </c>
      <c r="E1265" s="6" t="s">
        <v>59</v>
      </c>
      <c r="F1265" s="6"/>
      <c r="G1265" s="7" t="s">
        <v>19</v>
      </c>
      <c r="H1265" s="19"/>
      <c r="I1265" s="19"/>
      <c r="J1265" s="19"/>
      <c r="K1265" s="19"/>
      <c r="L1265" s="14">
        <v>4742807</v>
      </c>
      <c r="M1265" s="22">
        <v>44944</v>
      </c>
      <c r="N1265" s="19" t="s">
        <v>196</v>
      </c>
      <c r="O1265" s="19" t="s">
        <v>337</v>
      </c>
      <c r="P1265" s="15">
        <v>5000</v>
      </c>
      <c r="Q1265" s="15">
        <v>143362.42000000001</v>
      </c>
      <c r="R1265" s="15">
        <v>87082900</v>
      </c>
      <c r="S1265" s="15">
        <v>15</v>
      </c>
      <c r="T1265" s="19" t="s">
        <v>309</v>
      </c>
      <c r="U1265" s="19" t="s">
        <v>178</v>
      </c>
      <c r="V1265" s="16">
        <f t="shared" si="237"/>
        <v>21504.363000000001</v>
      </c>
      <c r="W1265" s="16">
        <f t="shared" si="238"/>
        <v>2150.4363000000003</v>
      </c>
      <c r="X1265" s="16">
        <f t="shared" si="239"/>
        <v>23654.799300000002</v>
      </c>
      <c r="Y1265" s="16">
        <f t="shared" si="240"/>
        <v>4.7309598600000005</v>
      </c>
      <c r="Z1265" s="16">
        <f t="shared" si="241"/>
        <v>28.672484000000004</v>
      </c>
      <c r="AA1265" s="17">
        <f t="shared" si="242"/>
        <v>5000</v>
      </c>
      <c r="AB1265" s="10">
        <v>47.124000000000002</v>
      </c>
      <c r="AC1265" s="18">
        <f t="shared" si="235"/>
        <v>222.94175244264002</v>
      </c>
      <c r="AD1265" s="12">
        <f t="shared" si="246"/>
        <v>1540.98</v>
      </c>
      <c r="AE1265" s="13">
        <v>0</v>
      </c>
    </row>
    <row r="1266" spans="1:31">
      <c r="A1266" s="6">
        <v>10</v>
      </c>
      <c r="B1266" s="6">
        <f t="shared" si="244"/>
        <v>35</v>
      </c>
      <c r="C1266" s="6" t="str">
        <f t="shared" si="236"/>
        <v>601182600ASPINDLE, RETRACTOR, R27, STD43790984493343008</v>
      </c>
      <c r="D1266" s="7" t="s">
        <v>298</v>
      </c>
      <c r="E1266" s="6" t="s">
        <v>61</v>
      </c>
      <c r="F1266" s="6"/>
      <c r="G1266" s="7" t="s">
        <v>21</v>
      </c>
      <c r="H1266" s="19"/>
      <c r="I1266" s="19"/>
      <c r="J1266" s="19"/>
      <c r="K1266" s="19"/>
      <c r="L1266" s="14">
        <v>4379098</v>
      </c>
      <c r="M1266" s="22">
        <v>44933</v>
      </c>
      <c r="N1266" s="19" t="s">
        <v>185</v>
      </c>
      <c r="O1266" s="19" t="s">
        <v>332</v>
      </c>
      <c r="P1266" s="15">
        <v>43008</v>
      </c>
      <c r="Q1266" s="15">
        <v>1835488.61</v>
      </c>
      <c r="R1266" s="15">
        <v>87082900</v>
      </c>
      <c r="S1266" s="15">
        <v>15</v>
      </c>
      <c r="T1266" s="19" t="s">
        <v>311</v>
      </c>
      <c r="U1266" s="19" t="s">
        <v>178</v>
      </c>
      <c r="V1266" s="16">
        <f t="shared" si="237"/>
        <v>275323.29149999999</v>
      </c>
      <c r="W1266" s="16">
        <f t="shared" si="238"/>
        <v>27532.329150000001</v>
      </c>
      <c r="X1266" s="16">
        <f t="shared" si="239"/>
        <v>302855.62065</v>
      </c>
      <c r="Y1266" s="16">
        <f t="shared" si="240"/>
        <v>7.0418438581194192</v>
      </c>
      <c r="Z1266" s="16">
        <f t="shared" si="241"/>
        <v>42.677841564360122</v>
      </c>
      <c r="AA1266" s="17">
        <f t="shared" si="242"/>
        <v>43008</v>
      </c>
      <c r="AB1266" s="10">
        <v>2772</v>
      </c>
      <c r="AC1266" s="18">
        <f t="shared" si="235"/>
        <v>19519.991174707029</v>
      </c>
      <c r="AD1266" s="12">
        <f t="shared" si="246"/>
        <v>43008</v>
      </c>
      <c r="AE1266" s="13">
        <f t="shared" si="243"/>
        <v>0</v>
      </c>
    </row>
    <row r="1267" spans="1:31">
      <c r="A1267" s="6">
        <v>10</v>
      </c>
      <c r="B1267" s="6">
        <f t="shared" si="244"/>
        <v>36</v>
      </c>
      <c r="C1267" s="6" t="str">
        <f t="shared" si="236"/>
        <v>NPB10271-ZKSCREW, SELF-TAPPING, MET OTHER, HEXALOBULAR INTER406701444998150000</v>
      </c>
      <c r="D1267" s="7" t="s">
        <v>298</v>
      </c>
      <c r="E1267" s="6" t="s">
        <v>76</v>
      </c>
      <c r="F1267" s="6"/>
      <c r="G1267" s="7" t="s">
        <v>36</v>
      </c>
      <c r="H1267" s="19"/>
      <c r="I1267" s="19"/>
      <c r="J1267" s="19"/>
      <c r="K1267" s="19"/>
      <c r="L1267" s="14">
        <v>4067014</v>
      </c>
      <c r="M1267" s="22">
        <v>44998</v>
      </c>
      <c r="N1267" s="19" t="s">
        <v>196</v>
      </c>
      <c r="O1267" s="19" t="s">
        <v>333</v>
      </c>
      <c r="P1267" s="15">
        <v>150000</v>
      </c>
      <c r="Q1267" s="15">
        <v>146157.25</v>
      </c>
      <c r="R1267" s="15">
        <v>87082900</v>
      </c>
      <c r="S1267" s="15">
        <v>15</v>
      </c>
      <c r="T1267" s="19" t="s">
        <v>321</v>
      </c>
      <c r="U1267" s="19" t="s">
        <v>178</v>
      </c>
      <c r="V1267" s="16">
        <f t="shared" si="237"/>
        <v>21923.587499999998</v>
      </c>
      <c r="W1267" s="16">
        <f t="shared" si="238"/>
        <v>2192.3587499999999</v>
      </c>
      <c r="X1267" s="16">
        <f t="shared" si="239"/>
        <v>24115.946249999997</v>
      </c>
      <c r="Y1267" s="16">
        <f t="shared" si="240"/>
        <v>0.16077297499999998</v>
      </c>
      <c r="Z1267" s="16">
        <f t="shared" si="241"/>
        <v>0.9743816666666667</v>
      </c>
      <c r="AA1267" s="17">
        <f t="shared" si="242"/>
        <v>150000</v>
      </c>
      <c r="AB1267" s="10">
        <v>11648</v>
      </c>
      <c r="AC1267" s="18">
        <f t="shared" si="235"/>
        <v>1872.6836127999998</v>
      </c>
      <c r="AD1267" s="12">
        <f t="shared" si="246"/>
        <v>149952</v>
      </c>
      <c r="AE1267" s="13">
        <f t="shared" si="243"/>
        <v>48</v>
      </c>
    </row>
    <row r="1268" spans="1:31">
      <c r="A1268" s="6">
        <v>10</v>
      </c>
      <c r="B1268" s="6">
        <f t="shared" si="244"/>
        <v>37</v>
      </c>
      <c r="C1268" s="6" t="str">
        <f t="shared" si="236"/>
        <v>615795701BPILLAR LOOP, OVERMOULDED LIGHT GRAY, STD, WITH CA5569844450344000</v>
      </c>
      <c r="D1268" s="7" t="s">
        <v>298</v>
      </c>
      <c r="E1268" s="6" t="s">
        <v>67</v>
      </c>
      <c r="F1268" s="6"/>
      <c r="G1268" s="7" t="s">
        <v>27</v>
      </c>
      <c r="H1268" s="19"/>
      <c r="I1268" s="19"/>
      <c r="J1268" s="19"/>
      <c r="K1268" s="19"/>
      <c r="L1268" s="14">
        <v>5569844</v>
      </c>
      <c r="M1268" s="22">
        <v>45034</v>
      </c>
      <c r="N1268" s="19" t="s">
        <v>196</v>
      </c>
      <c r="O1268" s="19" t="s">
        <v>333</v>
      </c>
      <c r="P1268" s="15">
        <v>4000</v>
      </c>
      <c r="Q1268" s="15">
        <v>254544.89</v>
      </c>
      <c r="R1268" s="15">
        <v>87082900</v>
      </c>
      <c r="S1268" s="15">
        <v>15</v>
      </c>
      <c r="T1268" s="19" t="s">
        <v>322</v>
      </c>
      <c r="U1268" s="19" t="s">
        <v>178</v>
      </c>
      <c r="V1268" s="16">
        <f t="shared" si="237"/>
        <v>38181.733500000002</v>
      </c>
      <c r="W1268" s="16">
        <f t="shared" si="238"/>
        <v>3818.1733500000005</v>
      </c>
      <c r="X1268" s="16">
        <f t="shared" si="239"/>
        <v>41999.906849999999</v>
      </c>
      <c r="Y1268" s="16">
        <f t="shared" si="240"/>
        <v>10.499976712500001</v>
      </c>
      <c r="Z1268" s="16">
        <f t="shared" si="241"/>
        <v>63.636222500000002</v>
      </c>
      <c r="AA1268" s="17">
        <f t="shared" si="242"/>
        <v>4000</v>
      </c>
      <c r="AB1268" s="10">
        <v>1592</v>
      </c>
      <c r="AC1268" s="18">
        <f t="shared" si="235"/>
        <v>16715.962926300002</v>
      </c>
      <c r="AD1268" s="12">
        <f t="shared" si="246"/>
        <v>3264</v>
      </c>
      <c r="AE1268" s="13">
        <f t="shared" si="243"/>
        <v>736</v>
      </c>
    </row>
    <row r="1269" spans="1:31">
      <c r="A1269" s="6">
        <v>10</v>
      </c>
      <c r="B1269" s="6">
        <f t="shared" si="244"/>
        <v>38</v>
      </c>
      <c r="C1269" s="6" t="str">
        <f t="shared" si="236"/>
        <v>615795701BPILLAR LOOP, OVERMOULDED LIGHT GRAY, STD, WITH CA7068910451344000</v>
      </c>
      <c r="D1269" s="7" t="s">
        <v>298</v>
      </c>
      <c r="E1269" s="6" t="s">
        <v>67</v>
      </c>
      <c r="F1269" s="6"/>
      <c r="G1269" s="7" t="s">
        <v>27</v>
      </c>
      <c r="H1269" s="19"/>
      <c r="I1269" s="19"/>
      <c r="J1269" s="19"/>
      <c r="K1269" s="19"/>
      <c r="L1269" s="14">
        <v>7068910</v>
      </c>
      <c r="M1269" s="22">
        <v>45134</v>
      </c>
      <c r="N1269" s="19" t="s">
        <v>185</v>
      </c>
      <c r="O1269" s="19" t="s">
        <v>332</v>
      </c>
      <c r="P1269" s="15">
        <v>4000</v>
      </c>
      <c r="Q1269" s="15">
        <v>232964.48000000001</v>
      </c>
      <c r="R1269" s="15">
        <v>87082900</v>
      </c>
      <c r="S1269" s="15">
        <v>15</v>
      </c>
      <c r="T1269" s="19" t="s">
        <v>198</v>
      </c>
      <c r="U1269" s="19" t="s">
        <v>178</v>
      </c>
      <c r="V1269" s="16">
        <f t="shared" si="237"/>
        <v>34944.671999999999</v>
      </c>
      <c r="W1269" s="16">
        <f t="shared" si="238"/>
        <v>3494.4672</v>
      </c>
      <c r="X1269" s="16">
        <f t="shared" si="239"/>
        <v>38439.139199999998</v>
      </c>
      <c r="Y1269" s="16">
        <f t="shared" si="240"/>
        <v>9.6097847999999999</v>
      </c>
      <c r="Z1269" s="16">
        <f t="shared" si="241"/>
        <v>58.241120000000002</v>
      </c>
      <c r="AA1269" s="17">
        <f t="shared" si="242"/>
        <v>4000</v>
      </c>
      <c r="AB1269" s="10">
        <v>1180</v>
      </c>
      <c r="AC1269" s="18">
        <f t="shared" si="235"/>
        <v>11339.546064</v>
      </c>
      <c r="AD1269" s="12">
        <f t="shared" si="246"/>
        <v>4000</v>
      </c>
      <c r="AE1269" s="13">
        <f t="shared" si="243"/>
        <v>0</v>
      </c>
    </row>
    <row r="1270" spans="1:31">
      <c r="A1270" s="6">
        <v>10</v>
      </c>
      <c r="B1270" s="6">
        <f t="shared" si="244"/>
        <v>39</v>
      </c>
      <c r="C1270" s="6" t="str">
        <f t="shared" si="236"/>
        <v>621343500CNUT, ISO, M5, NYLON INSE NYLON INSERT417070644928390000</v>
      </c>
      <c r="D1270" s="7" t="s">
        <v>298</v>
      </c>
      <c r="E1270" s="6" t="s">
        <v>45</v>
      </c>
      <c r="F1270" s="6"/>
      <c r="G1270" s="7" t="s">
        <v>7</v>
      </c>
      <c r="H1270" s="19"/>
      <c r="I1270" s="19"/>
      <c r="J1270" s="19"/>
      <c r="K1270" s="19"/>
      <c r="L1270" s="14">
        <v>4170706</v>
      </c>
      <c r="M1270" s="22">
        <v>44928</v>
      </c>
      <c r="N1270" s="19" t="s">
        <v>196</v>
      </c>
      <c r="O1270" s="19" t="s">
        <v>332</v>
      </c>
      <c r="P1270" s="15">
        <v>390000</v>
      </c>
      <c r="Q1270" s="15">
        <v>806536.88</v>
      </c>
      <c r="R1270" s="15">
        <v>87089500</v>
      </c>
      <c r="S1270" s="15">
        <v>15</v>
      </c>
      <c r="T1270" s="19" t="s">
        <v>301</v>
      </c>
      <c r="U1270" s="19" t="s">
        <v>178</v>
      </c>
      <c r="V1270" s="16">
        <f t="shared" si="237"/>
        <v>120980.53199999999</v>
      </c>
      <c r="W1270" s="16">
        <f t="shared" si="238"/>
        <v>12098.0532</v>
      </c>
      <c r="X1270" s="16">
        <f t="shared" si="239"/>
        <v>133078.5852</v>
      </c>
      <c r="Y1270" s="16">
        <f t="shared" si="240"/>
        <v>0.34122714153846156</v>
      </c>
      <c r="Z1270" s="16">
        <f t="shared" si="241"/>
        <v>2.0680432820512822</v>
      </c>
      <c r="AA1270" s="17">
        <f t="shared" si="242"/>
        <v>390000</v>
      </c>
      <c r="AB1270" s="10">
        <v>46896</v>
      </c>
      <c r="AC1270" s="18">
        <f t="shared" si="235"/>
        <v>16002.188029587693</v>
      </c>
      <c r="AD1270" s="12">
        <f t="shared" si="246"/>
        <v>385128</v>
      </c>
      <c r="AE1270" s="13">
        <f t="shared" si="243"/>
        <v>4872</v>
      </c>
    </row>
    <row r="1271" spans="1:31">
      <c r="A1271" s="6">
        <v>10</v>
      </c>
      <c r="B1271" s="6">
        <f t="shared" si="244"/>
        <v>40</v>
      </c>
      <c r="C1271" s="6" t="str">
        <f t="shared" si="236"/>
        <v>570028800FNUT, ISO, M5, LOCK, THRE LOCK, THREE SIDED TAMPER393103644928624000</v>
      </c>
      <c r="D1271" s="7" t="s">
        <v>298</v>
      </c>
      <c r="E1271" s="6" t="s">
        <v>47</v>
      </c>
      <c r="F1271" s="6"/>
      <c r="G1271" s="7" t="s">
        <v>9</v>
      </c>
      <c r="H1271" s="19"/>
      <c r="I1271" s="19"/>
      <c r="J1271" s="19"/>
      <c r="K1271" s="19"/>
      <c r="L1271" s="14">
        <v>3931036</v>
      </c>
      <c r="M1271" s="22">
        <v>44928</v>
      </c>
      <c r="N1271" s="19" t="s">
        <v>185</v>
      </c>
      <c r="O1271" s="19" t="s">
        <v>332</v>
      </c>
      <c r="P1271" s="15">
        <v>624000</v>
      </c>
      <c r="Q1271" s="15">
        <v>1155867.1000000001</v>
      </c>
      <c r="R1271" s="15">
        <v>87089500</v>
      </c>
      <c r="S1271" s="15">
        <v>15</v>
      </c>
      <c r="T1271" s="19" t="s">
        <v>302</v>
      </c>
      <c r="U1271" s="19" t="s">
        <v>178</v>
      </c>
      <c r="V1271" s="16">
        <f t="shared" si="237"/>
        <v>173380.065</v>
      </c>
      <c r="W1271" s="16">
        <f t="shared" si="238"/>
        <v>17338.0065</v>
      </c>
      <c r="X1271" s="16">
        <f t="shared" si="239"/>
        <v>190718.07149999999</v>
      </c>
      <c r="Y1271" s="16">
        <f t="shared" si="240"/>
        <v>0.30563793509615383</v>
      </c>
      <c r="Z1271" s="16">
        <f t="shared" si="241"/>
        <v>1.852351121794872</v>
      </c>
      <c r="AA1271" s="17">
        <f t="shared" si="242"/>
        <v>624000</v>
      </c>
      <c r="AB1271" s="10">
        <v>26208</v>
      </c>
      <c r="AC1271" s="18">
        <f t="shared" ref="AC1271:AC1334" si="247">AB1271*Y1271</f>
        <v>8010.1590029999998</v>
      </c>
      <c r="AD1271" s="12">
        <f t="shared" si="246"/>
        <v>227952</v>
      </c>
      <c r="AE1271" s="13">
        <f t="shared" si="243"/>
        <v>396048</v>
      </c>
    </row>
    <row r="1272" spans="1:31">
      <c r="A1272" s="6">
        <v>10</v>
      </c>
      <c r="B1272" s="6">
        <f t="shared" si="244"/>
        <v>41</v>
      </c>
      <c r="C1272" s="6" t="str">
        <f t="shared" si="236"/>
        <v>618472300CMASS, CAR SENS, RETRACTO ALL VERSIONS, CAR 2-PIN406183045012209560</v>
      </c>
      <c r="D1272" s="7" t="s">
        <v>298</v>
      </c>
      <c r="E1272" s="6" t="s">
        <v>70</v>
      </c>
      <c r="F1272" s="6"/>
      <c r="G1272" s="7" t="s">
        <v>30</v>
      </c>
      <c r="H1272" s="19"/>
      <c r="I1272" s="19"/>
      <c r="J1272" s="19"/>
      <c r="K1272" s="19"/>
      <c r="L1272" s="14">
        <v>4061830</v>
      </c>
      <c r="M1272" s="22">
        <v>45012</v>
      </c>
      <c r="N1272" s="19" t="s">
        <v>196</v>
      </c>
      <c r="O1272" s="19" t="s">
        <v>333</v>
      </c>
      <c r="P1272" s="15">
        <v>209560</v>
      </c>
      <c r="Q1272" s="15">
        <v>786307.66</v>
      </c>
      <c r="R1272" s="15">
        <v>87082900</v>
      </c>
      <c r="S1272" s="15">
        <v>15</v>
      </c>
      <c r="T1272" s="19" t="s">
        <v>317</v>
      </c>
      <c r="U1272" s="19" t="s">
        <v>178</v>
      </c>
      <c r="V1272" s="16">
        <f t="shared" si="237"/>
        <v>117946.149</v>
      </c>
      <c r="W1272" s="16">
        <f t="shared" si="238"/>
        <v>11794.6149</v>
      </c>
      <c r="X1272" s="16">
        <f t="shared" si="239"/>
        <v>129740.76390000001</v>
      </c>
      <c r="Y1272" s="16">
        <f t="shared" si="240"/>
        <v>0.61911034500858941</v>
      </c>
      <c r="Z1272" s="16">
        <f t="shared" si="241"/>
        <v>3.7521839091429663</v>
      </c>
      <c r="AA1272" s="17">
        <f t="shared" si="242"/>
        <v>209560</v>
      </c>
      <c r="AB1272" s="10">
        <v>2772</v>
      </c>
      <c r="AC1272" s="18">
        <f t="shared" si="247"/>
        <v>1716.1738763638098</v>
      </c>
      <c r="AD1272" s="12">
        <f t="shared" si="246"/>
        <v>86652</v>
      </c>
      <c r="AE1272" s="13">
        <f t="shared" si="243"/>
        <v>122908</v>
      </c>
    </row>
    <row r="1273" spans="1:31">
      <c r="A1273" s="6">
        <v>10</v>
      </c>
      <c r="B1273" s="6">
        <f t="shared" si="244"/>
        <v>42</v>
      </c>
      <c r="C1273" s="6" t="str">
        <f t="shared" si="236"/>
        <v>604213200ALOCKING BAR, BUCKLE, K12 K12A/AT, L=34.3, silver415111844909306000</v>
      </c>
      <c r="D1273" s="7" t="s">
        <v>298</v>
      </c>
      <c r="E1273" s="6" t="s">
        <v>75</v>
      </c>
      <c r="F1273" s="6"/>
      <c r="G1273" s="7" t="s">
        <v>35</v>
      </c>
      <c r="H1273" s="19"/>
      <c r="I1273" s="19"/>
      <c r="J1273" s="19"/>
      <c r="K1273" s="19"/>
      <c r="L1273" s="14">
        <v>4151118</v>
      </c>
      <c r="M1273" s="22">
        <v>44909</v>
      </c>
      <c r="N1273" s="19" t="s">
        <v>199</v>
      </c>
      <c r="O1273" s="19" t="s">
        <v>332</v>
      </c>
      <c r="P1273" s="15">
        <v>306000</v>
      </c>
      <c r="Q1273" s="15">
        <v>347494.89</v>
      </c>
      <c r="R1273" s="15">
        <v>87082900</v>
      </c>
      <c r="S1273" s="15">
        <v>15</v>
      </c>
      <c r="T1273" s="19" t="s">
        <v>319</v>
      </c>
      <c r="U1273" s="19" t="s">
        <v>178</v>
      </c>
      <c r="V1273" s="16">
        <f t="shared" si="237"/>
        <v>52124.233500000002</v>
      </c>
      <c r="W1273" s="16">
        <f t="shared" si="238"/>
        <v>5212.4233500000009</v>
      </c>
      <c r="X1273" s="16">
        <f t="shared" si="239"/>
        <v>57336.656849999999</v>
      </c>
      <c r="Y1273" s="16">
        <f t="shared" si="240"/>
        <v>0.1873746955882353</v>
      </c>
      <c r="Z1273" s="16">
        <f t="shared" si="241"/>
        <v>1.1356042156862745</v>
      </c>
      <c r="AA1273" s="17">
        <f t="shared" si="242"/>
        <v>306000</v>
      </c>
      <c r="AB1273" s="10">
        <v>5824</v>
      </c>
      <c r="AC1273" s="18">
        <f t="shared" si="247"/>
        <v>1091.2702271058824</v>
      </c>
      <c r="AD1273" s="12">
        <f t="shared" si="246"/>
        <v>94048</v>
      </c>
      <c r="AE1273" s="13">
        <f t="shared" si="243"/>
        <v>211952</v>
      </c>
    </row>
    <row r="1274" spans="1:31">
      <c r="A1274" s="6">
        <v>10</v>
      </c>
      <c r="B1274" s="6">
        <f t="shared" si="244"/>
        <v>43</v>
      </c>
      <c r="C1274" s="6" t="str">
        <f t="shared" si="236"/>
        <v>600188700BLEVER, WEB SENS, RETRACT ALL VERSIONS421599144956270000</v>
      </c>
      <c r="D1274" s="7" t="s">
        <v>298</v>
      </c>
      <c r="E1274" s="6" t="s">
        <v>60</v>
      </c>
      <c r="F1274" s="6"/>
      <c r="G1274" s="7" t="s">
        <v>20</v>
      </c>
      <c r="H1274" s="19"/>
      <c r="I1274" s="19"/>
      <c r="J1274" s="19"/>
      <c r="K1274" s="19"/>
      <c r="L1274" s="14">
        <v>4215991</v>
      </c>
      <c r="M1274" s="22">
        <v>44956</v>
      </c>
      <c r="N1274" s="19" t="s">
        <v>199</v>
      </c>
      <c r="O1274" s="19" t="s">
        <v>332</v>
      </c>
      <c r="P1274" s="15">
        <v>270000</v>
      </c>
      <c r="Q1274" s="15">
        <v>1513733.76</v>
      </c>
      <c r="R1274" s="15">
        <v>87082900</v>
      </c>
      <c r="S1274" s="15">
        <v>15</v>
      </c>
      <c r="T1274" s="19" t="s">
        <v>310</v>
      </c>
      <c r="U1274" s="19" t="s">
        <v>178</v>
      </c>
      <c r="V1274" s="16">
        <f t="shared" si="237"/>
        <v>227060.06399999998</v>
      </c>
      <c r="W1274" s="16">
        <f t="shared" si="238"/>
        <v>22706.006399999998</v>
      </c>
      <c r="X1274" s="16">
        <f t="shared" si="239"/>
        <v>249766.07039999997</v>
      </c>
      <c r="Y1274" s="16">
        <f t="shared" si="240"/>
        <v>0.92505951999999991</v>
      </c>
      <c r="Z1274" s="16">
        <f t="shared" si="241"/>
        <v>5.6064213333333335</v>
      </c>
      <c r="AA1274" s="17">
        <f t="shared" si="242"/>
        <v>270000</v>
      </c>
      <c r="AB1274" s="10">
        <v>2772</v>
      </c>
      <c r="AC1274" s="18">
        <f t="shared" si="247"/>
        <v>2564.2649894399997</v>
      </c>
      <c r="AD1274" s="12">
        <f t="shared" si="246"/>
        <v>86652</v>
      </c>
      <c r="AE1274" s="13">
        <f t="shared" si="243"/>
        <v>183348</v>
      </c>
    </row>
    <row r="1275" spans="1:31">
      <c r="A1275" s="6">
        <v>10</v>
      </c>
      <c r="B1275" s="6">
        <f t="shared" si="244"/>
        <v>44</v>
      </c>
      <c r="C1275" s="6" t="str">
        <f t="shared" si="236"/>
        <v>618472000BLEVER, CAR SENS, RETRACT ALL VERSIONS, NOISE REDU408531144933170000</v>
      </c>
      <c r="D1275" s="7" t="s">
        <v>298</v>
      </c>
      <c r="E1275" s="6" t="s">
        <v>69</v>
      </c>
      <c r="F1275" s="6"/>
      <c r="G1275" s="7" t="s">
        <v>29</v>
      </c>
      <c r="H1275" s="19"/>
      <c r="I1275" s="19"/>
      <c r="J1275" s="19"/>
      <c r="K1275" s="19"/>
      <c r="L1275" s="14">
        <v>4085311</v>
      </c>
      <c r="M1275" s="22">
        <v>44933</v>
      </c>
      <c r="N1275" s="19" t="s">
        <v>196</v>
      </c>
      <c r="O1275" s="19" t="s">
        <v>333</v>
      </c>
      <c r="P1275" s="15">
        <v>170000</v>
      </c>
      <c r="Q1275" s="15">
        <v>247799.42</v>
      </c>
      <c r="R1275" s="15">
        <v>87082900</v>
      </c>
      <c r="S1275" s="15">
        <v>15</v>
      </c>
      <c r="T1275" s="19" t="s">
        <v>316</v>
      </c>
      <c r="U1275" s="19" t="s">
        <v>178</v>
      </c>
      <c r="V1275" s="16">
        <f t="shared" si="237"/>
        <v>37169.913</v>
      </c>
      <c r="W1275" s="16">
        <f t="shared" si="238"/>
        <v>3716.9913000000001</v>
      </c>
      <c r="X1275" s="16">
        <f t="shared" si="239"/>
        <v>40886.904300000002</v>
      </c>
      <c r="Y1275" s="16">
        <f t="shared" si="240"/>
        <v>0.24051120176470589</v>
      </c>
      <c r="Z1275" s="16">
        <f t="shared" si="241"/>
        <v>1.4576436470588237</v>
      </c>
      <c r="AA1275" s="17">
        <f t="shared" si="242"/>
        <v>170000</v>
      </c>
      <c r="AB1275" s="10">
        <v>2772</v>
      </c>
      <c r="AC1275" s="18">
        <f t="shared" si="247"/>
        <v>666.69705129176475</v>
      </c>
      <c r="AD1275" s="12">
        <f t="shared" si="246"/>
        <v>86652</v>
      </c>
      <c r="AE1275" s="13">
        <f t="shared" si="243"/>
        <v>83348</v>
      </c>
    </row>
    <row r="1276" spans="1:31">
      <c r="A1276" s="6">
        <v>10</v>
      </c>
      <c r="B1276" s="6">
        <f t="shared" si="244"/>
        <v>45</v>
      </c>
      <c r="C1276" s="6" t="str">
        <f t="shared" si="236"/>
        <v>601472600ALATCH, RETRACTOR, R27, A ALL VERSIONS421598844951162000</v>
      </c>
      <c r="D1276" s="7" t="s">
        <v>298</v>
      </c>
      <c r="E1276" s="6" t="s">
        <v>63</v>
      </c>
      <c r="F1276" s="6"/>
      <c r="G1276" s="7" t="s">
        <v>23</v>
      </c>
      <c r="H1276" s="19"/>
      <c r="I1276" s="19"/>
      <c r="J1276" s="19"/>
      <c r="K1276" s="19"/>
      <c r="L1276" s="14">
        <v>4215988</v>
      </c>
      <c r="M1276" s="22">
        <v>44951</v>
      </c>
      <c r="N1276" s="19" t="s">
        <v>199</v>
      </c>
      <c r="O1276" s="19" t="s">
        <v>332</v>
      </c>
      <c r="P1276" s="15">
        <v>162000</v>
      </c>
      <c r="Q1276" s="15">
        <v>1167023.94</v>
      </c>
      <c r="R1276" s="15">
        <v>87082900</v>
      </c>
      <c r="S1276" s="15">
        <v>15</v>
      </c>
      <c r="T1276" s="19" t="s">
        <v>313</v>
      </c>
      <c r="U1276" s="19" t="s">
        <v>178</v>
      </c>
      <c r="V1276" s="16">
        <f t="shared" si="237"/>
        <v>175053.59099999999</v>
      </c>
      <c r="W1276" s="16">
        <f t="shared" si="238"/>
        <v>17505.359099999998</v>
      </c>
      <c r="X1276" s="16">
        <f t="shared" si="239"/>
        <v>192558.95009999999</v>
      </c>
      <c r="Y1276" s="16">
        <f t="shared" si="240"/>
        <v>1.1886354944444444</v>
      </c>
      <c r="Z1276" s="16">
        <f t="shared" si="241"/>
        <v>7.2038514814814816</v>
      </c>
      <c r="AA1276" s="17">
        <f t="shared" si="242"/>
        <v>162000</v>
      </c>
      <c r="AB1276" s="10">
        <v>2772</v>
      </c>
      <c r="AC1276" s="18">
        <f t="shared" si="247"/>
        <v>3294.8975906000001</v>
      </c>
      <c r="AD1276" s="12">
        <f t="shared" si="246"/>
        <v>86652</v>
      </c>
      <c r="AE1276" s="13">
        <f t="shared" si="243"/>
        <v>75348</v>
      </c>
    </row>
    <row r="1277" spans="1:31">
      <c r="A1277" s="6">
        <v>10</v>
      </c>
      <c r="B1277" s="6">
        <f t="shared" si="244"/>
        <v>46</v>
      </c>
      <c r="C1277" s="6" t="str">
        <f t="shared" si="236"/>
        <v>560762022ALATCH, BUCKLE, K12 ROADM K12A/AT, SILVER, LATCH W54569304493980000</v>
      </c>
      <c r="D1277" s="7" t="s">
        <v>298</v>
      </c>
      <c r="E1277" s="6" t="s">
        <v>74</v>
      </c>
      <c r="F1277" s="6"/>
      <c r="G1277" s="7" t="s">
        <v>34</v>
      </c>
      <c r="H1277" s="19"/>
      <c r="I1277" s="19"/>
      <c r="J1277" s="19"/>
      <c r="K1277" s="19"/>
      <c r="L1277" s="14">
        <v>5456930</v>
      </c>
      <c r="M1277" s="22">
        <v>44939</v>
      </c>
      <c r="N1277" s="19" t="s">
        <v>185</v>
      </c>
      <c r="O1277" s="19" t="s">
        <v>332</v>
      </c>
      <c r="P1277" s="15">
        <v>80000</v>
      </c>
      <c r="Q1277" s="15">
        <v>680240</v>
      </c>
      <c r="R1277" s="15">
        <v>87082900</v>
      </c>
      <c r="S1277" s="15">
        <v>15</v>
      </c>
      <c r="T1277" s="19" t="s">
        <v>320</v>
      </c>
      <c r="U1277" s="19" t="s">
        <v>178</v>
      </c>
      <c r="V1277" s="16">
        <f t="shared" si="237"/>
        <v>102036</v>
      </c>
      <c r="W1277" s="16">
        <f t="shared" si="238"/>
        <v>10203.6</v>
      </c>
      <c r="X1277" s="16">
        <f t="shared" si="239"/>
        <v>112239.6</v>
      </c>
      <c r="Y1277" s="16">
        <f t="shared" si="240"/>
        <v>1.402995</v>
      </c>
      <c r="Z1277" s="16">
        <f t="shared" si="241"/>
        <v>8.5030000000000001</v>
      </c>
      <c r="AA1277" s="17">
        <f t="shared" si="242"/>
        <v>80000</v>
      </c>
      <c r="AB1277" s="10">
        <v>5824</v>
      </c>
      <c r="AC1277" s="18">
        <f t="shared" si="247"/>
        <v>8171.04288</v>
      </c>
      <c r="AD1277" s="12">
        <f t="shared" si="246"/>
        <v>74976</v>
      </c>
      <c r="AE1277" s="13">
        <f t="shared" si="243"/>
        <v>5024</v>
      </c>
    </row>
    <row r="1278" spans="1:31">
      <c r="A1278" s="6">
        <v>10</v>
      </c>
      <c r="B1278" s="6">
        <f t="shared" si="244"/>
        <v>47</v>
      </c>
      <c r="C1278" s="6" t="str">
        <f t="shared" si="236"/>
        <v>630580800ALABEL, RAW MATERIAL, BLA K12 TPC BUCKLE5160585449362400000</v>
      </c>
      <c r="D1278" s="7" t="s">
        <v>298</v>
      </c>
      <c r="E1278" s="6" t="s">
        <v>71</v>
      </c>
      <c r="F1278" s="6"/>
      <c r="G1278" s="7" t="s">
        <v>31</v>
      </c>
      <c r="H1278" s="19"/>
      <c r="I1278" s="19"/>
      <c r="J1278" s="19"/>
      <c r="K1278" s="19"/>
      <c r="L1278" s="14">
        <v>5160585</v>
      </c>
      <c r="M1278" s="22">
        <v>44936</v>
      </c>
      <c r="N1278" s="19" t="s">
        <v>196</v>
      </c>
      <c r="O1278" s="19" t="s">
        <v>333</v>
      </c>
      <c r="P1278" s="15">
        <v>2400000</v>
      </c>
      <c r="Q1278" s="15">
        <v>86522.34</v>
      </c>
      <c r="R1278" s="15">
        <v>87082900</v>
      </c>
      <c r="S1278" s="15">
        <v>15</v>
      </c>
      <c r="T1278" s="19" t="s">
        <v>265</v>
      </c>
      <c r="U1278" s="19" t="s">
        <v>178</v>
      </c>
      <c r="V1278" s="16">
        <f t="shared" si="237"/>
        <v>12978.350999999999</v>
      </c>
      <c r="W1278" s="16">
        <f t="shared" si="238"/>
        <v>1297.8351</v>
      </c>
      <c r="X1278" s="16">
        <f t="shared" si="239"/>
        <v>14276.186099999999</v>
      </c>
      <c r="Y1278" s="16">
        <f t="shared" si="240"/>
        <v>5.9484108749999999E-3</v>
      </c>
      <c r="Z1278" s="16">
        <f t="shared" si="241"/>
        <v>3.6050974999999999E-2</v>
      </c>
      <c r="AA1278" s="17">
        <f t="shared" si="242"/>
        <v>2400000</v>
      </c>
      <c r="AB1278" s="10">
        <v>11508</v>
      </c>
      <c r="AC1278" s="18">
        <f t="shared" si="247"/>
        <v>68.4543123495</v>
      </c>
      <c r="AD1278" s="12">
        <f t="shared" si="246"/>
        <v>548546</v>
      </c>
      <c r="AE1278" s="13">
        <f t="shared" si="243"/>
        <v>1851454</v>
      </c>
    </row>
    <row r="1279" spans="1:31">
      <c r="A1279" s="6">
        <v>10</v>
      </c>
      <c r="B1279" s="6">
        <f t="shared" si="244"/>
        <v>48</v>
      </c>
      <c r="C1279" s="6" t="str">
        <f t="shared" si="236"/>
        <v>622408300ALABEL, BLANK, BAR CODE,964466545303100000</v>
      </c>
      <c r="D1279" s="7" t="s">
        <v>298</v>
      </c>
      <c r="E1279" s="6" t="s">
        <v>473</v>
      </c>
      <c r="F1279" s="6"/>
      <c r="G1279" s="7" t="s">
        <v>239</v>
      </c>
      <c r="H1279" s="19"/>
      <c r="I1279" s="19"/>
      <c r="J1279" s="19"/>
      <c r="K1279" s="19"/>
      <c r="L1279" s="14">
        <v>9644665</v>
      </c>
      <c r="M1279" s="22">
        <v>45303</v>
      </c>
      <c r="N1279" s="19" t="s">
        <v>196</v>
      </c>
      <c r="O1279" s="19" t="s">
        <v>333</v>
      </c>
      <c r="P1279" s="15">
        <v>100000</v>
      </c>
      <c r="Q1279" s="15">
        <v>69765.98</v>
      </c>
      <c r="R1279" s="15">
        <v>87089500</v>
      </c>
      <c r="S1279" s="15">
        <v>15</v>
      </c>
      <c r="T1279" s="19" t="s">
        <v>351</v>
      </c>
      <c r="U1279" s="19" t="s">
        <v>178</v>
      </c>
      <c r="V1279" s="16">
        <f t="shared" si="237"/>
        <v>10464.896999999999</v>
      </c>
      <c r="W1279" s="16">
        <f t="shared" si="238"/>
        <v>1046.4896999999999</v>
      </c>
      <c r="X1279" s="16">
        <f t="shared" si="239"/>
        <v>11511.386699999999</v>
      </c>
      <c r="Y1279" s="16">
        <f t="shared" si="240"/>
        <v>0.11511386699999999</v>
      </c>
      <c r="Z1279" s="16">
        <f t="shared" si="241"/>
        <v>0.69765979999999994</v>
      </c>
      <c r="AA1279" s="17">
        <f t="shared" si="242"/>
        <v>100000</v>
      </c>
      <c r="AB1279" s="10">
        <v>7488</v>
      </c>
      <c r="AC1279" s="18">
        <f t="shared" si="247"/>
        <v>861.97263609599997</v>
      </c>
      <c r="AD1279" s="12">
        <f t="shared" si="246"/>
        <v>98136</v>
      </c>
      <c r="AE1279" s="13">
        <f t="shared" si="243"/>
        <v>1864</v>
      </c>
    </row>
    <row r="1280" spans="1:31">
      <c r="A1280" s="6">
        <v>10</v>
      </c>
      <c r="B1280" s="6">
        <f t="shared" si="244"/>
        <v>49</v>
      </c>
      <c r="C1280" s="6" t="str">
        <f t="shared" si="236"/>
        <v>632955901AINFLATORS, APP-4.6 39552714492417280</v>
      </c>
      <c r="D1280" s="7" t="s">
        <v>298</v>
      </c>
      <c r="E1280" s="6" t="s">
        <v>48</v>
      </c>
      <c r="F1280" s="6"/>
      <c r="G1280" s="7" t="s">
        <v>10</v>
      </c>
      <c r="H1280" s="19"/>
      <c r="I1280" s="19"/>
      <c r="J1280" s="19"/>
      <c r="K1280" s="19"/>
      <c r="L1280" s="14">
        <v>3955271</v>
      </c>
      <c r="M1280" s="22">
        <v>44924</v>
      </c>
      <c r="N1280" s="19" t="s">
        <v>199</v>
      </c>
      <c r="O1280" s="19" t="s">
        <v>333</v>
      </c>
      <c r="P1280" s="15">
        <v>17280</v>
      </c>
      <c r="Q1280" s="15">
        <v>6760871.4100000001</v>
      </c>
      <c r="R1280" s="15">
        <v>87089500</v>
      </c>
      <c r="S1280" s="15">
        <v>15</v>
      </c>
      <c r="T1280" s="19" t="s">
        <v>202</v>
      </c>
      <c r="U1280" s="19" t="s">
        <v>200</v>
      </c>
      <c r="V1280" s="16">
        <f t="shared" si="237"/>
        <v>1014130.7115</v>
      </c>
      <c r="W1280" s="16">
        <f t="shared" si="238"/>
        <v>101413.07115</v>
      </c>
      <c r="X1280" s="16">
        <f t="shared" si="239"/>
        <v>1115543.78265</v>
      </c>
      <c r="Y1280" s="16">
        <f t="shared" si="240"/>
        <v>64.556931866319445</v>
      </c>
      <c r="Z1280" s="16">
        <f t="shared" si="241"/>
        <v>391.25413252314814</v>
      </c>
      <c r="AA1280" s="17">
        <f t="shared" si="242"/>
        <v>17280</v>
      </c>
      <c r="AB1280" s="10">
        <v>6552</v>
      </c>
      <c r="AC1280" s="18">
        <f t="shared" si="247"/>
        <v>422977.01758812502</v>
      </c>
      <c r="AD1280" s="12">
        <f t="shared" si="246"/>
        <v>17028</v>
      </c>
      <c r="AE1280" s="13">
        <f t="shared" si="243"/>
        <v>252</v>
      </c>
    </row>
    <row r="1281" spans="1:31">
      <c r="A1281" s="6">
        <v>10</v>
      </c>
      <c r="B1281" s="6">
        <f t="shared" si="244"/>
        <v>50</v>
      </c>
      <c r="C1281" s="6" t="str">
        <f t="shared" si="236"/>
        <v>649421100AINFLATOR, ASP-5.1, P20, SRR, IMI, SERV, NO STUDS4359111449525184</v>
      </c>
      <c r="D1281" s="7" t="s">
        <v>298</v>
      </c>
      <c r="E1281" s="6" t="s">
        <v>469</v>
      </c>
      <c r="F1281" s="6"/>
      <c r="G1281" s="7" t="s">
        <v>16</v>
      </c>
      <c r="H1281" s="19"/>
      <c r="I1281" s="19"/>
      <c r="J1281" s="19"/>
      <c r="K1281" s="19"/>
      <c r="L1281" s="14" t="s">
        <v>83</v>
      </c>
      <c r="M1281" s="22">
        <v>44952</v>
      </c>
      <c r="N1281" s="19" t="e">
        <v>#N/A</v>
      </c>
      <c r="O1281" s="19" t="e">
        <v>#N/A</v>
      </c>
      <c r="P1281" s="15">
        <v>5184</v>
      </c>
      <c r="Q1281" s="15">
        <v>990685.13</v>
      </c>
      <c r="R1281" s="15" t="e">
        <v>#N/A</v>
      </c>
      <c r="S1281" s="15">
        <v>15</v>
      </c>
      <c r="T1281" s="19" t="e">
        <v>#N/A</v>
      </c>
      <c r="U1281" s="19" t="e">
        <v>#N/A</v>
      </c>
      <c r="V1281" s="16">
        <f t="shared" si="237"/>
        <v>148602.76949999999</v>
      </c>
      <c r="W1281" s="16">
        <f t="shared" si="238"/>
        <v>14860.276949999999</v>
      </c>
      <c r="X1281" s="16">
        <f t="shared" si="239"/>
        <v>163463.04644999999</v>
      </c>
      <c r="Y1281" s="16">
        <f t="shared" si="240"/>
        <v>31.532223466435184</v>
      </c>
      <c r="Z1281" s="16">
        <f t="shared" si="241"/>
        <v>191.10438464506174</v>
      </c>
      <c r="AA1281" s="17">
        <f t="shared" si="242"/>
        <v>5184</v>
      </c>
      <c r="AB1281" s="10">
        <v>3312</v>
      </c>
      <c r="AC1281" s="18">
        <f t="shared" si="247"/>
        <v>104434.72412083333</v>
      </c>
      <c r="AD1281" s="12">
        <f t="shared" si="246"/>
        <v>5184</v>
      </c>
      <c r="AE1281" s="13">
        <f t="shared" si="243"/>
        <v>0</v>
      </c>
    </row>
    <row r="1282" spans="1:31">
      <c r="A1282" s="6">
        <v>10</v>
      </c>
      <c r="B1282" s="6">
        <f t="shared" si="244"/>
        <v>51</v>
      </c>
      <c r="C1282" s="6" t="str">
        <f t="shared" ref="C1282:C1345" si="248">E1282&amp;G1282&amp;L1282&amp;M1282&amp;P1282</f>
        <v>649421100AINFLATOR, ASP-5.1, P20, SRR, IMI, SERV, NO STUDS4095144449283456</v>
      </c>
      <c r="D1282" s="7" t="s">
        <v>298</v>
      </c>
      <c r="E1282" s="6" t="s">
        <v>469</v>
      </c>
      <c r="F1282" s="6"/>
      <c r="G1282" s="7" t="s">
        <v>16</v>
      </c>
      <c r="H1282" s="19"/>
      <c r="I1282" s="19"/>
      <c r="J1282" s="19"/>
      <c r="K1282" s="19"/>
      <c r="L1282" s="14">
        <v>4095144</v>
      </c>
      <c r="M1282" s="22">
        <v>44928</v>
      </c>
      <c r="N1282" s="19" t="s">
        <v>199</v>
      </c>
      <c r="O1282" s="19" t="s">
        <v>333</v>
      </c>
      <c r="P1282" s="15">
        <v>3456</v>
      </c>
      <c r="Q1282" s="15">
        <v>672531.36</v>
      </c>
      <c r="R1282" s="15">
        <v>87089500</v>
      </c>
      <c r="S1282" s="15">
        <v>15</v>
      </c>
      <c r="T1282" s="19" t="s">
        <v>202</v>
      </c>
      <c r="U1282" s="19" t="s">
        <v>200</v>
      </c>
      <c r="V1282" s="16">
        <f t="shared" si="237"/>
        <v>100879.704</v>
      </c>
      <c r="W1282" s="16">
        <f t="shared" si="238"/>
        <v>10087.9704</v>
      </c>
      <c r="X1282" s="16">
        <f t="shared" si="239"/>
        <v>110967.6744</v>
      </c>
      <c r="Y1282" s="16">
        <f t="shared" si="240"/>
        <v>32.108702083333334</v>
      </c>
      <c r="Z1282" s="16">
        <f t="shared" si="241"/>
        <v>194.59819444444443</v>
      </c>
      <c r="AA1282" s="17">
        <f t="shared" si="242"/>
        <v>3456</v>
      </c>
      <c r="AB1282" s="10">
        <v>0</v>
      </c>
      <c r="AC1282" s="18">
        <f t="shared" si="247"/>
        <v>0</v>
      </c>
      <c r="AD1282" s="12">
        <f t="shared" si="246"/>
        <v>3456</v>
      </c>
      <c r="AE1282" s="13">
        <f t="shared" si="243"/>
        <v>0</v>
      </c>
    </row>
    <row r="1283" spans="1:31">
      <c r="A1283" s="6">
        <v>10</v>
      </c>
      <c r="B1283" s="6">
        <f t="shared" si="244"/>
        <v>52</v>
      </c>
      <c r="C1283" s="6" t="str">
        <f t="shared" si="248"/>
        <v>640294200AINFLATOR, ASP-2, GEN15,26887494537310368</v>
      </c>
      <c r="D1283" s="7" t="s">
        <v>298</v>
      </c>
      <c r="E1283" s="6" t="s">
        <v>470</v>
      </c>
      <c r="F1283" s="6"/>
      <c r="G1283" s="7" t="s">
        <v>238</v>
      </c>
      <c r="H1283" s="19"/>
      <c r="I1283" s="19"/>
      <c r="J1283" s="19"/>
      <c r="K1283" s="19"/>
      <c r="L1283" s="14">
        <v>2688749</v>
      </c>
      <c r="M1283" s="22">
        <v>45373</v>
      </c>
      <c r="N1283" s="19" t="s">
        <v>197</v>
      </c>
      <c r="O1283" s="19" t="s">
        <v>332</v>
      </c>
      <c r="P1283" s="15">
        <v>10368</v>
      </c>
      <c r="Q1283" s="15">
        <v>2672724.9</v>
      </c>
      <c r="R1283" s="15">
        <v>87089500</v>
      </c>
      <c r="S1283" s="15">
        <v>15</v>
      </c>
      <c r="T1283" s="19" t="s">
        <v>352</v>
      </c>
      <c r="U1283" s="19" t="s">
        <v>200</v>
      </c>
      <c r="V1283" s="16">
        <f t="shared" si="237"/>
        <v>400908.73499999999</v>
      </c>
      <c r="W1283" s="16">
        <f t="shared" si="238"/>
        <v>40090.873500000002</v>
      </c>
      <c r="X1283" s="16">
        <f t="shared" si="239"/>
        <v>440999.60849999997</v>
      </c>
      <c r="Y1283" s="16">
        <f t="shared" si="240"/>
        <v>42.534684461805554</v>
      </c>
      <c r="Z1283" s="16">
        <f t="shared" si="241"/>
        <v>257.78596643518517</v>
      </c>
      <c r="AA1283" s="17">
        <f t="shared" si="242"/>
        <v>10368</v>
      </c>
      <c r="AB1283" s="10">
        <v>4032</v>
      </c>
      <c r="AC1283" s="18">
        <f t="shared" si="247"/>
        <v>171499.84774999999</v>
      </c>
      <c r="AD1283" s="12">
        <f t="shared" si="246"/>
        <v>9792</v>
      </c>
      <c r="AE1283" s="13">
        <f t="shared" si="243"/>
        <v>576</v>
      </c>
    </row>
    <row r="1284" spans="1:31">
      <c r="A1284" s="6">
        <v>10</v>
      </c>
      <c r="B1284" s="6">
        <f t="shared" si="244"/>
        <v>53</v>
      </c>
      <c r="C1284" s="6" t="str">
        <f t="shared" si="248"/>
        <v>643302000AINFLATOR, ADP-1.3B, MP, MIB, SQUARE, NO STUD50570854500014688</v>
      </c>
      <c r="D1284" s="7" t="s">
        <v>298</v>
      </c>
      <c r="E1284" s="6" t="s">
        <v>46</v>
      </c>
      <c r="F1284" s="6"/>
      <c r="G1284" s="7" t="s">
        <v>8</v>
      </c>
      <c r="H1284" s="19"/>
      <c r="I1284" s="19"/>
      <c r="J1284" s="19"/>
      <c r="K1284" s="19"/>
      <c r="L1284" s="14">
        <v>5057085</v>
      </c>
      <c r="M1284" s="22">
        <v>45000</v>
      </c>
      <c r="N1284" s="19" t="s">
        <v>197</v>
      </c>
      <c r="O1284" s="19" t="s">
        <v>333</v>
      </c>
      <c r="P1284" s="15">
        <v>14688</v>
      </c>
      <c r="Q1284" s="15">
        <v>5384941.5700000003</v>
      </c>
      <c r="R1284" s="15">
        <v>87089500</v>
      </c>
      <c r="S1284" s="15">
        <v>15</v>
      </c>
      <c r="T1284" s="19" t="s">
        <v>202</v>
      </c>
      <c r="U1284" s="19" t="s">
        <v>200</v>
      </c>
      <c r="V1284" s="16">
        <f t="shared" ref="V1284:V1347" si="249">Q1284*S1284%</f>
        <v>807741.23550000007</v>
      </c>
      <c r="W1284" s="16">
        <f t="shared" ref="W1284:W1347" si="250">V1284*0.1</f>
        <v>80774.123550000018</v>
      </c>
      <c r="X1284" s="16">
        <f t="shared" ref="X1284:X1347" si="251">V1284+W1284</f>
        <v>888515.35905000009</v>
      </c>
      <c r="Y1284" s="16">
        <f t="shared" ref="Y1284:Y1347" si="252">X1284/P1284</f>
        <v>60.492603421160133</v>
      </c>
      <c r="Z1284" s="16">
        <f t="shared" ref="Z1284:Z1347" si="253">Q1284/P1284</f>
        <v>366.62183891612204</v>
      </c>
      <c r="AA1284" s="17">
        <f t="shared" ref="AA1284:AA1347" si="254">P1284</f>
        <v>14688</v>
      </c>
      <c r="AB1284" s="10">
        <v>8328</v>
      </c>
      <c r="AC1284" s="18">
        <f t="shared" si="247"/>
        <v>503782.40129142161</v>
      </c>
      <c r="AD1284" s="12">
        <f t="shared" si="246"/>
        <v>14688</v>
      </c>
      <c r="AE1284" s="13">
        <f t="shared" ref="AE1284:AE1347" si="255">AA1284-AD1284</f>
        <v>0</v>
      </c>
    </row>
    <row r="1285" spans="1:31">
      <c r="A1285" s="6">
        <v>10</v>
      </c>
      <c r="B1285" s="6">
        <f t="shared" si="244"/>
        <v>54</v>
      </c>
      <c r="C1285" s="6" t="str">
        <f t="shared" si="248"/>
        <v>655226900AINFLATOR APP-4.6, 325KPA 1.8MOL, STANDARD MIB SQU2688749453734320</v>
      </c>
      <c r="D1285" s="7" t="s">
        <v>298</v>
      </c>
      <c r="E1285" s="6" t="s">
        <v>130</v>
      </c>
      <c r="F1285" s="6"/>
      <c r="G1285" s="7" t="s">
        <v>102</v>
      </c>
      <c r="H1285" s="19"/>
      <c r="I1285" s="19"/>
      <c r="J1285" s="19"/>
      <c r="K1285" s="19"/>
      <c r="L1285" s="14">
        <v>2688749</v>
      </c>
      <c r="M1285" s="22">
        <v>45373</v>
      </c>
      <c r="N1285" s="19" t="s">
        <v>197</v>
      </c>
      <c r="O1285" s="19" t="s">
        <v>332</v>
      </c>
      <c r="P1285" s="15">
        <v>4320</v>
      </c>
      <c r="Q1285" s="15">
        <v>1785591.63</v>
      </c>
      <c r="R1285" s="15">
        <v>87089500</v>
      </c>
      <c r="S1285" s="15">
        <v>15</v>
      </c>
      <c r="T1285" s="19" t="s">
        <v>352</v>
      </c>
      <c r="U1285" s="19" t="s">
        <v>200</v>
      </c>
      <c r="V1285" s="16">
        <f t="shared" si="249"/>
        <v>267838.74449999997</v>
      </c>
      <c r="W1285" s="16">
        <f t="shared" si="250"/>
        <v>26783.874449999999</v>
      </c>
      <c r="X1285" s="16">
        <f t="shared" si="251"/>
        <v>294622.61894999997</v>
      </c>
      <c r="Y1285" s="16">
        <f t="shared" si="252"/>
        <v>68.199680312499993</v>
      </c>
      <c r="Z1285" s="16">
        <f t="shared" si="253"/>
        <v>413.33139583333332</v>
      </c>
      <c r="AA1285" s="17">
        <f t="shared" si="254"/>
        <v>4320</v>
      </c>
      <c r="AB1285" s="10">
        <v>3396</v>
      </c>
      <c r="AC1285" s="18">
        <f t="shared" si="247"/>
        <v>231606.11434124998</v>
      </c>
      <c r="AD1285" s="12">
        <f t="shared" si="246"/>
        <v>4152</v>
      </c>
      <c r="AE1285" s="13">
        <f t="shared" si="255"/>
        <v>168</v>
      </c>
    </row>
    <row r="1286" spans="1:31">
      <c r="A1286" s="6">
        <v>10</v>
      </c>
      <c r="B1286" s="6">
        <f t="shared" si="244"/>
        <v>55</v>
      </c>
      <c r="C1286" s="6" t="str">
        <f t="shared" si="248"/>
        <v>601487200CCOVER, RETRACTOR, R27, S SYSTEMKAPPE DELRIN 100T43274964495048000</v>
      </c>
      <c r="D1286" s="7" t="s">
        <v>298</v>
      </c>
      <c r="E1286" s="6" t="s">
        <v>64</v>
      </c>
      <c r="F1286" s="6"/>
      <c r="G1286" s="7" t="s">
        <v>24</v>
      </c>
      <c r="H1286" s="19"/>
      <c r="I1286" s="19"/>
      <c r="J1286" s="19"/>
      <c r="K1286" s="19"/>
      <c r="L1286" s="14">
        <v>4327496</v>
      </c>
      <c r="M1286" s="22">
        <v>44950</v>
      </c>
      <c r="N1286" s="19" t="s">
        <v>199</v>
      </c>
      <c r="O1286" s="19" t="s">
        <v>332</v>
      </c>
      <c r="P1286" s="15">
        <v>48000</v>
      </c>
      <c r="Q1286" s="15">
        <v>514349.16</v>
      </c>
      <c r="R1286" s="15">
        <v>87082900</v>
      </c>
      <c r="S1286" s="15">
        <v>15</v>
      </c>
      <c r="T1286" s="19" t="s">
        <v>307</v>
      </c>
      <c r="U1286" s="19" t="s">
        <v>178</v>
      </c>
      <c r="V1286" s="16">
        <f t="shared" si="249"/>
        <v>77152.373999999996</v>
      </c>
      <c r="W1286" s="16">
        <f t="shared" si="250"/>
        <v>7715.2374</v>
      </c>
      <c r="X1286" s="16">
        <f t="shared" si="251"/>
        <v>84867.611399999994</v>
      </c>
      <c r="Y1286" s="16">
        <f t="shared" si="252"/>
        <v>1.7680752375</v>
      </c>
      <c r="Z1286" s="16">
        <f t="shared" si="253"/>
        <v>10.715607499999999</v>
      </c>
      <c r="AA1286" s="17">
        <f t="shared" si="254"/>
        <v>48000</v>
      </c>
      <c r="AB1286" s="10">
        <v>2772</v>
      </c>
      <c r="AC1286" s="18">
        <f t="shared" si="247"/>
        <v>4901.1045583499999</v>
      </c>
      <c r="AD1286" s="12">
        <f t="shared" si="246"/>
        <v>47964</v>
      </c>
      <c r="AE1286" s="13">
        <f t="shared" si="255"/>
        <v>36</v>
      </c>
    </row>
    <row r="1287" spans="1:31">
      <c r="A1287" s="6">
        <v>10</v>
      </c>
      <c r="B1287" s="6">
        <f t="shared" si="244"/>
        <v>56</v>
      </c>
      <c r="C1287" s="6" t="str">
        <f t="shared" si="248"/>
        <v>560050622CCHANNEL, BUCKLE, K12 ROA K12A/AT, RIVET BUCKLE, S505596944994224000</v>
      </c>
      <c r="D1287" s="7" t="s">
        <v>298</v>
      </c>
      <c r="E1287" s="6" t="s">
        <v>72</v>
      </c>
      <c r="F1287" s="6"/>
      <c r="G1287" s="7" t="s">
        <v>32</v>
      </c>
      <c r="H1287" s="19"/>
      <c r="I1287" s="19"/>
      <c r="J1287" s="19"/>
      <c r="K1287" s="19"/>
      <c r="L1287" s="14">
        <v>5055969</v>
      </c>
      <c r="M1287" s="22">
        <v>44994</v>
      </c>
      <c r="N1287" s="19" t="s">
        <v>197</v>
      </c>
      <c r="O1287" s="19" t="s">
        <v>333</v>
      </c>
      <c r="P1287" s="15">
        <v>224000</v>
      </c>
      <c r="Q1287" s="15">
        <v>3980591.44</v>
      </c>
      <c r="R1287" s="15">
        <v>87082900</v>
      </c>
      <c r="S1287" s="15">
        <v>15</v>
      </c>
      <c r="T1287" s="19" t="s">
        <v>318</v>
      </c>
      <c r="U1287" s="19" t="s">
        <v>178</v>
      </c>
      <c r="V1287" s="16">
        <f t="shared" si="249"/>
        <v>597088.71600000001</v>
      </c>
      <c r="W1287" s="16">
        <f t="shared" si="250"/>
        <v>59708.871600000006</v>
      </c>
      <c r="X1287" s="16">
        <f t="shared" si="251"/>
        <v>656797.58759999997</v>
      </c>
      <c r="Y1287" s="16">
        <f t="shared" si="252"/>
        <v>2.9321320874999999</v>
      </c>
      <c r="Z1287" s="16">
        <f t="shared" si="253"/>
        <v>17.770497500000001</v>
      </c>
      <c r="AA1287" s="17">
        <f t="shared" si="254"/>
        <v>224000</v>
      </c>
      <c r="AB1287" s="10">
        <v>5824</v>
      </c>
      <c r="AC1287" s="18">
        <f t="shared" si="247"/>
        <v>17076.737277599997</v>
      </c>
      <c r="AD1287" s="12">
        <f t="shared" si="246"/>
        <v>67232</v>
      </c>
      <c r="AE1287" s="13">
        <f t="shared" si="255"/>
        <v>156768</v>
      </c>
    </row>
    <row r="1288" spans="1:31">
      <c r="A1288" s="6">
        <v>10</v>
      </c>
      <c r="B1288" s="6">
        <f t="shared" si="244"/>
        <v>57</v>
      </c>
      <c r="C1288" s="6" t="str">
        <f t="shared" si="248"/>
        <v>601256700GBUSH, RETRACTOR, R27, AL ALL VERSIONS405080544944160000</v>
      </c>
      <c r="D1288" s="7" t="s">
        <v>298</v>
      </c>
      <c r="E1288" s="6" t="s">
        <v>62</v>
      </c>
      <c r="F1288" s="6"/>
      <c r="G1288" s="7" t="s">
        <v>22</v>
      </c>
      <c r="H1288" s="19"/>
      <c r="I1288" s="19"/>
      <c r="J1288" s="19"/>
      <c r="K1288" s="19"/>
      <c r="L1288" s="14">
        <v>4050805</v>
      </c>
      <c r="M1288" s="22">
        <v>44944</v>
      </c>
      <c r="N1288" s="19" t="s">
        <v>196</v>
      </c>
      <c r="O1288" s="19" t="s">
        <v>333</v>
      </c>
      <c r="P1288" s="15">
        <v>160000</v>
      </c>
      <c r="Q1288" s="15">
        <v>278597.26</v>
      </c>
      <c r="R1288" s="15">
        <v>87082900</v>
      </c>
      <c r="S1288" s="15">
        <v>15</v>
      </c>
      <c r="T1288" s="19" t="s">
        <v>312</v>
      </c>
      <c r="U1288" s="19" t="s">
        <v>178</v>
      </c>
      <c r="V1288" s="16">
        <f t="shared" si="249"/>
        <v>41789.589</v>
      </c>
      <c r="W1288" s="16">
        <f t="shared" si="250"/>
        <v>4178.9589000000005</v>
      </c>
      <c r="X1288" s="16">
        <f t="shared" si="251"/>
        <v>45968.547899999998</v>
      </c>
      <c r="Y1288" s="16">
        <f t="shared" si="252"/>
        <v>0.287303424375</v>
      </c>
      <c r="Z1288" s="16">
        <f t="shared" si="253"/>
        <v>1.7412328750000001</v>
      </c>
      <c r="AA1288" s="17">
        <f t="shared" si="254"/>
        <v>160000</v>
      </c>
      <c r="AB1288" s="10">
        <v>2772</v>
      </c>
      <c r="AC1288" s="18">
        <f t="shared" si="247"/>
        <v>796.40509236750006</v>
      </c>
      <c r="AD1288" s="12">
        <f t="shared" si="246"/>
        <v>86652</v>
      </c>
      <c r="AE1288" s="13">
        <f t="shared" si="255"/>
        <v>73348</v>
      </c>
    </row>
    <row r="1289" spans="1:31">
      <c r="A1289" s="6">
        <v>10</v>
      </c>
      <c r="B1289" s="6">
        <f t="shared" si="244"/>
        <v>58</v>
      </c>
      <c r="C1289" s="6" t="str">
        <f t="shared" si="248"/>
        <v>618470500EBEARING, CAR SENS, RETRA All Versions, Noise redu408531144933170000</v>
      </c>
      <c r="D1289" s="7" t="s">
        <v>298</v>
      </c>
      <c r="E1289" s="6" t="s">
        <v>68</v>
      </c>
      <c r="F1289" s="6"/>
      <c r="G1289" s="7" t="s">
        <v>28</v>
      </c>
      <c r="H1289" s="19"/>
      <c r="I1289" s="19"/>
      <c r="J1289" s="19"/>
      <c r="K1289" s="19"/>
      <c r="L1289" s="14">
        <v>4085311</v>
      </c>
      <c r="M1289" s="22">
        <v>44933</v>
      </c>
      <c r="N1289" s="19" t="s">
        <v>196</v>
      </c>
      <c r="O1289" s="19" t="s">
        <v>333</v>
      </c>
      <c r="P1289" s="15">
        <v>170000</v>
      </c>
      <c r="Q1289" s="15">
        <v>305828.40000000002</v>
      </c>
      <c r="R1289" s="15">
        <v>87082900</v>
      </c>
      <c r="S1289" s="15">
        <v>15</v>
      </c>
      <c r="T1289" s="19" t="s">
        <v>316</v>
      </c>
      <c r="U1289" s="19" t="s">
        <v>178</v>
      </c>
      <c r="V1289" s="16">
        <f t="shared" si="249"/>
        <v>45874.26</v>
      </c>
      <c r="W1289" s="16">
        <f t="shared" si="250"/>
        <v>4587.4260000000004</v>
      </c>
      <c r="X1289" s="16">
        <f t="shared" si="251"/>
        <v>50461.686000000002</v>
      </c>
      <c r="Y1289" s="16">
        <f t="shared" si="252"/>
        <v>0.29683344705882353</v>
      </c>
      <c r="Z1289" s="16">
        <f t="shared" si="253"/>
        <v>1.7989905882352943</v>
      </c>
      <c r="AA1289" s="17">
        <f t="shared" si="254"/>
        <v>170000</v>
      </c>
      <c r="AB1289" s="10">
        <v>2772</v>
      </c>
      <c r="AC1289" s="18">
        <f t="shared" si="247"/>
        <v>822.82231524705878</v>
      </c>
      <c r="AD1289" s="12">
        <f t="shared" si="246"/>
        <v>61944</v>
      </c>
      <c r="AE1289" s="13">
        <f t="shared" si="255"/>
        <v>108056</v>
      </c>
    </row>
    <row r="1290" spans="1:31">
      <c r="A1290" s="6">
        <v>10</v>
      </c>
      <c r="B1290" s="6">
        <f t="shared" si="244"/>
        <v>59</v>
      </c>
      <c r="C1290" s="6" t="str">
        <f t="shared" si="248"/>
        <v>640294000AAB INFLATOR, ASP-2, GEN15,26887494537310368</v>
      </c>
      <c r="D1290" s="7" t="s">
        <v>298</v>
      </c>
      <c r="E1290" s="6" t="s">
        <v>475</v>
      </c>
      <c r="F1290" s="6"/>
      <c r="G1290" s="7" t="s">
        <v>244</v>
      </c>
      <c r="H1290" s="19"/>
      <c r="I1290" s="19"/>
      <c r="J1290" s="19"/>
      <c r="K1290" s="19"/>
      <c r="L1290" s="14">
        <v>2688749</v>
      </c>
      <c r="M1290" s="22">
        <v>45373</v>
      </c>
      <c r="N1290" s="19" t="s">
        <v>197</v>
      </c>
      <c r="O1290" s="19" t="s">
        <v>332</v>
      </c>
      <c r="P1290" s="15">
        <v>10368</v>
      </c>
      <c r="Q1290" s="15">
        <v>2672724.9</v>
      </c>
      <c r="R1290" s="15">
        <v>87089500</v>
      </c>
      <c r="S1290" s="15">
        <v>15</v>
      </c>
      <c r="T1290" s="19" t="s">
        <v>352</v>
      </c>
      <c r="U1290" s="19" t="s">
        <v>200</v>
      </c>
      <c r="V1290" s="16">
        <f t="shared" si="249"/>
        <v>400908.73499999999</v>
      </c>
      <c r="W1290" s="16">
        <f t="shared" si="250"/>
        <v>40090.873500000002</v>
      </c>
      <c r="X1290" s="16">
        <f t="shared" si="251"/>
        <v>440999.60849999997</v>
      </c>
      <c r="Y1290" s="16">
        <f t="shared" si="252"/>
        <v>42.534684461805554</v>
      </c>
      <c r="Z1290" s="16">
        <f t="shared" si="253"/>
        <v>257.78596643518517</v>
      </c>
      <c r="AA1290" s="17">
        <f t="shared" si="254"/>
        <v>10368</v>
      </c>
      <c r="AB1290" s="10">
        <v>3456</v>
      </c>
      <c r="AC1290" s="18">
        <f t="shared" si="247"/>
        <v>146999.8695</v>
      </c>
      <c r="AD1290" s="12">
        <f t="shared" si="246"/>
        <v>9504</v>
      </c>
      <c r="AE1290" s="13">
        <f t="shared" si="255"/>
        <v>864</v>
      </c>
    </row>
    <row r="1291" spans="1:31">
      <c r="A1291" s="6">
        <v>10</v>
      </c>
      <c r="B1291" s="6">
        <f t="shared" si="244"/>
        <v>60</v>
      </c>
      <c r="C1291" s="6" t="str">
        <f t="shared" si="248"/>
        <v>666041100AAB Cushion ICAB FI 2 Row C22875444534610000</v>
      </c>
      <c r="D1291" s="7" t="s">
        <v>298</v>
      </c>
      <c r="E1291" s="6" t="s">
        <v>476</v>
      </c>
      <c r="F1291" s="6"/>
      <c r="G1291" s="7" t="s">
        <v>246</v>
      </c>
      <c r="H1291" s="19"/>
      <c r="I1291" s="19"/>
      <c r="J1291" s="19"/>
      <c r="K1291" s="19"/>
      <c r="L1291" s="14">
        <v>2287544</v>
      </c>
      <c r="M1291" s="22">
        <v>45346</v>
      </c>
      <c r="N1291" s="19" t="s">
        <v>185</v>
      </c>
      <c r="O1291" s="19" t="s">
        <v>332</v>
      </c>
      <c r="P1291" s="15">
        <v>10000</v>
      </c>
      <c r="Q1291" s="15">
        <v>8462664.5199999996</v>
      </c>
      <c r="R1291" s="15">
        <v>87089500</v>
      </c>
      <c r="S1291" s="15">
        <v>5</v>
      </c>
      <c r="T1291" s="19" t="s">
        <v>350</v>
      </c>
      <c r="U1291" s="19" t="s">
        <v>178</v>
      </c>
      <c r="V1291" s="16">
        <f t="shared" si="249"/>
        <v>423133.22600000002</v>
      </c>
      <c r="W1291" s="16">
        <f t="shared" si="250"/>
        <v>42313.322600000007</v>
      </c>
      <c r="X1291" s="16">
        <f t="shared" si="251"/>
        <v>465446.54860000004</v>
      </c>
      <c r="Y1291" s="16">
        <f t="shared" si="252"/>
        <v>46.544654860000001</v>
      </c>
      <c r="Z1291" s="16">
        <f t="shared" si="253"/>
        <v>846.26645199999996</v>
      </c>
      <c r="AA1291" s="17">
        <f t="shared" si="254"/>
        <v>10000</v>
      </c>
      <c r="AB1291" s="10">
        <v>2496</v>
      </c>
      <c r="AC1291" s="18">
        <f t="shared" si="247"/>
        <v>116175.45853056</v>
      </c>
      <c r="AD1291" s="12">
        <f t="shared" si="246"/>
        <v>9680</v>
      </c>
      <c r="AE1291" s="13">
        <f t="shared" si="255"/>
        <v>320</v>
      </c>
    </row>
    <row r="1292" spans="1:31">
      <c r="A1292" s="6">
        <v>10</v>
      </c>
      <c r="B1292" s="6">
        <f t="shared" si="244"/>
        <v>61</v>
      </c>
      <c r="C1292" s="6" t="str">
        <f t="shared" si="248"/>
        <v>649421100AINFLATOR, ASP-5.1, P20, SRR, IMI, SERV, NO STUDS4866297449876912</v>
      </c>
      <c r="D1292" s="7" t="s">
        <v>298</v>
      </c>
      <c r="E1292" s="6" t="s">
        <v>469</v>
      </c>
      <c r="F1292" s="6"/>
      <c r="G1292" s="7" t="s">
        <v>16</v>
      </c>
      <c r="H1292" s="19"/>
      <c r="I1292" s="19"/>
      <c r="J1292" s="19"/>
      <c r="K1292" s="19"/>
      <c r="L1292" s="14">
        <v>4866297</v>
      </c>
      <c r="M1292" s="22">
        <v>44987</v>
      </c>
      <c r="N1292" s="19" t="s">
        <v>199</v>
      </c>
      <c r="O1292" s="19" t="s">
        <v>333</v>
      </c>
      <c r="P1292" s="15">
        <v>6912</v>
      </c>
      <c r="Q1292" s="15">
        <v>1468628.61</v>
      </c>
      <c r="R1292" s="15">
        <v>87089500</v>
      </c>
      <c r="S1292" s="15">
        <v>15</v>
      </c>
      <c r="T1292" s="19" t="s">
        <v>202</v>
      </c>
      <c r="U1292" s="19" t="s">
        <v>200</v>
      </c>
      <c r="V1292" s="16">
        <f t="shared" si="249"/>
        <v>220294.29150000002</v>
      </c>
      <c r="W1292" s="16">
        <f t="shared" si="250"/>
        <v>22029.429150000004</v>
      </c>
      <c r="X1292" s="16">
        <f t="shared" si="251"/>
        <v>242323.72065000003</v>
      </c>
      <c r="Y1292" s="16">
        <f t="shared" si="252"/>
        <v>35.058408658854169</v>
      </c>
      <c r="Z1292" s="16">
        <f t="shared" si="253"/>
        <v>212.47520399305557</v>
      </c>
      <c r="AA1292" s="17">
        <f t="shared" si="254"/>
        <v>6912</v>
      </c>
      <c r="AB1292" s="10">
        <v>1608</v>
      </c>
      <c r="AC1292" s="18">
        <f t="shared" si="247"/>
        <v>56373.921123437503</v>
      </c>
      <c r="AD1292" s="12">
        <f t="shared" si="246"/>
        <v>6912</v>
      </c>
      <c r="AE1292" s="13">
        <f t="shared" si="255"/>
        <v>0</v>
      </c>
    </row>
    <row r="1293" spans="1:31">
      <c r="A1293" s="6">
        <v>11</v>
      </c>
      <c r="B1293" s="6">
        <v>1</v>
      </c>
      <c r="C1293" s="6" t="str">
        <f t="shared" si="248"/>
        <v>615795701BPILLAR LOOP, OVERMOULDED LIGHT GRAY, STD, WITH CA9019565452614000</v>
      </c>
      <c r="D1293" s="7" t="s">
        <v>329</v>
      </c>
      <c r="E1293" s="6" t="s">
        <v>67</v>
      </c>
      <c r="F1293" s="6"/>
      <c r="G1293" s="7" t="s">
        <v>27</v>
      </c>
      <c r="H1293" s="19"/>
      <c r="I1293" s="19"/>
      <c r="J1293" s="19"/>
      <c r="K1293" s="19"/>
      <c r="L1293" s="14">
        <v>9019565</v>
      </c>
      <c r="M1293" s="22">
        <v>45261</v>
      </c>
      <c r="N1293" s="19" t="s">
        <v>185</v>
      </c>
      <c r="O1293" s="19" t="s">
        <v>332</v>
      </c>
      <c r="P1293" s="15">
        <v>4000</v>
      </c>
      <c r="Q1293" s="15">
        <v>235983.84</v>
      </c>
      <c r="R1293" s="15">
        <v>87082900</v>
      </c>
      <c r="S1293" s="15">
        <v>15</v>
      </c>
      <c r="T1293" s="19" t="s">
        <v>198</v>
      </c>
      <c r="U1293" s="19" t="s">
        <v>178</v>
      </c>
      <c r="V1293" s="16">
        <f t="shared" si="249"/>
        <v>35397.576000000001</v>
      </c>
      <c r="W1293" s="16">
        <f t="shared" si="250"/>
        <v>3539.7576000000004</v>
      </c>
      <c r="X1293" s="16">
        <f t="shared" si="251"/>
        <v>38937.333599999998</v>
      </c>
      <c r="Y1293" s="16">
        <f t="shared" si="252"/>
        <v>9.7343333999999988</v>
      </c>
      <c r="Z1293" s="16">
        <f t="shared" si="253"/>
        <v>58.995959999999997</v>
      </c>
      <c r="AA1293" s="17">
        <f t="shared" si="254"/>
        <v>4000</v>
      </c>
      <c r="AB1293" s="10">
        <v>2064</v>
      </c>
      <c r="AC1293" s="18">
        <f t="shared" si="247"/>
        <v>20091.664137599997</v>
      </c>
      <c r="AD1293" s="12">
        <f t="shared" si="246"/>
        <v>3984</v>
      </c>
      <c r="AE1293" s="13">
        <f t="shared" si="255"/>
        <v>16</v>
      </c>
    </row>
    <row r="1294" spans="1:31">
      <c r="A1294" s="6">
        <v>11</v>
      </c>
      <c r="B1294" s="6">
        <f t="shared" si="244"/>
        <v>2</v>
      </c>
      <c r="C1294" s="6" t="str">
        <f t="shared" si="248"/>
        <v>566098600CWEBBING PIN, RETRACTOR, AGB, AGB-95POM FARBE:SCH432749644950120000</v>
      </c>
      <c r="D1294" s="7" t="s">
        <v>329</v>
      </c>
      <c r="E1294" s="6" t="s">
        <v>57</v>
      </c>
      <c r="F1294" s="6"/>
      <c r="G1294" s="7" t="s">
        <v>17</v>
      </c>
      <c r="H1294" s="19"/>
      <c r="I1294" s="19"/>
      <c r="J1294" s="19"/>
      <c r="K1294" s="19"/>
      <c r="L1294" s="14">
        <v>4327496</v>
      </c>
      <c r="M1294" s="22">
        <v>44950</v>
      </c>
      <c r="N1294" s="19" t="s">
        <v>199</v>
      </c>
      <c r="O1294" s="19" t="s">
        <v>332</v>
      </c>
      <c r="P1294" s="15">
        <v>120000</v>
      </c>
      <c r="Q1294" s="15">
        <v>117311.7</v>
      </c>
      <c r="R1294" s="15">
        <v>87082900</v>
      </c>
      <c r="S1294" s="15">
        <v>15</v>
      </c>
      <c r="T1294" s="19" t="s">
        <v>307</v>
      </c>
      <c r="U1294" s="19" t="s">
        <v>178</v>
      </c>
      <c r="V1294" s="16">
        <f t="shared" si="249"/>
        <v>17596.754999999997</v>
      </c>
      <c r="W1294" s="16">
        <f t="shared" si="250"/>
        <v>1759.6754999999998</v>
      </c>
      <c r="X1294" s="16">
        <f t="shared" si="251"/>
        <v>19356.430499999999</v>
      </c>
      <c r="Y1294" s="16">
        <f t="shared" si="252"/>
        <v>0.16130358749999998</v>
      </c>
      <c r="Z1294" s="16">
        <f t="shared" si="253"/>
        <v>0.97759750000000001</v>
      </c>
      <c r="AA1294" s="17">
        <f t="shared" si="254"/>
        <v>120000</v>
      </c>
      <c r="AB1294" s="10">
        <v>2064</v>
      </c>
      <c r="AC1294" s="18">
        <f t="shared" si="247"/>
        <v>332.93060459999998</v>
      </c>
      <c r="AD1294" s="12">
        <f t="shared" si="246"/>
        <v>86652</v>
      </c>
      <c r="AE1294" s="13">
        <f t="shared" si="255"/>
        <v>33348</v>
      </c>
    </row>
    <row r="1295" spans="1:31">
      <c r="A1295" s="6">
        <v>11</v>
      </c>
      <c r="B1295" s="6">
        <f t="shared" si="244"/>
        <v>3</v>
      </c>
      <c r="C1295" s="6" t="str">
        <f t="shared" si="248"/>
        <v>NWB2834WASHER, WAVED 68542594512020000</v>
      </c>
      <c r="D1295" s="7" t="s">
        <v>329</v>
      </c>
      <c r="E1295" s="6" t="s">
        <v>77</v>
      </c>
      <c r="F1295" s="6"/>
      <c r="G1295" s="7" t="s">
        <v>37</v>
      </c>
      <c r="H1295" s="19"/>
      <c r="I1295" s="19"/>
      <c r="J1295" s="19"/>
      <c r="K1295" s="19"/>
      <c r="L1295" s="14" t="s">
        <v>95</v>
      </c>
      <c r="M1295" s="22">
        <v>45120</v>
      </c>
      <c r="N1295" s="19" t="s">
        <v>196</v>
      </c>
      <c r="O1295" s="19" t="s">
        <v>226</v>
      </c>
      <c r="P1295" s="15">
        <v>20000</v>
      </c>
      <c r="Q1295" s="15">
        <v>35281.85</v>
      </c>
      <c r="R1295" s="15">
        <v>87082900</v>
      </c>
      <c r="S1295" s="15">
        <v>15</v>
      </c>
      <c r="T1295" s="19" t="s">
        <v>207</v>
      </c>
      <c r="U1295" s="19" t="s">
        <v>178</v>
      </c>
      <c r="V1295" s="16">
        <f t="shared" si="249"/>
        <v>5292.2774999999992</v>
      </c>
      <c r="W1295" s="16">
        <f t="shared" si="250"/>
        <v>529.2277499999999</v>
      </c>
      <c r="X1295" s="16">
        <f t="shared" si="251"/>
        <v>5821.5052499999993</v>
      </c>
      <c r="Y1295" s="16">
        <f t="shared" si="252"/>
        <v>0.29107526249999999</v>
      </c>
      <c r="Z1295" s="16">
        <f t="shared" si="253"/>
        <v>1.7640924999999998</v>
      </c>
      <c r="AA1295" s="17">
        <f t="shared" si="254"/>
        <v>20000</v>
      </c>
      <c r="AB1295" s="10">
        <v>2048</v>
      </c>
      <c r="AC1295" s="18">
        <f t="shared" si="247"/>
        <v>596.12213759999997</v>
      </c>
      <c r="AD1295" s="12">
        <f t="shared" si="246"/>
        <v>18848</v>
      </c>
      <c r="AE1295" s="13">
        <f t="shared" si="255"/>
        <v>1152</v>
      </c>
    </row>
    <row r="1296" spans="1:31">
      <c r="A1296" s="6">
        <v>11</v>
      </c>
      <c r="B1296" s="6">
        <f t="shared" ref="B1296:B1359" si="256">B1295+1</f>
        <v>4</v>
      </c>
      <c r="C1296" s="6" t="str">
        <f t="shared" si="248"/>
        <v>625090202BTAPE, IC, CONTINUOUS, 13.0 MM., PET 3M 842141242304494235100</v>
      </c>
      <c r="D1296" s="7" t="s">
        <v>329</v>
      </c>
      <c r="E1296" s="6" t="s">
        <v>128</v>
      </c>
      <c r="F1296" s="6"/>
      <c r="G1296" s="19" t="s">
        <v>103</v>
      </c>
      <c r="H1296" s="19"/>
      <c r="I1296" s="19"/>
      <c r="J1296" s="19"/>
      <c r="K1296" s="19"/>
      <c r="L1296" s="14" t="s">
        <v>107</v>
      </c>
      <c r="M1296" s="22">
        <v>44942</v>
      </c>
      <c r="N1296" s="19" t="e">
        <v>#N/A</v>
      </c>
      <c r="O1296" s="19" t="e">
        <v>#N/A</v>
      </c>
      <c r="P1296" s="15">
        <v>35100</v>
      </c>
      <c r="Q1296" s="15">
        <v>402986.27</v>
      </c>
      <c r="R1296" s="15" t="e">
        <v>#N/A</v>
      </c>
      <c r="S1296" s="15">
        <v>15</v>
      </c>
      <c r="T1296" s="19" t="e">
        <v>#N/A</v>
      </c>
      <c r="U1296" s="19" t="e">
        <v>#N/A</v>
      </c>
      <c r="V1296" s="16">
        <f t="shared" si="249"/>
        <v>60447.940499999997</v>
      </c>
      <c r="W1296" s="16">
        <f t="shared" si="250"/>
        <v>6044.7940500000004</v>
      </c>
      <c r="X1296" s="16">
        <f t="shared" si="251"/>
        <v>66492.734549999994</v>
      </c>
      <c r="Y1296" s="16">
        <f t="shared" si="252"/>
        <v>1.8943799017094016</v>
      </c>
      <c r="Z1296" s="16">
        <f t="shared" si="253"/>
        <v>11.481090313390315</v>
      </c>
      <c r="AA1296" s="17">
        <f t="shared" si="254"/>
        <v>35100</v>
      </c>
      <c r="AB1296" s="10">
        <v>1651.2</v>
      </c>
      <c r="AC1296" s="18">
        <f t="shared" si="247"/>
        <v>3128.0000937025638</v>
      </c>
      <c r="AD1296" s="12">
        <f t="shared" si="246"/>
        <v>7614.28</v>
      </c>
      <c r="AE1296" s="13">
        <f t="shared" si="255"/>
        <v>27485.72</v>
      </c>
    </row>
    <row r="1297" spans="1:31">
      <c r="A1297" s="6">
        <v>11</v>
      </c>
      <c r="B1297" s="6">
        <f t="shared" si="256"/>
        <v>5</v>
      </c>
      <c r="C1297" s="6" t="str">
        <f t="shared" si="248"/>
        <v>603171100BTAPE, ADHESIVE, TERAOKA TERAOKA NO.560S 226314894484950000</v>
      </c>
      <c r="D1297" s="7" t="s">
        <v>329</v>
      </c>
      <c r="E1297" s="6" t="s">
        <v>50</v>
      </c>
      <c r="F1297" s="6"/>
      <c r="G1297" s="7" t="s">
        <v>12</v>
      </c>
      <c r="H1297" s="19"/>
      <c r="I1297" s="19"/>
      <c r="J1297" s="19"/>
      <c r="K1297" s="19"/>
      <c r="L1297" s="14">
        <v>2631489</v>
      </c>
      <c r="M1297" s="22">
        <v>44849</v>
      </c>
      <c r="N1297" s="19" t="s">
        <v>196</v>
      </c>
      <c r="O1297" s="19" t="s">
        <v>333</v>
      </c>
      <c r="P1297" s="15">
        <v>50000</v>
      </c>
      <c r="Q1297" s="15">
        <v>298875.90000000002</v>
      </c>
      <c r="R1297" s="15">
        <v>87082900</v>
      </c>
      <c r="S1297" s="15">
        <v>15</v>
      </c>
      <c r="T1297" s="19" t="s">
        <v>334</v>
      </c>
      <c r="U1297" s="19" t="s">
        <v>178</v>
      </c>
      <c r="V1297" s="16">
        <f t="shared" si="249"/>
        <v>44831.385000000002</v>
      </c>
      <c r="W1297" s="16">
        <f t="shared" si="250"/>
        <v>4483.1385</v>
      </c>
      <c r="X1297" s="16">
        <f t="shared" si="251"/>
        <v>49314.523500000003</v>
      </c>
      <c r="Y1297" s="16">
        <f t="shared" si="252"/>
        <v>0.98629047000000003</v>
      </c>
      <c r="Z1297" s="16">
        <f t="shared" si="253"/>
        <v>5.9775180000000008</v>
      </c>
      <c r="AA1297" s="17">
        <f t="shared" si="254"/>
        <v>50000</v>
      </c>
      <c r="AB1297" s="10">
        <v>1382.4</v>
      </c>
      <c r="AC1297" s="18">
        <f t="shared" si="247"/>
        <v>1363.4479457280001</v>
      </c>
      <c r="AD1297" s="12">
        <f t="shared" si="246"/>
        <v>3937.6</v>
      </c>
      <c r="AE1297" s="13">
        <f t="shared" si="255"/>
        <v>46062.400000000001</v>
      </c>
    </row>
    <row r="1298" spans="1:31">
      <c r="A1298" s="6">
        <v>11</v>
      </c>
      <c r="B1298" s="6">
        <f t="shared" si="256"/>
        <v>6</v>
      </c>
      <c r="C1298" s="6" t="str">
        <f t="shared" si="248"/>
        <v>654590600ASU2ID STD CUSHION COMPON CVR NON-WOVEN RH2605037453675400</v>
      </c>
      <c r="D1298" s="7" t="s">
        <v>329</v>
      </c>
      <c r="E1298" s="6" t="s">
        <v>78</v>
      </c>
      <c r="F1298" s="6"/>
      <c r="G1298" s="7" t="s">
        <v>38</v>
      </c>
      <c r="H1298" s="19"/>
      <c r="I1298" s="19"/>
      <c r="J1298" s="19"/>
      <c r="K1298" s="19"/>
      <c r="L1298" s="14">
        <v>2605037</v>
      </c>
      <c r="M1298" s="22">
        <v>45367</v>
      </c>
      <c r="N1298" s="19" t="s">
        <v>185</v>
      </c>
      <c r="O1298" s="19" t="s">
        <v>332</v>
      </c>
      <c r="P1298" s="15">
        <v>5400</v>
      </c>
      <c r="Q1298" s="15">
        <v>65556.710000000006</v>
      </c>
      <c r="R1298" s="15">
        <v>87089400</v>
      </c>
      <c r="S1298" s="15">
        <v>5</v>
      </c>
      <c r="T1298" s="19" t="s">
        <v>347</v>
      </c>
      <c r="U1298" s="19" t="s">
        <v>178</v>
      </c>
      <c r="V1298" s="16">
        <f t="shared" si="249"/>
        <v>3277.8355000000006</v>
      </c>
      <c r="W1298" s="16">
        <f t="shared" si="250"/>
        <v>327.7835500000001</v>
      </c>
      <c r="X1298" s="16">
        <f t="shared" si="251"/>
        <v>3605.6190500000007</v>
      </c>
      <c r="Y1298" s="16">
        <f t="shared" si="252"/>
        <v>0.66770723148148159</v>
      </c>
      <c r="Z1298" s="16">
        <f t="shared" si="253"/>
        <v>12.140131481481482</v>
      </c>
      <c r="AA1298" s="17">
        <f t="shared" si="254"/>
        <v>5400</v>
      </c>
      <c r="AB1298" s="10">
        <v>1152</v>
      </c>
      <c r="AC1298" s="18">
        <f t="shared" si="247"/>
        <v>769.19873066666673</v>
      </c>
      <c r="AD1298" s="12">
        <v>5400</v>
      </c>
      <c r="AE1298" s="13">
        <f t="shared" si="255"/>
        <v>0</v>
      </c>
    </row>
    <row r="1299" spans="1:31">
      <c r="A1299" s="6">
        <v>11</v>
      </c>
      <c r="B1299" s="6">
        <f t="shared" si="256"/>
        <v>7</v>
      </c>
      <c r="C1299" s="6" t="str">
        <f t="shared" si="248"/>
        <v>654590700ASU2ID CUSHION COMPONENTS CVR NON-WOVEN LH STD5279973450146300</v>
      </c>
      <c r="D1299" s="7" t="s">
        <v>329</v>
      </c>
      <c r="E1299" s="6" t="s">
        <v>477</v>
      </c>
      <c r="F1299" s="6"/>
      <c r="G1299" s="7" t="s">
        <v>330</v>
      </c>
      <c r="H1299" s="19"/>
      <c r="I1299" s="19"/>
      <c r="J1299" s="19"/>
      <c r="K1299" s="19"/>
      <c r="L1299" s="14">
        <v>5279973</v>
      </c>
      <c r="M1299" s="22">
        <v>45014</v>
      </c>
      <c r="N1299" s="19" t="s">
        <v>185</v>
      </c>
      <c r="O1299" s="19" t="s">
        <v>332</v>
      </c>
      <c r="P1299" s="15">
        <v>6300</v>
      </c>
      <c r="Q1299" s="15">
        <v>81753.97</v>
      </c>
      <c r="R1299" s="15">
        <v>87089500</v>
      </c>
      <c r="S1299" s="15">
        <v>15</v>
      </c>
      <c r="T1299" s="19" t="s">
        <v>358</v>
      </c>
      <c r="U1299" s="19" t="s">
        <v>178</v>
      </c>
      <c r="V1299" s="16">
        <f t="shared" si="249"/>
        <v>12263.095499999999</v>
      </c>
      <c r="W1299" s="16">
        <f t="shared" si="250"/>
        <v>1226.3095499999999</v>
      </c>
      <c r="X1299" s="16">
        <f t="shared" si="251"/>
        <v>13489.405049999999</v>
      </c>
      <c r="Y1299" s="16">
        <f t="shared" si="252"/>
        <v>2.1411754047619045</v>
      </c>
      <c r="Z1299" s="16">
        <f t="shared" si="253"/>
        <v>12.976820634920635</v>
      </c>
      <c r="AA1299" s="17">
        <f t="shared" si="254"/>
        <v>6300</v>
      </c>
      <c r="AB1299" s="10">
        <v>1728</v>
      </c>
      <c r="AC1299" s="18">
        <f t="shared" si="247"/>
        <v>3699.9510994285711</v>
      </c>
      <c r="AD1299" s="12">
        <f t="shared" ref="AD1299:AD1330" si="257">SUMIF($C$2:$C$2284,C1299,$AB$2:$AB$2284)</f>
        <v>6300</v>
      </c>
      <c r="AE1299" s="13">
        <f t="shared" si="255"/>
        <v>0</v>
      </c>
    </row>
    <row r="1300" spans="1:31">
      <c r="A1300" s="6">
        <v>11</v>
      </c>
      <c r="B1300" s="6">
        <f t="shared" si="256"/>
        <v>8</v>
      </c>
      <c r="C1300" s="6" t="str">
        <f t="shared" si="248"/>
        <v>609183701ASTUD, M6 X 1.0, 16.036956764543984000</v>
      </c>
      <c r="D1300" s="7" t="s">
        <v>329</v>
      </c>
      <c r="E1300" s="6" t="s">
        <v>51</v>
      </c>
      <c r="F1300" s="6"/>
      <c r="G1300" s="7" t="s">
        <v>411</v>
      </c>
      <c r="H1300" s="19"/>
      <c r="I1300" s="19"/>
      <c r="J1300" s="19"/>
      <c r="K1300" s="19"/>
      <c r="L1300" s="14">
        <v>3695676</v>
      </c>
      <c r="M1300" s="22">
        <v>45439</v>
      </c>
      <c r="N1300" s="19" t="s">
        <v>185</v>
      </c>
      <c r="O1300" s="19" t="s">
        <v>332</v>
      </c>
      <c r="P1300" s="15">
        <v>84000</v>
      </c>
      <c r="Q1300" s="15">
        <v>238012.39</v>
      </c>
      <c r="R1300" s="15">
        <v>87089500</v>
      </c>
      <c r="S1300" s="15">
        <v>15</v>
      </c>
      <c r="T1300" s="19" t="s">
        <v>304</v>
      </c>
      <c r="U1300" s="19" t="s">
        <v>178</v>
      </c>
      <c r="V1300" s="16">
        <f t="shared" si="249"/>
        <v>35701.858500000002</v>
      </c>
      <c r="W1300" s="16">
        <f t="shared" si="250"/>
        <v>3570.1858500000003</v>
      </c>
      <c r="X1300" s="16">
        <f t="shared" si="251"/>
        <v>39272.044350000004</v>
      </c>
      <c r="Y1300" s="16">
        <f t="shared" si="252"/>
        <v>0.46752433750000005</v>
      </c>
      <c r="Z1300" s="16">
        <f t="shared" si="253"/>
        <v>2.8334808333333337</v>
      </c>
      <c r="AA1300" s="17">
        <f t="shared" si="254"/>
        <v>84000</v>
      </c>
      <c r="AB1300" s="10">
        <v>16128</v>
      </c>
      <c r="AC1300" s="18">
        <f t="shared" si="247"/>
        <v>7540.2325152000012</v>
      </c>
      <c r="AD1300" s="12">
        <f t="shared" si="257"/>
        <v>82196</v>
      </c>
      <c r="AE1300" s="13">
        <f t="shared" si="255"/>
        <v>1804</v>
      </c>
    </row>
    <row r="1301" spans="1:31">
      <c r="A1301" s="6">
        <v>11</v>
      </c>
      <c r="B1301" s="6">
        <f t="shared" si="256"/>
        <v>9</v>
      </c>
      <c r="C1301" s="6" t="str">
        <f t="shared" si="248"/>
        <v>605555507ESTEERING DISC NATURE WHITE717838944902100800</v>
      </c>
      <c r="D1301" s="7" t="s">
        <v>329</v>
      </c>
      <c r="E1301" s="6" t="s">
        <v>66</v>
      </c>
      <c r="F1301" s="6"/>
      <c r="G1301" s="7" t="s">
        <v>26</v>
      </c>
      <c r="H1301" s="19"/>
      <c r="I1301" s="19"/>
      <c r="J1301" s="19"/>
      <c r="K1301" s="19"/>
      <c r="L1301" s="14">
        <v>7178389</v>
      </c>
      <c r="M1301" s="22">
        <v>44902</v>
      </c>
      <c r="N1301" s="19" t="s">
        <v>185</v>
      </c>
      <c r="O1301" s="19" t="s">
        <v>332</v>
      </c>
      <c r="P1301" s="15">
        <v>100800</v>
      </c>
      <c r="Q1301" s="15">
        <v>397158.13</v>
      </c>
      <c r="R1301" s="15">
        <v>87082900</v>
      </c>
      <c r="S1301" s="15">
        <v>15</v>
      </c>
      <c r="T1301" s="19" t="s">
        <v>315</v>
      </c>
      <c r="U1301" s="19" t="s">
        <v>178</v>
      </c>
      <c r="V1301" s="16">
        <f t="shared" si="249"/>
        <v>59573.719499999999</v>
      </c>
      <c r="W1301" s="16">
        <f t="shared" si="250"/>
        <v>5957.3719500000007</v>
      </c>
      <c r="X1301" s="16">
        <f t="shared" si="251"/>
        <v>65531.09145</v>
      </c>
      <c r="Y1301" s="16">
        <f t="shared" si="252"/>
        <v>0.65011003422619051</v>
      </c>
      <c r="Z1301" s="16">
        <f t="shared" si="253"/>
        <v>3.9400608134920634</v>
      </c>
      <c r="AA1301" s="17">
        <f t="shared" si="254"/>
        <v>100800</v>
      </c>
      <c r="AB1301" s="10">
        <v>2064</v>
      </c>
      <c r="AC1301" s="18">
        <f t="shared" si="247"/>
        <v>1341.8271106428572</v>
      </c>
      <c r="AD1301" s="12">
        <f t="shared" si="257"/>
        <v>80292</v>
      </c>
      <c r="AE1301" s="13">
        <f t="shared" si="255"/>
        <v>20508</v>
      </c>
    </row>
    <row r="1302" spans="1:31">
      <c r="A1302" s="6">
        <v>11</v>
      </c>
      <c r="B1302" s="6">
        <f t="shared" si="256"/>
        <v>10</v>
      </c>
      <c r="C1302" s="6" t="str">
        <f t="shared" si="248"/>
        <v>560130122ASPRING, WIRE, COMPRESSIO K12A/AT495151045028300000</v>
      </c>
      <c r="D1302" s="7" t="s">
        <v>329</v>
      </c>
      <c r="E1302" s="6" t="s">
        <v>73</v>
      </c>
      <c r="F1302" s="6"/>
      <c r="G1302" s="7" t="s">
        <v>33</v>
      </c>
      <c r="H1302" s="19"/>
      <c r="I1302" s="19"/>
      <c r="J1302" s="19"/>
      <c r="K1302" s="19"/>
      <c r="L1302" s="14">
        <v>4951510</v>
      </c>
      <c r="M1302" s="22">
        <v>45028</v>
      </c>
      <c r="N1302" s="19" t="s">
        <v>199</v>
      </c>
      <c r="O1302" s="19" t="s">
        <v>332</v>
      </c>
      <c r="P1302" s="15">
        <v>300000</v>
      </c>
      <c r="Q1302" s="15">
        <v>285155.93</v>
      </c>
      <c r="R1302" s="15">
        <v>87082900</v>
      </c>
      <c r="S1302" s="15">
        <v>15</v>
      </c>
      <c r="T1302" s="19" t="s">
        <v>319</v>
      </c>
      <c r="U1302" s="19" t="s">
        <v>178</v>
      </c>
      <c r="V1302" s="16">
        <f t="shared" si="249"/>
        <v>42773.389499999997</v>
      </c>
      <c r="W1302" s="16">
        <f t="shared" si="250"/>
        <v>4277.3389500000003</v>
      </c>
      <c r="X1302" s="16">
        <f t="shared" si="251"/>
        <v>47050.728449999995</v>
      </c>
      <c r="Y1302" s="16">
        <f t="shared" si="252"/>
        <v>0.15683576149999998</v>
      </c>
      <c r="Z1302" s="16">
        <f t="shared" si="253"/>
        <v>0.9505197666666666</v>
      </c>
      <c r="AA1302" s="17">
        <f t="shared" si="254"/>
        <v>300000</v>
      </c>
      <c r="AB1302" s="10">
        <v>2048</v>
      </c>
      <c r="AC1302" s="18">
        <f t="shared" si="247"/>
        <v>321.19963955199995</v>
      </c>
      <c r="AD1302" s="12">
        <f t="shared" si="257"/>
        <v>94048</v>
      </c>
      <c r="AE1302" s="13">
        <f t="shared" si="255"/>
        <v>205952</v>
      </c>
    </row>
    <row r="1303" spans="1:31">
      <c r="A1303" s="6">
        <v>11</v>
      </c>
      <c r="B1303" s="6">
        <f t="shared" si="256"/>
        <v>11</v>
      </c>
      <c r="C1303" s="6" t="str">
        <f t="shared" si="248"/>
        <v>649421000AAB INFLATOR, ASP-5.1, P20, SRR, IMI, SERV, NO STUDS4946913449936912</v>
      </c>
      <c r="D1303" s="7" t="s">
        <v>329</v>
      </c>
      <c r="E1303" s="6" t="s">
        <v>56</v>
      </c>
      <c r="F1303" s="6"/>
      <c r="G1303" s="7" t="s">
        <v>245</v>
      </c>
      <c r="H1303" s="19"/>
      <c r="I1303" s="19"/>
      <c r="J1303" s="19"/>
      <c r="K1303" s="19"/>
      <c r="L1303" s="14">
        <v>4946913</v>
      </c>
      <c r="M1303" s="22">
        <v>44993</v>
      </c>
      <c r="N1303" s="19" t="s">
        <v>199</v>
      </c>
      <c r="O1303" s="19" t="s">
        <v>333</v>
      </c>
      <c r="P1303" s="15">
        <v>6912</v>
      </c>
      <c r="Q1303" s="15">
        <v>1466083.43</v>
      </c>
      <c r="R1303" s="15">
        <v>87089500</v>
      </c>
      <c r="S1303" s="15">
        <v>15</v>
      </c>
      <c r="T1303" s="19" t="s">
        <v>202</v>
      </c>
      <c r="U1303" s="19" t="s">
        <v>200</v>
      </c>
      <c r="V1303" s="16">
        <f t="shared" si="249"/>
        <v>219912.51449999999</v>
      </c>
      <c r="W1303" s="16">
        <f t="shared" si="250"/>
        <v>21991.25145</v>
      </c>
      <c r="X1303" s="16">
        <f t="shared" si="251"/>
        <v>241903.76595</v>
      </c>
      <c r="Y1303" s="16">
        <f t="shared" si="252"/>
        <v>34.997651323784723</v>
      </c>
      <c r="Z1303" s="16">
        <f t="shared" si="253"/>
        <v>212.10697771990741</v>
      </c>
      <c r="AA1303" s="17">
        <f t="shared" si="254"/>
        <v>6912</v>
      </c>
      <c r="AB1303" s="10">
        <v>2880</v>
      </c>
      <c r="AC1303" s="18">
        <f t="shared" si="247"/>
        <v>100793.2358125</v>
      </c>
      <c r="AD1303" s="12">
        <f t="shared" si="257"/>
        <v>6912</v>
      </c>
      <c r="AE1303" s="13">
        <f t="shared" si="255"/>
        <v>0</v>
      </c>
    </row>
    <row r="1304" spans="1:31">
      <c r="A1304" s="6">
        <v>11</v>
      </c>
      <c r="B1304" s="6">
        <f t="shared" si="256"/>
        <v>12</v>
      </c>
      <c r="C1304" s="6" t="str">
        <f t="shared" si="248"/>
        <v>566253211EADAPTER, CAR SENS, RETRA ALL VERSIONS390969644984216000</v>
      </c>
      <c r="D1304" s="7" t="s">
        <v>329</v>
      </c>
      <c r="E1304" s="6" t="s">
        <v>58</v>
      </c>
      <c r="F1304" s="6"/>
      <c r="G1304" s="7" t="s">
        <v>18</v>
      </c>
      <c r="H1304" s="19"/>
      <c r="I1304" s="19"/>
      <c r="J1304" s="19"/>
      <c r="K1304" s="19"/>
      <c r="L1304" s="14">
        <v>3909696</v>
      </c>
      <c r="M1304" s="22">
        <v>44984</v>
      </c>
      <c r="N1304" s="19" t="s">
        <v>199</v>
      </c>
      <c r="O1304" s="19" t="s">
        <v>332</v>
      </c>
      <c r="P1304" s="15">
        <v>216000</v>
      </c>
      <c r="Q1304" s="15">
        <v>549354.86</v>
      </c>
      <c r="R1304" s="15">
        <v>87082900</v>
      </c>
      <c r="S1304" s="15">
        <v>15</v>
      </c>
      <c r="T1304" s="19" t="s">
        <v>308</v>
      </c>
      <c r="U1304" s="19" t="s">
        <v>178</v>
      </c>
      <c r="V1304" s="16">
        <f t="shared" si="249"/>
        <v>82403.228999999992</v>
      </c>
      <c r="W1304" s="16">
        <f t="shared" si="250"/>
        <v>8240.3228999999992</v>
      </c>
      <c r="X1304" s="16">
        <f t="shared" si="251"/>
        <v>90643.551899999991</v>
      </c>
      <c r="Y1304" s="16">
        <f t="shared" si="252"/>
        <v>0.41964607361111106</v>
      </c>
      <c r="Z1304" s="16">
        <f t="shared" si="253"/>
        <v>2.5433095370370369</v>
      </c>
      <c r="AA1304" s="17">
        <f t="shared" si="254"/>
        <v>216000</v>
      </c>
      <c r="AB1304" s="10">
        <v>2064</v>
      </c>
      <c r="AC1304" s="18">
        <f t="shared" si="247"/>
        <v>866.14949593333324</v>
      </c>
      <c r="AD1304" s="12">
        <f t="shared" si="257"/>
        <v>86652</v>
      </c>
      <c r="AE1304" s="13">
        <f t="shared" si="255"/>
        <v>129348</v>
      </c>
    </row>
    <row r="1305" spans="1:31">
      <c r="A1305" s="6">
        <v>11</v>
      </c>
      <c r="B1305" s="6">
        <f t="shared" si="256"/>
        <v>13</v>
      </c>
      <c r="C1305" s="6" t="str">
        <f t="shared" si="248"/>
        <v>632154400AADHESIVE, PAD 40785224493620000</v>
      </c>
      <c r="D1305" s="7" t="s">
        <v>329</v>
      </c>
      <c r="E1305" s="6" t="s">
        <v>79</v>
      </c>
      <c r="F1305" s="6"/>
      <c r="G1305" s="7" t="s">
        <v>39</v>
      </c>
      <c r="H1305" s="19"/>
      <c r="I1305" s="19"/>
      <c r="J1305" s="19"/>
      <c r="K1305" s="19"/>
      <c r="L1305" s="14" t="s">
        <v>101</v>
      </c>
      <c r="M1305" s="22">
        <v>44936</v>
      </c>
      <c r="N1305" s="19" t="s">
        <v>196</v>
      </c>
      <c r="O1305" s="19" t="s">
        <v>333</v>
      </c>
      <c r="P1305" s="15">
        <v>20000</v>
      </c>
      <c r="Q1305" s="15">
        <v>66978.789999999994</v>
      </c>
      <c r="R1305" s="15">
        <v>87082900</v>
      </c>
      <c r="S1305" s="15">
        <v>15</v>
      </c>
      <c r="T1305" s="19" t="s">
        <v>201</v>
      </c>
      <c r="U1305" s="19" t="s">
        <v>178</v>
      </c>
      <c r="V1305" s="16">
        <f t="shared" si="249"/>
        <v>10046.818499999999</v>
      </c>
      <c r="W1305" s="16">
        <f t="shared" si="250"/>
        <v>1004.6818499999999</v>
      </c>
      <c r="X1305" s="16">
        <f t="shared" si="251"/>
        <v>11051.500349999998</v>
      </c>
      <c r="Y1305" s="16">
        <f t="shared" si="252"/>
        <v>0.55257501749999993</v>
      </c>
      <c r="Z1305" s="16">
        <f t="shared" si="253"/>
        <v>3.3489394999999997</v>
      </c>
      <c r="AA1305" s="17">
        <f t="shared" si="254"/>
        <v>20000</v>
      </c>
      <c r="AB1305" s="10">
        <v>2064</v>
      </c>
      <c r="AC1305" s="18">
        <f t="shared" si="247"/>
        <v>1140.5148361199999</v>
      </c>
      <c r="AD1305" s="12">
        <f t="shared" si="257"/>
        <v>18136</v>
      </c>
      <c r="AE1305" s="13">
        <f t="shared" si="255"/>
        <v>1864</v>
      </c>
    </row>
    <row r="1306" spans="1:31">
      <c r="A1306" s="6">
        <v>11</v>
      </c>
      <c r="B1306" s="6">
        <f t="shared" si="256"/>
        <v>14</v>
      </c>
      <c r="C1306" s="6" t="str">
        <f t="shared" si="248"/>
        <v>605151600ASPRING, SHEET, LEAF, RET ALL VERSIONS, WS US407852744933100000</v>
      </c>
      <c r="D1306" s="7" t="s">
        <v>329</v>
      </c>
      <c r="E1306" s="6" t="s">
        <v>65</v>
      </c>
      <c r="F1306" s="6"/>
      <c r="G1306" s="7" t="s">
        <v>25</v>
      </c>
      <c r="H1306" s="19"/>
      <c r="I1306" s="19"/>
      <c r="J1306" s="19"/>
      <c r="K1306" s="19"/>
      <c r="L1306" s="14">
        <v>4078527</v>
      </c>
      <c r="M1306" s="22">
        <v>44933</v>
      </c>
      <c r="N1306" s="19" t="s">
        <v>196</v>
      </c>
      <c r="O1306" s="19" t="s">
        <v>333</v>
      </c>
      <c r="P1306" s="15">
        <v>100000</v>
      </c>
      <c r="Q1306" s="15">
        <v>147318.03</v>
      </c>
      <c r="R1306" s="15">
        <v>87082900</v>
      </c>
      <c r="S1306" s="15">
        <v>15</v>
      </c>
      <c r="T1306" s="19" t="s">
        <v>314</v>
      </c>
      <c r="U1306" s="19" t="s">
        <v>178</v>
      </c>
      <c r="V1306" s="16">
        <f t="shared" si="249"/>
        <v>22097.7045</v>
      </c>
      <c r="W1306" s="16">
        <f t="shared" si="250"/>
        <v>2209.77045</v>
      </c>
      <c r="X1306" s="16">
        <f t="shared" si="251"/>
        <v>24307.47495</v>
      </c>
      <c r="Y1306" s="16">
        <f t="shared" si="252"/>
        <v>0.24307474949999999</v>
      </c>
      <c r="Z1306" s="16">
        <f t="shared" si="253"/>
        <v>1.4731802999999999</v>
      </c>
      <c r="AA1306" s="17">
        <f t="shared" si="254"/>
        <v>100000</v>
      </c>
      <c r="AB1306" s="10">
        <v>2064</v>
      </c>
      <c r="AC1306" s="18">
        <f t="shared" si="247"/>
        <v>501.70628296799998</v>
      </c>
      <c r="AD1306" s="12">
        <f t="shared" si="257"/>
        <v>86652</v>
      </c>
      <c r="AE1306" s="13">
        <f t="shared" si="255"/>
        <v>13348</v>
      </c>
    </row>
    <row r="1307" spans="1:31">
      <c r="A1307" s="6">
        <v>11</v>
      </c>
      <c r="B1307" s="6">
        <f t="shared" si="256"/>
        <v>15</v>
      </c>
      <c r="C1307" s="6" t="str">
        <f t="shared" si="248"/>
        <v>566305721BSPRING, SHEET, LEAF, RET ALL VERSIONS, WS ECE4742807449445000</v>
      </c>
      <c r="D1307" s="7" t="s">
        <v>329</v>
      </c>
      <c r="E1307" s="6" t="s">
        <v>59</v>
      </c>
      <c r="F1307" s="6"/>
      <c r="G1307" s="7" t="s">
        <v>19</v>
      </c>
      <c r="H1307" s="19"/>
      <c r="I1307" s="19"/>
      <c r="J1307" s="19"/>
      <c r="K1307" s="19"/>
      <c r="L1307" s="14">
        <v>4742807</v>
      </c>
      <c r="M1307" s="22">
        <v>44944</v>
      </c>
      <c r="N1307" s="19" t="s">
        <v>196</v>
      </c>
      <c r="O1307" s="19" t="s">
        <v>337</v>
      </c>
      <c r="P1307" s="15">
        <v>5000</v>
      </c>
      <c r="Q1307" s="15">
        <v>143362.42000000001</v>
      </c>
      <c r="R1307" s="15">
        <v>87082900</v>
      </c>
      <c r="S1307" s="15">
        <v>15</v>
      </c>
      <c r="T1307" s="19" t="s">
        <v>309</v>
      </c>
      <c r="U1307" s="19" t="s">
        <v>178</v>
      </c>
      <c r="V1307" s="16">
        <f t="shared" si="249"/>
        <v>21504.363000000001</v>
      </c>
      <c r="W1307" s="16">
        <f t="shared" si="250"/>
        <v>2150.4363000000003</v>
      </c>
      <c r="X1307" s="16">
        <f t="shared" si="251"/>
        <v>23654.799300000002</v>
      </c>
      <c r="Y1307" s="16">
        <f t="shared" si="252"/>
        <v>4.7309598600000005</v>
      </c>
      <c r="Z1307" s="16">
        <f t="shared" si="253"/>
        <v>28.672484000000004</v>
      </c>
      <c r="AA1307" s="17">
        <f t="shared" si="254"/>
        <v>5000</v>
      </c>
      <c r="AB1307" s="10">
        <v>35.088000000000001</v>
      </c>
      <c r="AC1307" s="18">
        <f t="shared" si="247"/>
        <v>165.99991956768002</v>
      </c>
      <c r="AD1307" s="12">
        <f t="shared" si="257"/>
        <v>1540.98</v>
      </c>
      <c r="AE1307" s="13">
        <v>0</v>
      </c>
    </row>
    <row r="1308" spans="1:31">
      <c r="A1308" s="6">
        <v>11</v>
      </c>
      <c r="B1308" s="6">
        <f t="shared" si="256"/>
        <v>16</v>
      </c>
      <c r="C1308" s="6" t="str">
        <f t="shared" si="248"/>
        <v>601182600ASPINDLE, RETRACTOR, R27, STD43790984493343008</v>
      </c>
      <c r="D1308" s="7" t="s">
        <v>329</v>
      </c>
      <c r="E1308" s="6" t="s">
        <v>61</v>
      </c>
      <c r="F1308" s="6"/>
      <c r="G1308" s="7" t="s">
        <v>21</v>
      </c>
      <c r="H1308" s="19"/>
      <c r="I1308" s="19"/>
      <c r="J1308" s="19"/>
      <c r="K1308" s="19"/>
      <c r="L1308" s="14">
        <v>4379098</v>
      </c>
      <c r="M1308" s="22">
        <v>44933</v>
      </c>
      <c r="N1308" s="19" t="s">
        <v>185</v>
      </c>
      <c r="O1308" s="19" t="s">
        <v>332</v>
      </c>
      <c r="P1308" s="15">
        <v>43008</v>
      </c>
      <c r="Q1308" s="15">
        <v>1835488.61</v>
      </c>
      <c r="R1308" s="15">
        <v>87082900</v>
      </c>
      <c r="S1308" s="15">
        <v>15</v>
      </c>
      <c r="T1308" s="19" t="s">
        <v>311</v>
      </c>
      <c r="U1308" s="19" t="s">
        <v>178</v>
      </c>
      <c r="V1308" s="16">
        <f t="shared" si="249"/>
        <v>275323.29149999999</v>
      </c>
      <c r="W1308" s="16">
        <f t="shared" si="250"/>
        <v>27532.329150000001</v>
      </c>
      <c r="X1308" s="16">
        <f t="shared" si="251"/>
        <v>302855.62065</v>
      </c>
      <c r="Y1308" s="16">
        <f t="shared" si="252"/>
        <v>7.0418438581194192</v>
      </c>
      <c r="Z1308" s="16">
        <f t="shared" si="253"/>
        <v>42.677841564360122</v>
      </c>
      <c r="AA1308" s="17">
        <f t="shared" si="254"/>
        <v>43008</v>
      </c>
      <c r="AB1308" s="10">
        <v>2064</v>
      </c>
      <c r="AC1308" s="18">
        <f t="shared" si="247"/>
        <v>14534.36572315848</v>
      </c>
      <c r="AD1308" s="12">
        <f t="shared" si="257"/>
        <v>43008</v>
      </c>
      <c r="AE1308" s="13">
        <f t="shared" si="255"/>
        <v>0</v>
      </c>
    </row>
    <row r="1309" spans="1:31">
      <c r="A1309" s="6">
        <v>11</v>
      </c>
      <c r="B1309" s="6">
        <f t="shared" si="256"/>
        <v>17</v>
      </c>
      <c r="C1309" s="6" t="str">
        <f t="shared" si="248"/>
        <v>NPB10271-ZKSCREW, SELF-TAPPING, MET OTHER, HEXALOBULAR INTER406701444998150000</v>
      </c>
      <c r="D1309" s="7" t="s">
        <v>329</v>
      </c>
      <c r="E1309" s="6" t="s">
        <v>76</v>
      </c>
      <c r="F1309" s="6"/>
      <c r="G1309" s="7" t="s">
        <v>36</v>
      </c>
      <c r="H1309" s="19"/>
      <c r="I1309" s="19"/>
      <c r="J1309" s="19"/>
      <c r="K1309" s="19"/>
      <c r="L1309" s="14">
        <v>4067014</v>
      </c>
      <c r="M1309" s="22">
        <v>44998</v>
      </c>
      <c r="N1309" s="19" t="s">
        <v>196</v>
      </c>
      <c r="O1309" s="19" t="s">
        <v>333</v>
      </c>
      <c r="P1309" s="15">
        <v>150000</v>
      </c>
      <c r="Q1309" s="15">
        <v>146157.25</v>
      </c>
      <c r="R1309" s="15">
        <v>87082900</v>
      </c>
      <c r="S1309" s="15">
        <v>15</v>
      </c>
      <c r="T1309" s="19" t="s">
        <v>321</v>
      </c>
      <c r="U1309" s="19" t="s">
        <v>178</v>
      </c>
      <c r="V1309" s="16">
        <f t="shared" si="249"/>
        <v>21923.587499999998</v>
      </c>
      <c r="W1309" s="16">
        <f t="shared" si="250"/>
        <v>2192.3587499999999</v>
      </c>
      <c r="X1309" s="16">
        <f t="shared" si="251"/>
        <v>24115.946249999997</v>
      </c>
      <c r="Y1309" s="16">
        <f t="shared" si="252"/>
        <v>0.16077297499999998</v>
      </c>
      <c r="Z1309" s="16">
        <f t="shared" si="253"/>
        <v>0.9743816666666667</v>
      </c>
      <c r="AA1309" s="17">
        <f t="shared" si="254"/>
        <v>150000</v>
      </c>
      <c r="AB1309" s="10">
        <v>4096</v>
      </c>
      <c r="AC1309" s="18">
        <f t="shared" si="247"/>
        <v>658.52610559999994</v>
      </c>
      <c r="AD1309" s="12">
        <f t="shared" si="257"/>
        <v>149952</v>
      </c>
      <c r="AE1309" s="13">
        <f t="shared" si="255"/>
        <v>48</v>
      </c>
    </row>
    <row r="1310" spans="1:31">
      <c r="A1310" s="6">
        <v>11</v>
      </c>
      <c r="B1310" s="6">
        <f t="shared" si="256"/>
        <v>18</v>
      </c>
      <c r="C1310" s="6" t="str">
        <f t="shared" si="248"/>
        <v>621343500CNUT, ISO, M5, NYLON INSE NYLON INSERT417070644928390000</v>
      </c>
      <c r="D1310" s="7" t="s">
        <v>329</v>
      </c>
      <c r="E1310" s="6" t="s">
        <v>45</v>
      </c>
      <c r="F1310" s="6"/>
      <c r="G1310" s="7" t="s">
        <v>7</v>
      </c>
      <c r="H1310" s="19"/>
      <c r="I1310" s="19"/>
      <c r="J1310" s="19"/>
      <c r="K1310" s="19"/>
      <c r="L1310" s="14">
        <v>4170706</v>
      </c>
      <c r="M1310" s="22">
        <v>44928</v>
      </c>
      <c r="N1310" s="19" t="s">
        <v>196</v>
      </c>
      <c r="O1310" s="19" t="s">
        <v>332</v>
      </c>
      <c r="P1310" s="15">
        <v>390000</v>
      </c>
      <c r="Q1310" s="15">
        <v>806536.88</v>
      </c>
      <c r="R1310" s="15">
        <v>87089500</v>
      </c>
      <c r="S1310" s="15">
        <v>15</v>
      </c>
      <c r="T1310" s="19" t="s">
        <v>301</v>
      </c>
      <c r="U1310" s="19" t="s">
        <v>178</v>
      </c>
      <c r="V1310" s="16">
        <f t="shared" si="249"/>
        <v>120980.53199999999</v>
      </c>
      <c r="W1310" s="16">
        <f t="shared" si="250"/>
        <v>12098.0532</v>
      </c>
      <c r="X1310" s="16">
        <f t="shared" si="251"/>
        <v>133078.5852</v>
      </c>
      <c r="Y1310" s="16">
        <f t="shared" si="252"/>
        <v>0.34122714153846156</v>
      </c>
      <c r="Z1310" s="16">
        <f t="shared" si="253"/>
        <v>2.0680432820512822</v>
      </c>
      <c r="AA1310" s="17">
        <f t="shared" si="254"/>
        <v>390000</v>
      </c>
      <c r="AB1310" s="10">
        <v>24768</v>
      </c>
      <c r="AC1310" s="18">
        <f t="shared" si="247"/>
        <v>8451.5138416246155</v>
      </c>
      <c r="AD1310" s="12">
        <f t="shared" si="257"/>
        <v>385128</v>
      </c>
      <c r="AE1310" s="13">
        <f t="shared" si="255"/>
        <v>4872</v>
      </c>
    </row>
    <row r="1311" spans="1:31">
      <c r="A1311" s="6">
        <v>11</v>
      </c>
      <c r="B1311" s="6">
        <f t="shared" si="256"/>
        <v>19</v>
      </c>
      <c r="C1311" s="6" t="str">
        <f t="shared" si="248"/>
        <v>570028800FNUT, ISO, M5, LOCK, THRE LOCK, THREE SIDED TAMPER393103644928624000</v>
      </c>
      <c r="D1311" s="7" t="s">
        <v>329</v>
      </c>
      <c r="E1311" s="6" t="s">
        <v>47</v>
      </c>
      <c r="F1311" s="6"/>
      <c r="G1311" s="7" t="s">
        <v>9</v>
      </c>
      <c r="H1311" s="19"/>
      <c r="I1311" s="19"/>
      <c r="J1311" s="19"/>
      <c r="K1311" s="19"/>
      <c r="L1311" s="14">
        <v>3931036</v>
      </c>
      <c r="M1311" s="22">
        <v>44928</v>
      </c>
      <c r="N1311" s="19" t="s">
        <v>185</v>
      </c>
      <c r="O1311" s="19" t="s">
        <v>332</v>
      </c>
      <c r="P1311" s="15">
        <v>624000</v>
      </c>
      <c r="Q1311" s="15">
        <v>1155867.1000000001</v>
      </c>
      <c r="R1311" s="15">
        <v>87089500</v>
      </c>
      <c r="S1311" s="15">
        <v>15</v>
      </c>
      <c r="T1311" s="19" t="s">
        <v>302</v>
      </c>
      <c r="U1311" s="19" t="s">
        <v>178</v>
      </c>
      <c r="V1311" s="16">
        <f t="shared" si="249"/>
        <v>173380.065</v>
      </c>
      <c r="W1311" s="16">
        <f t="shared" si="250"/>
        <v>17338.0065</v>
      </c>
      <c r="X1311" s="16">
        <f t="shared" si="251"/>
        <v>190718.07149999999</v>
      </c>
      <c r="Y1311" s="16">
        <f t="shared" si="252"/>
        <v>0.30563793509615383</v>
      </c>
      <c r="Z1311" s="16">
        <f t="shared" si="253"/>
        <v>1.852351121794872</v>
      </c>
      <c r="AA1311" s="17">
        <f t="shared" si="254"/>
        <v>624000</v>
      </c>
      <c r="AB1311" s="10">
        <v>15264</v>
      </c>
      <c r="AC1311" s="18">
        <f t="shared" si="247"/>
        <v>4665.2574413076918</v>
      </c>
      <c r="AD1311" s="12">
        <f t="shared" si="257"/>
        <v>227952</v>
      </c>
      <c r="AE1311" s="13">
        <f t="shared" si="255"/>
        <v>396048</v>
      </c>
    </row>
    <row r="1312" spans="1:31">
      <c r="A1312" s="6">
        <v>11</v>
      </c>
      <c r="B1312" s="6">
        <f t="shared" si="256"/>
        <v>20</v>
      </c>
      <c r="C1312" s="6" t="str">
        <f t="shared" si="248"/>
        <v>618472300CMASS, CAR SENS, RETRACTO ALL VERSIONS, CAR 2-PIN406183045012209560</v>
      </c>
      <c r="D1312" s="7" t="s">
        <v>329</v>
      </c>
      <c r="E1312" s="6" t="s">
        <v>70</v>
      </c>
      <c r="F1312" s="6"/>
      <c r="G1312" s="7" t="s">
        <v>30</v>
      </c>
      <c r="H1312" s="19"/>
      <c r="I1312" s="19"/>
      <c r="J1312" s="19"/>
      <c r="K1312" s="19"/>
      <c r="L1312" s="14">
        <v>4061830</v>
      </c>
      <c r="M1312" s="22">
        <v>45012</v>
      </c>
      <c r="N1312" s="19" t="s">
        <v>196</v>
      </c>
      <c r="O1312" s="19" t="s">
        <v>333</v>
      </c>
      <c r="P1312" s="15">
        <v>209560</v>
      </c>
      <c r="Q1312" s="15">
        <v>786307.66</v>
      </c>
      <c r="R1312" s="15">
        <v>87082900</v>
      </c>
      <c r="S1312" s="15">
        <v>15</v>
      </c>
      <c r="T1312" s="19" t="s">
        <v>317</v>
      </c>
      <c r="U1312" s="19" t="s">
        <v>178</v>
      </c>
      <c r="V1312" s="16">
        <f t="shared" si="249"/>
        <v>117946.149</v>
      </c>
      <c r="W1312" s="16">
        <f t="shared" si="250"/>
        <v>11794.6149</v>
      </c>
      <c r="X1312" s="16">
        <f t="shared" si="251"/>
        <v>129740.76390000001</v>
      </c>
      <c r="Y1312" s="16">
        <f t="shared" si="252"/>
        <v>0.61911034500858941</v>
      </c>
      <c r="Z1312" s="16">
        <f t="shared" si="253"/>
        <v>3.7521839091429663</v>
      </c>
      <c r="AA1312" s="17">
        <f t="shared" si="254"/>
        <v>209560</v>
      </c>
      <c r="AB1312" s="10">
        <v>2064</v>
      </c>
      <c r="AC1312" s="18">
        <f t="shared" si="247"/>
        <v>1277.8437520977286</v>
      </c>
      <c r="AD1312" s="12">
        <f t="shared" si="257"/>
        <v>86652</v>
      </c>
      <c r="AE1312" s="13">
        <f t="shared" si="255"/>
        <v>122908</v>
      </c>
    </row>
    <row r="1313" spans="1:31">
      <c r="A1313" s="6">
        <v>11</v>
      </c>
      <c r="B1313" s="6">
        <f t="shared" si="256"/>
        <v>21</v>
      </c>
      <c r="C1313" s="6" t="str">
        <f t="shared" si="248"/>
        <v>604213200ALOCKING BAR, BUCKLE, K12 K12A/AT, L=34.3, silver415111844909306000</v>
      </c>
      <c r="D1313" s="7" t="s">
        <v>329</v>
      </c>
      <c r="E1313" s="6" t="s">
        <v>75</v>
      </c>
      <c r="F1313" s="6"/>
      <c r="G1313" s="7" t="s">
        <v>35</v>
      </c>
      <c r="H1313" s="19"/>
      <c r="I1313" s="19"/>
      <c r="J1313" s="19"/>
      <c r="K1313" s="19"/>
      <c r="L1313" s="14">
        <v>4151118</v>
      </c>
      <c r="M1313" s="22">
        <v>44909</v>
      </c>
      <c r="N1313" s="19" t="s">
        <v>199</v>
      </c>
      <c r="O1313" s="19" t="s">
        <v>332</v>
      </c>
      <c r="P1313" s="15">
        <v>306000</v>
      </c>
      <c r="Q1313" s="15">
        <v>347494.89</v>
      </c>
      <c r="R1313" s="15">
        <v>87082900</v>
      </c>
      <c r="S1313" s="15">
        <v>15</v>
      </c>
      <c r="T1313" s="19" t="s">
        <v>319</v>
      </c>
      <c r="U1313" s="19" t="s">
        <v>178</v>
      </c>
      <c r="V1313" s="16">
        <f t="shared" si="249"/>
        <v>52124.233500000002</v>
      </c>
      <c r="W1313" s="16">
        <f t="shared" si="250"/>
        <v>5212.4233500000009</v>
      </c>
      <c r="X1313" s="16">
        <f t="shared" si="251"/>
        <v>57336.656849999999</v>
      </c>
      <c r="Y1313" s="16">
        <f t="shared" si="252"/>
        <v>0.1873746955882353</v>
      </c>
      <c r="Z1313" s="16">
        <f t="shared" si="253"/>
        <v>1.1356042156862745</v>
      </c>
      <c r="AA1313" s="17">
        <f t="shared" si="254"/>
        <v>306000</v>
      </c>
      <c r="AB1313" s="10">
        <v>2048</v>
      </c>
      <c r="AC1313" s="18">
        <f t="shared" si="247"/>
        <v>383.7433765647059</v>
      </c>
      <c r="AD1313" s="12">
        <f t="shared" si="257"/>
        <v>94048</v>
      </c>
      <c r="AE1313" s="13">
        <f t="shared" si="255"/>
        <v>211952</v>
      </c>
    </row>
    <row r="1314" spans="1:31">
      <c r="A1314" s="6">
        <v>11</v>
      </c>
      <c r="B1314" s="6">
        <f t="shared" si="256"/>
        <v>22</v>
      </c>
      <c r="C1314" s="6" t="str">
        <f t="shared" si="248"/>
        <v>600188700BLEVER, WEB SENS, RETRACT ALL VERSIONS421599144956270000</v>
      </c>
      <c r="D1314" s="7" t="s">
        <v>329</v>
      </c>
      <c r="E1314" s="6" t="s">
        <v>60</v>
      </c>
      <c r="F1314" s="6"/>
      <c r="G1314" s="7" t="s">
        <v>20</v>
      </c>
      <c r="H1314" s="19"/>
      <c r="I1314" s="19"/>
      <c r="J1314" s="19"/>
      <c r="K1314" s="19"/>
      <c r="L1314" s="14">
        <v>4215991</v>
      </c>
      <c r="M1314" s="22">
        <v>44956</v>
      </c>
      <c r="N1314" s="19" t="s">
        <v>199</v>
      </c>
      <c r="O1314" s="19" t="s">
        <v>332</v>
      </c>
      <c r="P1314" s="15">
        <v>270000</v>
      </c>
      <c r="Q1314" s="15">
        <v>1513733.76</v>
      </c>
      <c r="R1314" s="15">
        <v>87082900</v>
      </c>
      <c r="S1314" s="15">
        <v>15</v>
      </c>
      <c r="T1314" s="19" t="s">
        <v>310</v>
      </c>
      <c r="U1314" s="19" t="s">
        <v>178</v>
      </c>
      <c r="V1314" s="16">
        <f t="shared" si="249"/>
        <v>227060.06399999998</v>
      </c>
      <c r="W1314" s="16">
        <f t="shared" si="250"/>
        <v>22706.006399999998</v>
      </c>
      <c r="X1314" s="16">
        <f t="shared" si="251"/>
        <v>249766.07039999997</v>
      </c>
      <c r="Y1314" s="16">
        <f t="shared" si="252"/>
        <v>0.92505951999999991</v>
      </c>
      <c r="Z1314" s="16">
        <f t="shared" si="253"/>
        <v>5.6064213333333335</v>
      </c>
      <c r="AA1314" s="17">
        <f t="shared" si="254"/>
        <v>270000</v>
      </c>
      <c r="AB1314" s="10">
        <v>2064</v>
      </c>
      <c r="AC1314" s="18">
        <f t="shared" si="247"/>
        <v>1909.3228492799999</v>
      </c>
      <c r="AD1314" s="12">
        <f t="shared" si="257"/>
        <v>86652</v>
      </c>
      <c r="AE1314" s="13">
        <f t="shared" si="255"/>
        <v>183348</v>
      </c>
    </row>
    <row r="1315" spans="1:31">
      <c r="A1315" s="6">
        <v>11</v>
      </c>
      <c r="B1315" s="6">
        <f t="shared" si="256"/>
        <v>23</v>
      </c>
      <c r="C1315" s="6" t="str">
        <f t="shared" si="248"/>
        <v>618472000BLEVER, CAR SENS, RETRACT ALL VERSIONS, NOISE REDU408531144933170000</v>
      </c>
      <c r="D1315" s="7" t="s">
        <v>329</v>
      </c>
      <c r="E1315" s="6" t="s">
        <v>69</v>
      </c>
      <c r="F1315" s="6"/>
      <c r="G1315" s="7" t="s">
        <v>29</v>
      </c>
      <c r="H1315" s="19"/>
      <c r="I1315" s="19"/>
      <c r="J1315" s="19"/>
      <c r="K1315" s="19"/>
      <c r="L1315" s="14">
        <v>4085311</v>
      </c>
      <c r="M1315" s="22">
        <v>44933</v>
      </c>
      <c r="N1315" s="19" t="s">
        <v>196</v>
      </c>
      <c r="O1315" s="19" t="s">
        <v>333</v>
      </c>
      <c r="P1315" s="15">
        <v>170000</v>
      </c>
      <c r="Q1315" s="15">
        <v>247799.42</v>
      </c>
      <c r="R1315" s="15">
        <v>87082900</v>
      </c>
      <c r="S1315" s="15">
        <v>15</v>
      </c>
      <c r="T1315" s="19" t="s">
        <v>316</v>
      </c>
      <c r="U1315" s="19" t="s">
        <v>178</v>
      </c>
      <c r="V1315" s="16">
        <f t="shared" si="249"/>
        <v>37169.913</v>
      </c>
      <c r="W1315" s="16">
        <f t="shared" si="250"/>
        <v>3716.9913000000001</v>
      </c>
      <c r="X1315" s="16">
        <f t="shared" si="251"/>
        <v>40886.904300000002</v>
      </c>
      <c r="Y1315" s="16">
        <f t="shared" si="252"/>
        <v>0.24051120176470589</v>
      </c>
      <c r="Z1315" s="16">
        <f t="shared" si="253"/>
        <v>1.4576436470588237</v>
      </c>
      <c r="AA1315" s="17">
        <f t="shared" si="254"/>
        <v>170000</v>
      </c>
      <c r="AB1315" s="10">
        <v>2064</v>
      </c>
      <c r="AC1315" s="18">
        <f t="shared" si="247"/>
        <v>496.41512044235293</v>
      </c>
      <c r="AD1315" s="12">
        <f t="shared" si="257"/>
        <v>86652</v>
      </c>
      <c r="AE1315" s="13">
        <f t="shared" si="255"/>
        <v>83348</v>
      </c>
    </row>
    <row r="1316" spans="1:31">
      <c r="A1316" s="6">
        <v>11</v>
      </c>
      <c r="B1316" s="6">
        <f t="shared" si="256"/>
        <v>24</v>
      </c>
      <c r="C1316" s="6" t="str">
        <f t="shared" si="248"/>
        <v>601472600ALATCH, RETRACTOR, R27, A ALL VERSIONS421598844951162000</v>
      </c>
      <c r="D1316" s="7" t="s">
        <v>329</v>
      </c>
      <c r="E1316" s="6" t="s">
        <v>63</v>
      </c>
      <c r="F1316" s="6"/>
      <c r="G1316" s="7" t="s">
        <v>23</v>
      </c>
      <c r="H1316" s="19"/>
      <c r="I1316" s="19"/>
      <c r="J1316" s="19"/>
      <c r="K1316" s="19"/>
      <c r="L1316" s="14">
        <v>4215988</v>
      </c>
      <c r="M1316" s="22">
        <v>44951</v>
      </c>
      <c r="N1316" s="19" t="s">
        <v>199</v>
      </c>
      <c r="O1316" s="19" t="s">
        <v>332</v>
      </c>
      <c r="P1316" s="15">
        <v>162000</v>
      </c>
      <c r="Q1316" s="15">
        <v>1167023.94</v>
      </c>
      <c r="R1316" s="15">
        <v>87082900</v>
      </c>
      <c r="S1316" s="15">
        <v>15</v>
      </c>
      <c r="T1316" s="19" t="s">
        <v>313</v>
      </c>
      <c r="U1316" s="19" t="s">
        <v>178</v>
      </c>
      <c r="V1316" s="16">
        <f t="shared" si="249"/>
        <v>175053.59099999999</v>
      </c>
      <c r="W1316" s="16">
        <f t="shared" si="250"/>
        <v>17505.359099999998</v>
      </c>
      <c r="X1316" s="16">
        <f t="shared" si="251"/>
        <v>192558.95009999999</v>
      </c>
      <c r="Y1316" s="16">
        <f t="shared" si="252"/>
        <v>1.1886354944444444</v>
      </c>
      <c r="Z1316" s="16">
        <f t="shared" si="253"/>
        <v>7.2038514814814816</v>
      </c>
      <c r="AA1316" s="17">
        <f t="shared" si="254"/>
        <v>162000</v>
      </c>
      <c r="AB1316" s="10">
        <v>2064</v>
      </c>
      <c r="AC1316" s="18">
        <f t="shared" si="247"/>
        <v>2453.3436605333331</v>
      </c>
      <c r="AD1316" s="12">
        <f t="shared" si="257"/>
        <v>86652</v>
      </c>
      <c r="AE1316" s="13">
        <f t="shared" si="255"/>
        <v>75348</v>
      </c>
    </row>
    <row r="1317" spans="1:31">
      <c r="A1317" s="6">
        <v>11</v>
      </c>
      <c r="B1317" s="6">
        <f t="shared" si="256"/>
        <v>25</v>
      </c>
      <c r="C1317" s="6" t="str">
        <f t="shared" si="248"/>
        <v>560762022ALATCH, BUCKLE, K12 ROADM K12A/AT, SILVER, LATCH W54569304493980000</v>
      </c>
      <c r="D1317" s="7" t="s">
        <v>329</v>
      </c>
      <c r="E1317" s="6" t="s">
        <v>74</v>
      </c>
      <c r="F1317" s="6"/>
      <c r="G1317" s="7" t="s">
        <v>34</v>
      </c>
      <c r="H1317" s="19"/>
      <c r="I1317" s="19"/>
      <c r="J1317" s="19"/>
      <c r="K1317" s="19"/>
      <c r="L1317" s="14">
        <v>5456930</v>
      </c>
      <c r="M1317" s="22">
        <v>44939</v>
      </c>
      <c r="N1317" s="19" t="s">
        <v>185</v>
      </c>
      <c r="O1317" s="19" t="s">
        <v>332</v>
      </c>
      <c r="P1317" s="15">
        <v>80000</v>
      </c>
      <c r="Q1317" s="15">
        <v>680240</v>
      </c>
      <c r="R1317" s="15">
        <v>87082900</v>
      </c>
      <c r="S1317" s="15">
        <v>15</v>
      </c>
      <c r="T1317" s="19" t="s">
        <v>320</v>
      </c>
      <c r="U1317" s="19" t="s">
        <v>178</v>
      </c>
      <c r="V1317" s="16">
        <f t="shared" si="249"/>
        <v>102036</v>
      </c>
      <c r="W1317" s="16">
        <f t="shared" si="250"/>
        <v>10203.6</v>
      </c>
      <c r="X1317" s="16">
        <f t="shared" si="251"/>
        <v>112239.6</v>
      </c>
      <c r="Y1317" s="16">
        <f t="shared" si="252"/>
        <v>1.402995</v>
      </c>
      <c r="Z1317" s="16">
        <f t="shared" si="253"/>
        <v>8.5030000000000001</v>
      </c>
      <c r="AA1317" s="17">
        <f t="shared" si="254"/>
        <v>80000</v>
      </c>
      <c r="AB1317" s="10">
        <v>2048</v>
      </c>
      <c r="AC1317" s="18">
        <f t="shared" si="247"/>
        <v>2873.33376</v>
      </c>
      <c r="AD1317" s="12">
        <f t="shared" si="257"/>
        <v>74976</v>
      </c>
      <c r="AE1317" s="13">
        <f t="shared" si="255"/>
        <v>5024</v>
      </c>
    </row>
    <row r="1318" spans="1:31">
      <c r="A1318" s="6">
        <v>11</v>
      </c>
      <c r="B1318" s="6">
        <f t="shared" si="256"/>
        <v>26</v>
      </c>
      <c r="C1318" s="6" t="str">
        <f t="shared" si="248"/>
        <v>630580800ALABEL, RAW MATERIAL, BLA K12 TPC BUCKLE5160585449362400000</v>
      </c>
      <c r="D1318" s="7" t="s">
        <v>329</v>
      </c>
      <c r="E1318" s="6" t="s">
        <v>71</v>
      </c>
      <c r="F1318" s="6"/>
      <c r="G1318" s="7" t="s">
        <v>31</v>
      </c>
      <c r="H1318" s="19"/>
      <c r="I1318" s="19"/>
      <c r="J1318" s="19"/>
      <c r="K1318" s="19"/>
      <c r="L1318" s="14">
        <v>5160585</v>
      </c>
      <c r="M1318" s="22">
        <v>44936</v>
      </c>
      <c r="N1318" s="19" t="s">
        <v>196</v>
      </c>
      <c r="O1318" s="19" t="s">
        <v>333</v>
      </c>
      <c r="P1318" s="15">
        <v>2400000</v>
      </c>
      <c r="Q1318" s="15">
        <v>86522.34</v>
      </c>
      <c r="R1318" s="15">
        <v>87082900</v>
      </c>
      <c r="S1318" s="15">
        <v>15</v>
      </c>
      <c r="T1318" s="19" t="s">
        <v>265</v>
      </c>
      <c r="U1318" s="19" t="s">
        <v>178</v>
      </c>
      <c r="V1318" s="16">
        <f t="shared" si="249"/>
        <v>12978.350999999999</v>
      </c>
      <c r="W1318" s="16">
        <f t="shared" si="250"/>
        <v>1297.8351</v>
      </c>
      <c r="X1318" s="16">
        <f t="shared" si="251"/>
        <v>14276.186099999999</v>
      </c>
      <c r="Y1318" s="16">
        <f t="shared" si="252"/>
        <v>5.9484108749999999E-3</v>
      </c>
      <c r="Z1318" s="16">
        <f t="shared" si="253"/>
        <v>3.6050974999999999E-2</v>
      </c>
      <c r="AA1318" s="17">
        <f t="shared" si="254"/>
        <v>2400000</v>
      </c>
      <c r="AB1318" s="10">
        <v>5136</v>
      </c>
      <c r="AC1318" s="18">
        <f t="shared" si="247"/>
        <v>30.551038253999998</v>
      </c>
      <c r="AD1318" s="12">
        <f t="shared" si="257"/>
        <v>548546</v>
      </c>
      <c r="AE1318" s="13">
        <f t="shared" si="255"/>
        <v>1851454</v>
      </c>
    </row>
    <row r="1319" spans="1:31">
      <c r="A1319" s="6">
        <v>11</v>
      </c>
      <c r="B1319" s="6">
        <f t="shared" si="256"/>
        <v>27</v>
      </c>
      <c r="C1319" s="6" t="str">
        <f t="shared" si="248"/>
        <v>632955901AINFLATORS, APP-4.6 39552714492417280</v>
      </c>
      <c r="D1319" s="7" t="s">
        <v>329</v>
      </c>
      <c r="E1319" s="6" t="s">
        <v>48</v>
      </c>
      <c r="F1319" s="6"/>
      <c r="G1319" s="7" t="s">
        <v>10</v>
      </c>
      <c r="H1319" s="19"/>
      <c r="I1319" s="19"/>
      <c r="J1319" s="19"/>
      <c r="K1319" s="19"/>
      <c r="L1319" s="14">
        <v>3955271</v>
      </c>
      <c r="M1319" s="22">
        <v>44924</v>
      </c>
      <c r="N1319" s="19" t="s">
        <v>199</v>
      </c>
      <c r="O1319" s="19" t="s">
        <v>333</v>
      </c>
      <c r="P1319" s="15">
        <v>17280</v>
      </c>
      <c r="Q1319" s="15">
        <v>6760871.4100000001</v>
      </c>
      <c r="R1319" s="15">
        <v>87089500</v>
      </c>
      <c r="S1319" s="15">
        <v>15</v>
      </c>
      <c r="T1319" s="19" t="s">
        <v>202</v>
      </c>
      <c r="U1319" s="19" t="s">
        <v>200</v>
      </c>
      <c r="V1319" s="16">
        <f t="shared" si="249"/>
        <v>1014130.7115</v>
      </c>
      <c r="W1319" s="16">
        <f t="shared" si="250"/>
        <v>101413.07115</v>
      </c>
      <c r="X1319" s="16">
        <f t="shared" si="251"/>
        <v>1115543.78265</v>
      </c>
      <c r="Y1319" s="16">
        <f t="shared" si="252"/>
        <v>64.556931866319445</v>
      </c>
      <c r="Z1319" s="16">
        <f t="shared" si="253"/>
        <v>391.25413252314814</v>
      </c>
      <c r="AA1319" s="17">
        <f t="shared" si="254"/>
        <v>17280</v>
      </c>
      <c r="AB1319" s="10">
        <v>3816</v>
      </c>
      <c r="AC1319" s="18">
        <f t="shared" si="247"/>
        <v>246349.25200187499</v>
      </c>
      <c r="AD1319" s="12">
        <f t="shared" si="257"/>
        <v>17028</v>
      </c>
      <c r="AE1319" s="13">
        <f t="shared" si="255"/>
        <v>252</v>
      </c>
    </row>
    <row r="1320" spans="1:31">
      <c r="A1320" s="6">
        <v>11</v>
      </c>
      <c r="B1320" s="6">
        <f t="shared" si="256"/>
        <v>28</v>
      </c>
      <c r="C1320" s="6" t="str">
        <f t="shared" si="248"/>
        <v>649421100AINFLATOR, ASP-5.1, P20, SRR, IMI, SERV, NO STUDS3855694449175184</v>
      </c>
      <c r="D1320" s="7" t="s">
        <v>329</v>
      </c>
      <c r="E1320" s="6" t="s">
        <v>469</v>
      </c>
      <c r="F1320" s="6"/>
      <c r="G1320" s="7" t="s">
        <v>16</v>
      </c>
      <c r="H1320" s="19"/>
      <c r="I1320" s="19"/>
      <c r="J1320" s="19"/>
      <c r="K1320" s="19"/>
      <c r="L1320" s="14">
        <v>3855694</v>
      </c>
      <c r="M1320" s="22">
        <v>44917</v>
      </c>
      <c r="N1320" s="19" t="s">
        <v>185</v>
      </c>
      <c r="O1320" s="19" t="s">
        <v>332</v>
      </c>
      <c r="P1320" s="15">
        <v>5184</v>
      </c>
      <c r="Q1320" s="15">
        <v>1007235.65</v>
      </c>
      <c r="R1320" s="15">
        <v>87089500</v>
      </c>
      <c r="S1320" s="15">
        <v>15</v>
      </c>
      <c r="T1320" s="19" t="s">
        <v>203</v>
      </c>
      <c r="U1320" s="19" t="s">
        <v>200</v>
      </c>
      <c r="V1320" s="16">
        <f t="shared" si="249"/>
        <v>151085.3475</v>
      </c>
      <c r="W1320" s="16">
        <f t="shared" si="250"/>
        <v>15108.534750000001</v>
      </c>
      <c r="X1320" s="16">
        <f t="shared" si="251"/>
        <v>166193.88225</v>
      </c>
      <c r="Y1320" s="16">
        <f t="shared" si="252"/>
        <v>32.059005063657409</v>
      </c>
      <c r="Z1320" s="16">
        <f t="shared" si="253"/>
        <v>194.29700038580248</v>
      </c>
      <c r="AA1320" s="17">
        <f t="shared" si="254"/>
        <v>5184</v>
      </c>
      <c r="AB1320" s="10">
        <v>1608</v>
      </c>
      <c r="AC1320" s="18">
        <f t="shared" si="247"/>
        <v>51550.880142361115</v>
      </c>
      <c r="AD1320" s="12">
        <f t="shared" si="257"/>
        <v>4288</v>
      </c>
      <c r="AE1320" s="13">
        <f t="shared" si="255"/>
        <v>896</v>
      </c>
    </row>
    <row r="1321" spans="1:31">
      <c r="A1321" s="6">
        <v>11</v>
      </c>
      <c r="B1321" s="6">
        <f t="shared" si="256"/>
        <v>29</v>
      </c>
      <c r="C1321" s="6" t="str">
        <f t="shared" si="248"/>
        <v>640294200AINFLATOR, ASP-2, GEN15,26887494537310368</v>
      </c>
      <c r="D1321" s="7" t="s">
        <v>329</v>
      </c>
      <c r="E1321" s="6" t="s">
        <v>470</v>
      </c>
      <c r="F1321" s="6"/>
      <c r="G1321" s="7" t="s">
        <v>238</v>
      </c>
      <c r="H1321" s="19"/>
      <c r="I1321" s="19"/>
      <c r="J1321" s="19"/>
      <c r="K1321" s="19"/>
      <c r="L1321" s="14">
        <v>2688749</v>
      </c>
      <c r="M1321" s="22">
        <v>45373</v>
      </c>
      <c r="N1321" s="19" t="s">
        <v>197</v>
      </c>
      <c r="O1321" s="19" t="s">
        <v>332</v>
      </c>
      <c r="P1321" s="15">
        <v>10368</v>
      </c>
      <c r="Q1321" s="15">
        <v>2672724.9</v>
      </c>
      <c r="R1321" s="15">
        <v>87089500</v>
      </c>
      <c r="S1321" s="15">
        <v>15</v>
      </c>
      <c r="T1321" s="19" t="s">
        <v>352</v>
      </c>
      <c r="U1321" s="19" t="s">
        <v>200</v>
      </c>
      <c r="V1321" s="16">
        <f t="shared" si="249"/>
        <v>400908.73499999999</v>
      </c>
      <c r="W1321" s="16">
        <f t="shared" si="250"/>
        <v>40090.873500000002</v>
      </c>
      <c r="X1321" s="16">
        <f t="shared" si="251"/>
        <v>440999.60849999997</v>
      </c>
      <c r="Y1321" s="16">
        <f t="shared" si="252"/>
        <v>42.534684461805554</v>
      </c>
      <c r="Z1321" s="16">
        <f t="shared" si="253"/>
        <v>257.78596643518517</v>
      </c>
      <c r="AA1321" s="17">
        <f t="shared" si="254"/>
        <v>10368</v>
      </c>
      <c r="AB1321" s="10">
        <v>1728</v>
      </c>
      <c r="AC1321" s="18">
        <f t="shared" si="247"/>
        <v>73499.93475</v>
      </c>
      <c r="AD1321" s="12">
        <f t="shared" si="257"/>
        <v>9792</v>
      </c>
      <c r="AE1321" s="13">
        <f t="shared" si="255"/>
        <v>576</v>
      </c>
    </row>
    <row r="1322" spans="1:31">
      <c r="A1322" s="6">
        <v>11</v>
      </c>
      <c r="B1322" s="6">
        <f t="shared" si="256"/>
        <v>30</v>
      </c>
      <c r="C1322" s="6" t="str">
        <f t="shared" si="248"/>
        <v>643302000AINFLATOR, ADP-1.3B, MP, MIB, SQUARE, NO STUD50570854500014688</v>
      </c>
      <c r="D1322" s="7" t="s">
        <v>329</v>
      </c>
      <c r="E1322" s="6" t="s">
        <v>46</v>
      </c>
      <c r="F1322" s="6"/>
      <c r="G1322" s="7" t="s">
        <v>8</v>
      </c>
      <c r="H1322" s="19"/>
      <c r="I1322" s="19"/>
      <c r="J1322" s="19"/>
      <c r="K1322" s="19"/>
      <c r="L1322" s="14">
        <v>5057085</v>
      </c>
      <c r="M1322" s="22">
        <v>45000</v>
      </c>
      <c r="N1322" s="19" t="s">
        <v>197</v>
      </c>
      <c r="O1322" s="19" t="s">
        <v>333</v>
      </c>
      <c r="P1322" s="15">
        <v>14688</v>
      </c>
      <c r="Q1322" s="15">
        <v>5384941.5700000003</v>
      </c>
      <c r="R1322" s="15">
        <v>87089500</v>
      </c>
      <c r="S1322" s="15">
        <v>15</v>
      </c>
      <c r="T1322" s="19" t="s">
        <v>202</v>
      </c>
      <c r="U1322" s="19" t="s">
        <v>200</v>
      </c>
      <c r="V1322" s="16">
        <f t="shared" si="249"/>
        <v>807741.23550000007</v>
      </c>
      <c r="W1322" s="16">
        <f t="shared" si="250"/>
        <v>80774.123550000018</v>
      </c>
      <c r="X1322" s="16">
        <f t="shared" si="251"/>
        <v>888515.35905000009</v>
      </c>
      <c r="Y1322" s="16">
        <f t="shared" si="252"/>
        <v>60.492603421160133</v>
      </c>
      <c r="Z1322" s="16">
        <f t="shared" si="253"/>
        <v>366.62183891612204</v>
      </c>
      <c r="AA1322" s="17">
        <f t="shared" si="254"/>
        <v>14688</v>
      </c>
      <c r="AB1322" s="10">
        <v>1008</v>
      </c>
      <c r="AC1322" s="18">
        <f t="shared" si="247"/>
        <v>60976.544248529412</v>
      </c>
      <c r="AD1322" s="12">
        <f t="shared" si="257"/>
        <v>14688</v>
      </c>
      <c r="AE1322" s="13">
        <f t="shared" si="255"/>
        <v>0</v>
      </c>
    </row>
    <row r="1323" spans="1:31">
      <c r="A1323" s="6">
        <v>11</v>
      </c>
      <c r="B1323" s="6">
        <f t="shared" si="256"/>
        <v>31</v>
      </c>
      <c r="C1323" s="6" t="str">
        <f t="shared" si="248"/>
        <v>655226900AINFLATOR APP-4.6, 325KPA 1.8MOL, STANDARD MIB SQU5812154450514320</v>
      </c>
      <c r="D1323" s="7" t="s">
        <v>329</v>
      </c>
      <c r="E1323" s="6" t="s">
        <v>130</v>
      </c>
      <c r="F1323" s="6"/>
      <c r="G1323" s="7" t="s">
        <v>102</v>
      </c>
      <c r="H1323" s="19"/>
      <c r="I1323" s="19"/>
      <c r="J1323" s="19"/>
      <c r="K1323" s="19"/>
      <c r="L1323" s="14">
        <v>5812154</v>
      </c>
      <c r="M1323" s="22">
        <v>45051</v>
      </c>
      <c r="N1323" s="19" t="s">
        <v>197</v>
      </c>
      <c r="O1323" s="19" t="s">
        <v>333</v>
      </c>
      <c r="P1323" s="15">
        <v>4320</v>
      </c>
      <c r="Q1323" s="15">
        <v>1895008.35</v>
      </c>
      <c r="R1323" s="15">
        <v>87089500</v>
      </c>
      <c r="S1323" s="15">
        <v>15</v>
      </c>
      <c r="T1323" s="19" t="s">
        <v>202</v>
      </c>
      <c r="U1323" s="19" t="s">
        <v>200</v>
      </c>
      <c r="V1323" s="16">
        <f t="shared" si="249"/>
        <v>284251.2525</v>
      </c>
      <c r="W1323" s="16">
        <f t="shared" si="250"/>
        <v>28425.125250000001</v>
      </c>
      <c r="X1323" s="16">
        <f t="shared" si="251"/>
        <v>312676.37774999999</v>
      </c>
      <c r="Y1323" s="16">
        <f t="shared" si="252"/>
        <v>72.378791145833333</v>
      </c>
      <c r="Z1323" s="16">
        <f t="shared" si="253"/>
        <v>438.6593402777778</v>
      </c>
      <c r="AA1323" s="17">
        <f t="shared" si="254"/>
        <v>4320</v>
      </c>
      <c r="AB1323" s="10">
        <v>1260</v>
      </c>
      <c r="AC1323" s="18">
        <f t="shared" si="247"/>
        <v>91197.276843750005</v>
      </c>
      <c r="AD1323" s="12">
        <f t="shared" si="257"/>
        <v>4320</v>
      </c>
      <c r="AE1323" s="13">
        <f t="shared" si="255"/>
        <v>0</v>
      </c>
    </row>
    <row r="1324" spans="1:31">
      <c r="A1324" s="6">
        <v>11</v>
      </c>
      <c r="B1324" s="6">
        <f t="shared" si="256"/>
        <v>32</v>
      </c>
      <c r="C1324" s="6" t="str">
        <f t="shared" si="248"/>
        <v>601487200CCOVER, RETRACTOR, R27, S SYSTEMKAPPE DELRIN 100T43274964495048000</v>
      </c>
      <c r="D1324" s="7" t="s">
        <v>329</v>
      </c>
      <c r="E1324" s="6" t="s">
        <v>64</v>
      </c>
      <c r="F1324" s="6"/>
      <c r="G1324" s="7" t="s">
        <v>24</v>
      </c>
      <c r="H1324" s="19"/>
      <c r="I1324" s="19"/>
      <c r="J1324" s="19"/>
      <c r="K1324" s="19"/>
      <c r="L1324" s="14">
        <v>4327496</v>
      </c>
      <c r="M1324" s="22">
        <v>44950</v>
      </c>
      <c r="N1324" s="19" t="s">
        <v>199</v>
      </c>
      <c r="O1324" s="19" t="s">
        <v>332</v>
      </c>
      <c r="P1324" s="15">
        <v>48000</v>
      </c>
      <c r="Q1324" s="15">
        <v>514349.16</v>
      </c>
      <c r="R1324" s="15">
        <v>87082900</v>
      </c>
      <c r="S1324" s="15">
        <v>15</v>
      </c>
      <c r="T1324" s="19" t="s">
        <v>307</v>
      </c>
      <c r="U1324" s="19" t="s">
        <v>178</v>
      </c>
      <c r="V1324" s="16">
        <f t="shared" si="249"/>
        <v>77152.373999999996</v>
      </c>
      <c r="W1324" s="16">
        <f t="shared" si="250"/>
        <v>7715.2374</v>
      </c>
      <c r="X1324" s="16">
        <f t="shared" si="251"/>
        <v>84867.611399999994</v>
      </c>
      <c r="Y1324" s="16">
        <f t="shared" si="252"/>
        <v>1.7680752375</v>
      </c>
      <c r="Z1324" s="16">
        <f t="shared" si="253"/>
        <v>10.715607499999999</v>
      </c>
      <c r="AA1324" s="17">
        <f t="shared" si="254"/>
        <v>48000</v>
      </c>
      <c r="AB1324" s="10">
        <v>2064</v>
      </c>
      <c r="AC1324" s="18">
        <f t="shared" si="247"/>
        <v>3649.3072901999999</v>
      </c>
      <c r="AD1324" s="12">
        <f t="shared" si="257"/>
        <v>47964</v>
      </c>
      <c r="AE1324" s="13">
        <f t="shared" si="255"/>
        <v>36</v>
      </c>
    </row>
    <row r="1325" spans="1:31">
      <c r="A1325" s="6">
        <v>11</v>
      </c>
      <c r="B1325" s="6">
        <f t="shared" si="256"/>
        <v>33</v>
      </c>
      <c r="C1325" s="6" t="str">
        <f t="shared" si="248"/>
        <v>560050622CCHANNEL, BUCKLE, K12 ROA K12A/AT, RIVET BUCKLE, S505596944994224000</v>
      </c>
      <c r="D1325" s="7" t="s">
        <v>329</v>
      </c>
      <c r="E1325" s="6" t="s">
        <v>72</v>
      </c>
      <c r="F1325" s="6"/>
      <c r="G1325" s="7" t="s">
        <v>32</v>
      </c>
      <c r="H1325" s="19"/>
      <c r="I1325" s="19"/>
      <c r="J1325" s="19"/>
      <c r="K1325" s="19"/>
      <c r="L1325" s="14">
        <v>5055969</v>
      </c>
      <c r="M1325" s="22">
        <v>44994</v>
      </c>
      <c r="N1325" s="19" t="s">
        <v>197</v>
      </c>
      <c r="O1325" s="19" t="s">
        <v>333</v>
      </c>
      <c r="P1325" s="15">
        <v>224000</v>
      </c>
      <c r="Q1325" s="15">
        <v>3980591.44</v>
      </c>
      <c r="R1325" s="15">
        <v>87082900</v>
      </c>
      <c r="S1325" s="15">
        <v>15</v>
      </c>
      <c r="T1325" s="19" t="s">
        <v>318</v>
      </c>
      <c r="U1325" s="19" t="s">
        <v>178</v>
      </c>
      <c r="V1325" s="16">
        <f t="shared" si="249"/>
        <v>597088.71600000001</v>
      </c>
      <c r="W1325" s="16">
        <f t="shared" si="250"/>
        <v>59708.871600000006</v>
      </c>
      <c r="X1325" s="16">
        <f t="shared" si="251"/>
        <v>656797.58759999997</v>
      </c>
      <c r="Y1325" s="16">
        <f t="shared" si="252"/>
        <v>2.9321320874999999</v>
      </c>
      <c r="Z1325" s="16">
        <f t="shared" si="253"/>
        <v>17.770497500000001</v>
      </c>
      <c r="AA1325" s="17">
        <f t="shared" si="254"/>
        <v>224000</v>
      </c>
      <c r="AB1325" s="10">
        <v>2048</v>
      </c>
      <c r="AC1325" s="18">
        <f t="shared" si="247"/>
        <v>6005.0065151999997</v>
      </c>
      <c r="AD1325" s="12">
        <f t="shared" si="257"/>
        <v>67232</v>
      </c>
      <c r="AE1325" s="13">
        <f t="shared" si="255"/>
        <v>156768</v>
      </c>
    </row>
    <row r="1326" spans="1:31">
      <c r="A1326" s="6">
        <v>11</v>
      </c>
      <c r="B1326" s="6">
        <f t="shared" si="256"/>
        <v>34</v>
      </c>
      <c r="C1326" s="6" t="str">
        <f t="shared" si="248"/>
        <v>601256700GBUSH, RETRACTOR, R27, AL ALL VERSIONS405080544944160000</v>
      </c>
      <c r="D1326" s="7" t="s">
        <v>329</v>
      </c>
      <c r="E1326" s="6" t="s">
        <v>62</v>
      </c>
      <c r="F1326" s="6"/>
      <c r="G1326" s="7" t="s">
        <v>22</v>
      </c>
      <c r="H1326" s="19"/>
      <c r="I1326" s="19"/>
      <c r="J1326" s="19"/>
      <c r="K1326" s="19"/>
      <c r="L1326" s="14">
        <v>4050805</v>
      </c>
      <c r="M1326" s="22">
        <v>44944</v>
      </c>
      <c r="N1326" s="19" t="s">
        <v>196</v>
      </c>
      <c r="O1326" s="19" t="s">
        <v>333</v>
      </c>
      <c r="P1326" s="15">
        <v>160000</v>
      </c>
      <c r="Q1326" s="15">
        <v>278597.26</v>
      </c>
      <c r="R1326" s="15">
        <v>87082900</v>
      </c>
      <c r="S1326" s="15">
        <v>15</v>
      </c>
      <c r="T1326" s="19" t="s">
        <v>312</v>
      </c>
      <c r="U1326" s="19" t="s">
        <v>178</v>
      </c>
      <c r="V1326" s="16">
        <f t="shared" si="249"/>
        <v>41789.589</v>
      </c>
      <c r="W1326" s="16">
        <f t="shared" si="250"/>
        <v>4178.9589000000005</v>
      </c>
      <c r="X1326" s="16">
        <f t="shared" si="251"/>
        <v>45968.547899999998</v>
      </c>
      <c r="Y1326" s="16">
        <f t="shared" si="252"/>
        <v>0.287303424375</v>
      </c>
      <c r="Z1326" s="16">
        <f t="shared" si="253"/>
        <v>1.7412328750000001</v>
      </c>
      <c r="AA1326" s="17">
        <f t="shared" si="254"/>
        <v>160000</v>
      </c>
      <c r="AB1326" s="10">
        <v>2064</v>
      </c>
      <c r="AC1326" s="18">
        <f t="shared" si="247"/>
        <v>592.99426790999996</v>
      </c>
      <c r="AD1326" s="12">
        <f t="shared" si="257"/>
        <v>86652</v>
      </c>
      <c r="AE1326" s="13">
        <f t="shared" si="255"/>
        <v>73348</v>
      </c>
    </row>
    <row r="1327" spans="1:31">
      <c r="A1327" s="6">
        <v>11</v>
      </c>
      <c r="B1327" s="6">
        <f t="shared" si="256"/>
        <v>35</v>
      </c>
      <c r="C1327" s="6" t="str">
        <f t="shared" si="248"/>
        <v>666041100AAB Cushion ICAB FI 2 Row C22875444534610000</v>
      </c>
      <c r="D1327" s="7" t="s">
        <v>329</v>
      </c>
      <c r="E1327" s="6" t="s">
        <v>476</v>
      </c>
      <c r="F1327" s="6"/>
      <c r="G1327" s="7" t="s">
        <v>246</v>
      </c>
      <c r="H1327" s="19"/>
      <c r="I1327" s="19"/>
      <c r="J1327" s="19"/>
      <c r="K1327" s="19"/>
      <c r="L1327" s="14">
        <v>2287544</v>
      </c>
      <c r="M1327" s="22">
        <v>45346</v>
      </c>
      <c r="N1327" s="19" t="s">
        <v>185</v>
      </c>
      <c r="O1327" s="19" t="s">
        <v>332</v>
      </c>
      <c r="P1327" s="15">
        <v>10000</v>
      </c>
      <c r="Q1327" s="15">
        <v>8462664.5199999996</v>
      </c>
      <c r="R1327" s="15">
        <v>87089500</v>
      </c>
      <c r="S1327" s="15">
        <v>5</v>
      </c>
      <c r="T1327" s="19" t="s">
        <v>350</v>
      </c>
      <c r="U1327" s="19" t="s">
        <v>178</v>
      </c>
      <c r="V1327" s="16">
        <f t="shared" si="249"/>
        <v>423133.22600000002</v>
      </c>
      <c r="W1327" s="16">
        <f t="shared" si="250"/>
        <v>42313.322600000007</v>
      </c>
      <c r="X1327" s="16">
        <f t="shared" si="251"/>
        <v>465446.54860000004</v>
      </c>
      <c r="Y1327" s="16">
        <f t="shared" si="252"/>
        <v>46.544654860000001</v>
      </c>
      <c r="Z1327" s="16">
        <f t="shared" si="253"/>
        <v>846.26645199999996</v>
      </c>
      <c r="AA1327" s="17">
        <f t="shared" si="254"/>
        <v>10000</v>
      </c>
      <c r="AB1327" s="10">
        <v>2496</v>
      </c>
      <c r="AC1327" s="18">
        <f t="shared" si="247"/>
        <v>116175.45853056</v>
      </c>
      <c r="AD1327" s="12">
        <f t="shared" si="257"/>
        <v>9680</v>
      </c>
      <c r="AE1327" s="13">
        <f t="shared" si="255"/>
        <v>320</v>
      </c>
    </row>
    <row r="1328" spans="1:31">
      <c r="A1328" s="6">
        <v>11</v>
      </c>
      <c r="B1328" s="6">
        <f t="shared" si="256"/>
        <v>36</v>
      </c>
      <c r="C1328" s="6" t="str">
        <f t="shared" si="248"/>
        <v>649421100AINFLATOR, ASP-5.1, P20, SRR, IMI, SERV, NO STUDS4866297449876912</v>
      </c>
      <c r="D1328" s="7" t="s">
        <v>329</v>
      </c>
      <c r="E1328" s="6" t="s">
        <v>469</v>
      </c>
      <c r="F1328" s="6"/>
      <c r="G1328" s="7" t="s">
        <v>16</v>
      </c>
      <c r="H1328" s="19"/>
      <c r="I1328" s="19"/>
      <c r="J1328" s="19"/>
      <c r="K1328" s="19"/>
      <c r="L1328" s="14">
        <v>4866297</v>
      </c>
      <c r="M1328" s="22">
        <v>44987</v>
      </c>
      <c r="N1328" s="19" t="s">
        <v>199</v>
      </c>
      <c r="O1328" s="19" t="s">
        <v>333</v>
      </c>
      <c r="P1328" s="15">
        <v>6912</v>
      </c>
      <c r="Q1328" s="15">
        <v>1468628.61</v>
      </c>
      <c r="R1328" s="15">
        <v>87089500</v>
      </c>
      <c r="S1328" s="15">
        <v>15</v>
      </c>
      <c r="T1328" s="19" t="s">
        <v>202</v>
      </c>
      <c r="U1328" s="19" t="s">
        <v>200</v>
      </c>
      <c r="V1328" s="16">
        <f t="shared" si="249"/>
        <v>220294.29150000002</v>
      </c>
      <c r="W1328" s="16">
        <f t="shared" si="250"/>
        <v>22029.429150000004</v>
      </c>
      <c r="X1328" s="16">
        <f t="shared" si="251"/>
        <v>242323.72065000003</v>
      </c>
      <c r="Y1328" s="16">
        <f t="shared" si="252"/>
        <v>35.058408658854169</v>
      </c>
      <c r="Z1328" s="16">
        <f t="shared" si="253"/>
        <v>212.47520399305557</v>
      </c>
      <c r="AA1328" s="17">
        <f t="shared" si="254"/>
        <v>6912</v>
      </c>
      <c r="AB1328" s="10">
        <v>120</v>
      </c>
      <c r="AC1328" s="18">
        <f t="shared" si="247"/>
        <v>4207.0090390625001</v>
      </c>
      <c r="AD1328" s="12">
        <f t="shared" si="257"/>
        <v>6912</v>
      </c>
      <c r="AE1328" s="13">
        <f t="shared" si="255"/>
        <v>0</v>
      </c>
    </row>
    <row r="1329" spans="1:31">
      <c r="A1329" s="6">
        <v>11</v>
      </c>
      <c r="B1329" s="6">
        <f t="shared" si="256"/>
        <v>37</v>
      </c>
      <c r="C1329" s="6" t="str">
        <f t="shared" si="248"/>
        <v>656334900FAB Cushion ICAB FI 2 Row C KSID, ASP5.1, BUTTON HOL2169560447991980</v>
      </c>
      <c r="D1329" s="7" t="s">
        <v>329</v>
      </c>
      <c r="E1329" s="6" t="s">
        <v>474</v>
      </c>
      <c r="F1329" s="6"/>
      <c r="G1329" s="19" t="s">
        <v>243</v>
      </c>
      <c r="H1329" s="19"/>
      <c r="I1329" s="19"/>
      <c r="J1329" s="19"/>
      <c r="K1329" s="19"/>
      <c r="L1329" s="14">
        <v>2169560</v>
      </c>
      <c r="M1329" s="22">
        <v>44799</v>
      </c>
      <c r="N1329" s="19" t="s">
        <v>185</v>
      </c>
      <c r="O1329" s="19" t="s">
        <v>332</v>
      </c>
      <c r="P1329" s="15">
        <v>1980</v>
      </c>
      <c r="Q1329" s="15">
        <v>1782469.32</v>
      </c>
      <c r="R1329" s="15">
        <v>87089500</v>
      </c>
      <c r="S1329" s="15">
        <v>5</v>
      </c>
      <c r="T1329" s="19" t="s">
        <v>300</v>
      </c>
      <c r="U1329" s="19" t="s">
        <v>200</v>
      </c>
      <c r="V1329" s="16">
        <f t="shared" si="249"/>
        <v>89123.466000000015</v>
      </c>
      <c r="W1329" s="16">
        <f t="shared" si="250"/>
        <v>8912.3466000000026</v>
      </c>
      <c r="X1329" s="16">
        <f t="shared" si="251"/>
        <v>98035.812600000019</v>
      </c>
      <c r="Y1329" s="16">
        <f t="shared" si="252"/>
        <v>49.513036666666679</v>
      </c>
      <c r="Z1329" s="16">
        <f t="shared" si="253"/>
        <v>900.23703030303034</v>
      </c>
      <c r="AA1329" s="17">
        <f t="shared" si="254"/>
        <v>1980</v>
      </c>
      <c r="AB1329" s="10">
        <v>768</v>
      </c>
      <c r="AC1329" s="18">
        <f t="shared" si="247"/>
        <v>38026.012160000013</v>
      </c>
      <c r="AD1329" s="12">
        <f t="shared" si="257"/>
        <v>1849</v>
      </c>
      <c r="AE1329" s="13">
        <f t="shared" si="255"/>
        <v>131</v>
      </c>
    </row>
    <row r="1330" spans="1:31">
      <c r="A1330" s="6">
        <v>11</v>
      </c>
      <c r="B1330" s="6">
        <f t="shared" si="256"/>
        <v>38</v>
      </c>
      <c r="C1330" s="6" t="str">
        <f t="shared" si="248"/>
        <v>666041200ACushion ICAB FI 2 Row C3571680454325000</v>
      </c>
      <c r="D1330" s="7" t="s">
        <v>329</v>
      </c>
      <c r="E1330" s="6" t="s">
        <v>472</v>
      </c>
      <c r="F1330" s="6"/>
      <c r="G1330" s="7" t="s">
        <v>237</v>
      </c>
      <c r="H1330" s="19"/>
      <c r="I1330" s="19"/>
      <c r="J1330" s="19"/>
      <c r="K1330" s="19"/>
      <c r="L1330" s="14">
        <v>3571680</v>
      </c>
      <c r="M1330" s="22">
        <v>45432</v>
      </c>
      <c r="N1330" s="19" t="s">
        <v>185</v>
      </c>
      <c r="O1330" s="19" t="s">
        <v>332</v>
      </c>
      <c r="P1330" s="15">
        <v>5000</v>
      </c>
      <c r="Q1330" s="15">
        <v>4260260</v>
      </c>
      <c r="R1330" s="15">
        <v>87089500</v>
      </c>
      <c r="S1330" s="15">
        <v>5</v>
      </c>
      <c r="T1330" s="19" t="s">
        <v>350</v>
      </c>
      <c r="U1330" s="19" t="s">
        <v>178</v>
      </c>
      <c r="V1330" s="16">
        <f t="shared" si="249"/>
        <v>213013</v>
      </c>
      <c r="W1330" s="16">
        <f t="shared" si="250"/>
        <v>21301.300000000003</v>
      </c>
      <c r="X1330" s="16">
        <f t="shared" si="251"/>
        <v>234314.3</v>
      </c>
      <c r="Y1330" s="16">
        <f t="shared" si="252"/>
        <v>46.862859999999998</v>
      </c>
      <c r="Z1330" s="16">
        <f t="shared" si="253"/>
        <v>852.05200000000002</v>
      </c>
      <c r="AA1330" s="17">
        <f t="shared" si="254"/>
        <v>5000</v>
      </c>
      <c r="AB1330" s="10">
        <v>2112</v>
      </c>
      <c r="AC1330" s="18">
        <f t="shared" si="247"/>
        <v>98974.360319999992</v>
      </c>
      <c r="AD1330" s="12">
        <f t="shared" si="257"/>
        <v>4712</v>
      </c>
      <c r="AE1330" s="13">
        <f t="shared" si="255"/>
        <v>288</v>
      </c>
    </row>
    <row r="1331" spans="1:31">
      <c r="A1331" s="6">
        <v>11</v>
      </c>
      <c r="B1331" s="6">
        <f t="shared" si="256"/>
        <v>39</v>
      </c>
      <c r="C1331" s="6" t="str">
        <f t="shared" si="248"/>
        <v>656334800FCushion ICAB FI 2 Row C KSID, ASP5.1, BUTTON HOL346769045426660</v>
      </c>
      <c r="D1331" s="7" t="s">
        <v>329</v>
      </c>
      <c r="E1331" s="6" t="s">
        <v>131</v>
      </c>
      <c r="F1331" s="6"/>
      <c r="G1331" s="19" t="s">
        <v>104</v>
      </c>
      <c r="H1331" s="19"/>
      <c r="I1331" s="19"/>
      <c r="J1331" s="19"/>
      <c r="K1331" s="19"/>
      <c r="L1331" s="14">
        <v>3467690</v>
      </c>
      <c r="M1331" s="22">
        <v>45426</v>
      </c>
      <c r="N1331" s="19" t="s">
        <v>197</v>
      </c>
      <c r="O1331" s="19" t="s">
        <v>333</v>
      </c>
      <c r="P1331" s="15">
        <v>660</v>
      </c>
      <c r="Q1331" s="15">
        <v>428626.3</v>
      </c>
      <c r="R1331" s="15">
        <v>87089900</v>
      </c>
      <c r="S1331" s="15">
        <v>5</v>
      </c>
      <c r="T1331" s="19" t="s">
        <v>355</v>
      </c>
      <c r="U1331" s="19" t="s">
        <v>200</v>
      </c>
      <c r="V1331" s="16">
        <f t="shared" si="249"/>
        <v>21431.315000000002</v>
      </c>
      <c r="W1331" s="16">
        <f t="shared" si="250"/>
        <v>2143.1315000000004</v>
      </c>
      <c r="X1331" s="16">
        <f t="shared" si="251"/>
        <v>23574.446500000002</v>
      </c>
      <c r="Y1331" s="16">
        <f t="shared" si="252"/>
        <v>35.718858333333337</v>
      </c>
      <c r="Z1331" s="16">
        <f t="shared" si="253"/>
        <v>649.43378787878783</v>
      </c>
      <c r="AA1331" s="17">
        <f t="shared" si="254"/>
        <v>660</v>
      </c>
      <c r="AB1331" s="10">
        <v>552</v>
      </c>
      <c r="AC1331" s="18">
        <f t="shared" si="247"/>
        <v>19716.809800000003</v>
      </c>
      <c r="AD1331" s="12">
        <f t="shared" ref="AD1331:AD1362" si="258">SUMIF($C$2:$C$2284,C1331,$AB$2:$AB$2284)</f>
        <v>636</v>
      </c>
      <c r="AE1331" s="13">
        <f t="shared" si="255"/>
        <v>24</v>
      </c>
    </row>
    <row r="1332" spans="1:31">
      <c r="A1332" s="6">
        <v>11</v>
      </c>
      <c r="B1332" s="6">
        <f t="shared" si="256"/>
        <v>40</v>
      </c>
      <c r="C1332" s="6" t="str">
        <f t="shared" si="248"/>
        <v>656334800FCushion ICAB FI 2 Row C KSID, ASP5.1, BUTTON HOL3599531449001260</v>
      </c>
      <c r="D1332" s="7" t="s">
        <v>329</v>
      </c>
      <c r="E1332" s="6" t="s">
        <v>131</v>
      </c>
      <c r="F1332" s="6"/>
      <c r="G1332" s="19" t="s">
        <v>104</v>
      </c>
      <c r="H1332" s="19"/>
      <c r="I1332" s="19"/>
      <c r="J1332" s="19"/>
      <c r="K1332" s="19"/>
      <c r="L1332" s="14">
        <v>3599531</v>
      </c>
      <c r="M1332" s="22">
        <v>44900</v>
      </c>
      <c r="N1332" s="19" t="s">
        <v>199</v>
      </c>
      <c r="O1332" s="19" t="s">
        <v>333</v>
      </c>
      <c r="P1332" s="15">
        <v>1260</v>
      </c>
      <c r="Q1332" s="15">
        <v>1123391.49</v>
      </c>
      <c r="R1332" s="15">
        <v>87089500</v>
      </c>
      <c r="S1332" s="15">
        <v>5</v>
      </c>
      <c r="T1332" s="19" t="s">
        <v>206</v>
      </c>
      <c r="U1332" s="19" t="s">
        <v>200</v>
      </c>
      <c r="V1332" s="16">
        <f t="shared" si="249"/>
        <v>56169.574500000002</v>
      </c>
      <c r="W1332" s="16">
        <f t="shared" si="250"/>
        <v>5616.9574500000008</v>
      </c>
      <c r="X1332" s="16">
        <f t="shared" si="251"/>
        <v>61786.531950000004</v>
      </c>
      <c r="Y1332" s="16">
        <f t="shared" si="252"/>
        <v>49.036930119047625</v>
      </c>
      <c r="Z1332" s="16">
        <f t="shared" si="253"/>
        <v>891.58054761904759</v>
      </c>
      <c r="AA1332" s="17">
        <f t="shared" si="254"/>
        <v>1260</v>
      </c>
      <c r="AB1332" s="10">
        <v>408</v>
      </c>
      <c r="AC1332" s="18">
        <f t="shared" si="247"/>
        <v>20007.067488571432</v>
      </c>
      <c r="AD1332" s="12">
        <f t="shared" si="258"/>
        <v>1260</v>
      </c>
      <c r="AE1332" s="13">
        <f t="shared" si="255"/>
        <v>0</v>
      </c>
    </row>
    <row r="1333" spans="1:31">
      <c r="A1333" s="6">
        <v>11</v>
      </c>
      <c r="B1333" s="6">
        <f t="shared" si="256"/>
        <v>41</v>
      </c>
      <c r="C1333" s="6" t="str">
        <f t="shared" si="248"/>
        <v>6242999AABFELT, OTHER OTHER3185719454067200</v>
      </c>
      <c r="D1333" s="7" t="s">
        <v>329</v>
      </c>
      <c r="E1333" s="6" t="s">
        <v>127</v>
      </c>
      <c r="F1333" s="6"/>
      <c r="G1333" s="19" t="s">
        <v>105</v>
      </c>
      <c r="H1333" s="19"/>
      <c r="I1333" s="19"/>
      <c r="J1333" s="19"/>
      <c r="K1333" s="19"/>
      <c r="L1333" s="14">
        <v>3185719</v>
      </c>
      <c r="M1333" s="22">
        <v>45406</v>
      </c>
      <c r="N1333" s="19" t="s">
        <v>196</v>
      </c>
      <c r="O1333" s="19" t="s">
        <v>332</v>
      </c>
      <c r="P1333" s="15">
        <v>7200</v>
      </c>
      <c r="Q1333" s="15">
        <v>95405.8</v>
      </c>
      <c r="R1333" s="15">
        <v>87082900</v>
      </c>
      <c r="S1333" s="15">
        <v>15</v>
      </c>
      <c r="T1333" s="19" t="s">
        <v>354</v>
      </c>
      <c r="U1333" s="19" t="s">
        <v>178</v>
      </c>
      <c r="V1333" s="16">
        <f t="shared" si="249"/>
        <v>14310.87</v>
      </c>
      <c r="W1333" s="16">
        <f t="shared" si="250"/>
        <v>1431.0870000000002</v>
      </c>
      <c r="X1333" s="16">
        <f t="shared" si="251"/>
        <v>15741.957</v>
      </c>
      <c r="Y1333" s="16">
        <f t="shared" si="252"/>
        <v>2.1863829166666666</v>
      </c>
      <c r="Z1333" s="16">
        <f t="shared" si="253"/>
        <v>13.250805555555557</v>
      </c>
      <c r="AA1333" s="17">
        <f t="shared" si="254"/>
        <v>7200</v>
      </c>
      <c r="AB1333" s="10">
        <v>706.56000000000006</v>
      </c>
      <c r="AC1333" s="18">
        <f t="shared" si="247"/>
        <v>1544.8107136000001</v>
      </c>
      <c r="AD1333" s="12">
        <f t="shared" si="258"/>
        <v>3836.12</v>
      </c>
      <c r="AE1333" s="13">
        <f t="shared" si="255"/>
        <v>3363.88</v>
      </c>
    </row>
    <row r="1334" spans="1:31">
      <c r="A1334" s="6">
        <v>11</v>
      </c>
      <c r="B1334" s="6">
        <f t="shared" si="256"/>
        <v>42</v>
      </c>
      <c r="C1334" s="6" t="str">
        <f t="shared" si="248"/>
        <v>643302000AINFLATOR, ADP-1.3B, MP, MIB, SQUARE, NO STUD48666694498725920</v>
      </c>
      <c r="D1334" s="7" t="s">
        <v>329</v>
      </c>
      <c r="E1334" s="6" t="s">
        <v>46</v>
      </c>
      <c r="F1334" s="6"/>
      <c r="G1334" s="7" t="s">
        <v>8</v>
      </c>
      <c r="H1334" s="19"/>
      <c r="I1334" s="19"/>
      <c r="J1334" s="19"/>
      <c r="K1334" s="19"/>
      <c r="L1334" s="14">
        <v>4866669</v>
      </c>
      <c r="M1334" s="22">
        <v>44987</v>
      </c>
      <c r="N1334" s="19" t="s">
        <v>199</v>
      </c>
      <c r="O1334" s="19" t="s">
        <v>333</v>
      </c>
      <c r="P1334" s="15">
        <v>25920</v>
      </c>
      <c r="Q1334" s="15">
        <v>9541861.9800000004</v>
      </c>
      <c r="R1334" s="15">
        <v>87089500</v>
      </c>
      <c r="S1334" s="15">
        <v>15</v>
      </c>
      <c r="T1334" s="19" t="s">
        <v>202</v>
      </c>
      <c r="U1334" s="19" t="s">
        <v>200</v>
      </c>
      <c r="V1334" s="16">
        <f t="shared" si="249"/>
        <v>1431279.297</v>
      </c>
      <c r="W1334" s="16">
        <f t="shared" si="250"/>
        <v>143127.92970000001</v>
      </c>
      <c r="X1334" s="16">
        <f t="shared" si="251"/>
        <v>1574407.2267</v>
      </c>
      <c r="Y1334" s="16">
        <f t="shared" si="252"/>
        <v>60.741019548611114</v>
      </c>
      <c r="Z1334" s="16">
        <f t="shared" si="253"/>
        <v>368.12739120370372</v>
      </c>
      <c r="AA1334" s="17">
        <f t="shared" si="254"/>
        <v>25920</v>
      </c>
      <c r="AB1334" s="10">
        <v>3924</v>
      </c>
      <c r="AC1334" s="18">
        <f t="shared" si="247"/>
        <v>238347.76070875002</v>
      </c>
      <c r="AD1334" s="12">
        <f t="shared" si="258"/>
        <v>25920</v>
      </c>
      <c r="AE1334" s="13">
        <f t="shared" si="255"/>
        <v>0</v>
      </c>
    </row>
    <row r="1335" spans="1:31">
      <c r="A1335" s="6">
        <v>11</v>
      </c>
      <c r="B1335" s="6">
        <f t="shared" si="256"/>
        <v>43</v>
      </c>
      <c r="C1335" s="6" t="str">
        <f t="shared" si="248"/>
        <v>655116100ALABEL, BLANK, 50.0, 25.0  LABEL, BLANK, 2PCS, 50X89218744525418000</v>
      </c>
      <c r="D1335" s="7" t="s">
        <v>329</v>
      </c>
      <c r="E1335" s="6" t="s">
        <v>49</v>
      </c>
      <c r="F1335" s="6"/>
      <c r="G1335" s="7" t="s">
        <v>11</v>
      </c>
      <c r="H1335" s="19"/>
      <c r="I1335" s="19"/>
      <c r="J1335" s="19"/>
      <c r="K1335" s="19"/>
      <c r="L1335" s="14">
        <v>8921874</v>
      </c>
      <c r="M1335" s="22">
        <v>45254</v>
      </c>
      <c r="N1335" s="19" t="s">
        <v>196</v>
      </c>
      <c r="O1335" s="19" t="s">
        <v>333</v>
      </c>
      <c r="P1335" s="15">
        <v>18000</v>
      </c>
      <c r="Q1335" s="15">
        <v>57477.95</v>
      </c>
      <c r="R1335" s="15">
        <v>87089500</v>
      </c>
      <c r="S1335" s="15">
        <v>15</v>
      </c>
      <c r="T1335" s="19" t="s">
        <v>303</v>
      </c>
      <c r="U1335" s="19" t="s">
        <v>178</v>
      </c>
      <c r="V1335" s="16">
        <f t="shared" si="249"/>
        <v>8621.6924999999992</v>
      </c>
      <c r="W1335" s="16">
        <f t="shared" si="250"/>
        <v>862.16924999999992</v>
      </c>
      <c r="X1335" s="16">
        <f t="shared" si="251"/>
        <v>9483.86175</v>
      </c>
      <c r="Y1335" s="16">
        <f t="shared" si="252"/>
        <v>0.5268812083333333</v>
      </c>
      <c r="Z1335" s="16">
        <f t="shared" si="253"/>
        <v>3.1932194444444444</v>
      </c>
      <c r="AA1335" s="17">
        <f t="shared" si="254"/>
        <v>18000</v>
      </c>
      <c r="AB1335" s="10">
        <v>5076</v>
      </c>
      <c r="AC1335" s="18">
        <f t="shared" ref="AC1335:AC1398" si="259">AB1335*Y1335</f>
        <v>2674.4490134999996</v>
      </c>
      <c r="AD1335" s="12">
        <f t="shared" si="258"/>
        <v>17139</v>
      </c>
      <c r="AE1335" s="13">
        <f t="shared" si="255"/>
        <v>861</v>
      </c>
    </row>
    <row r="1336" spans="1:31">
      <c r="A1336" s="6">
        <v>11</v>
      </c>
      <c r="B1336" s="6">
        <f t="shared" si="256"/>
        <v>44</v>
      </c>
      <c r="C1336" s="6" t="str">
        <f t="shared" si="248"/>
        <v>616531900ARING, CRIMP, CLAMP, BAND23159074534830000</v>
      </c>
      <c r="D1336" s="7" t="s">
        <v>329</v>
      </c>
      <c r="E1336" s="6" t="s">
        <v>52</v>
      </c>
      <c r="F1336" s="6"/>
      <c r="G1336" s="7" t="s">
        <v>410</v>
      </c>
      <c r="H1336" s="19"/>
      <c r="I1336" s="19"/>
      <c r="J1336" s="19"/>
      <c r="K1336" s="19"/>
      <c r="L1336" s="14">
        <v>2315907</v>
      </c>
      <c r="M1336" s="22">
        <v>45348</v>
      </c>
      <c r="N1336" s="19" t="s">
        <v>190</v>
      </c>
      <c r="O1336" s="19" t="s">
        <v>333</v>
      </c>
      <c r="P1336" s="15">
        <v>30000</v>
      </c>
      <c r="Q1336" s="15">
        <v>507892.96</v>
      </c>
      <c r="R1336" s="15">
        <v>87089500</v>
      </c>
      <c r="S1336" s="15">
        <v>15</v>
      </c>
      <c r="T1336" s="19" t="s">
        <v>353</v>
      </c>
      <c r="U1336" s="19" t="s">
        <v>178</v>
      </c>
      <c r="V1336" s="16">
        <f t="shared" si="249"/>
        <v>76183.944000000003</v>
      </c>
      <c r="W1336" s="16">
        <f t="shared" si="250"/>
        <v>7618.394400000001</v>
      </c>
      <c r="X1336" s="16">
        <f t="shared" si="251"/>
        <v>83802.338400000008</v>
      </c>
      <c r="Y1336" s="16">
        <f t="shared" si="252"/>
        <v>2.7934112800000004</v>
      </c>
      <c r="Z1336" s="16">
        <f t="shared" si="253"/>
        <v>16.929765333333336</v>
      </c>
      <c r="AA1336" s="17">
        <f t="shared" si="254"/>
        <v>30000</v>
      </c>
      <c r="AB1336" s="10">
        <v>3920</v>
      </c>
      <c r="AC1336" s="18">
        <f t="shared" si="259"/>
        <v>10950.172217600002</v>
      </c>
      <c r="AD1336" s="12">
        <f t="shared" si="258"/>
        <v>27442</v>
      </c>
      <c r="AE1336" s="13">
        <f t="shared" si="255"/>
        <v>2558</v>
      </c>
    </row>
    <row r="1337" spans="1:31">
      <c r="A1337" s="6">
        <v>11</v>
      </c>
      <c r="B1337" s="6">
        <f t="shared" si="256"/>
        <v>45</v>
      </c>
      <c r="C1337" s="6" t="str">
        <f t="shared" si="248"/>
        <v>616531900ARING, CRIMP, CLAMP, BAND466647844973100000</v>
      </c>
      <c r="D1337" s="7" t="s">
        <v>329</v>
      </c>
      <c r="E1337" s="6" t="s">
        <v>52</v>
      </c>
      <c r="F1337" s="6"/>
      <c r="G1337" s="7" t="s">
        <v>410</v>
      </c>
      <c r="H1337" s="19"/>
      <c r="I1337" s="19"/>
      <c r="J1337" s="19"/>
      <c r="K1337" s="19"/>
      <c r="L1337" s="14">
        <v>4666478</v>
      </c>
      <c r="M1337" s="22">
        <v>44973</v>
      </c>
      <c r="N1337" s="19" t="s">
        <v>199</v>
      </c>
      <c r="O1337" s="19" t="s">
        <v>333</v>
      </c>
      <c r="P1337" s="15">
        <v>100000</v>
      </c>
      <c r="Q1337" s="15">
        <v>1733493.63</v>
      </c>
      <c r="R1337" s="15">
        <v>87089500</v>
      </c>
      <c r="S1337" s="15">
        <v>15</v>
      </c>
      <c r="T1337" s="19" t="s">
        <v>305</v>
      </c>
      <c r="U1337" s="19" t="s">
        <v>178</v>
      </c>
      <c r="V1337" s="16">
        <f t="shared" si="249"/>
        <v>260024.04449999996</v>
      </c>
      <c r="W1337" s="16">
        <f t="shared" si="250"/>
        <v>26002.404449999998</v>
      </c>
      <c r="X1337" s="16">
        <f t="shared" si="251"/>
        <v>286026.44894999993</v>
      </c>
      <c r="Y1337" s="16">
        <f t="shared" si="252"/>
        <v>2.8602644894999991</v>
      </c>
      <c r="Z1337" s="16">
        <f t="shared" si="253"/>
        <v>17.334936299999999</v>
      </c>
      <c r="AA1337" s="17">
        <f t="shared" si="254"/>
        <v>100000</v>
      </c>
      <c r="AB1337" s="10">
        <v>8752</v>
      </c>
      <c r="AC1337" s="18">
        <f t="shared" si="259"/>
        <v>25033.034812103993</v>
      </c>
      <c r="AD1337" s="12">
        <f t="shared" si="258"/>
        <v>100000</v>
      </c>
      <c r="AE1337" s="13">
        <f t="shared" si="255"/>
        <v>0</v>
      </c>
    </row>
    <row r="1338" spans="1:31">
      <c r="A1338" s="6">
        <v>11</v>
      </c>
      <c r="B1338" s="6">
        <f t="shared" si="256"/>
        <v>46</v>
      </c>
      <c r="C1338" s="6" t="str">
        <f t="shared" si="248"/>
        <v>PC47516-3810SNAP-IN-FASTENER, PUSH P PUSH PIN, BLACK98316324531614000</v>
      </c>
      <c r="D1338" s="7" t="s">
        <v>329</v>
      </c>
      <c r="E1338" s="6" t="s">
        <v>54</v>
      </c>
      <c r="F1338" s="6"/>
      <c r="G1338" s="7" t="s">
        <v>14</v>
      </c>
      <c r="H1338" s="19"/>
      <c r="I1338" s="19"/>
      <c r="J1338" s="19"/>
      <c r="K1338" s="19"/>
      <c r="L1338" s="14">
        <v>9831632</v>
      </c>
      <c r="M1338" s="22">
        <v>45316</v>
      </c>
      <c r="N1338" s="19" t="s">
        <v>196</v>
      </c>
      <c r="O1338" s="19" t="s">
        <v>333</v>
      </c>
      <c r="P1338" s="15">
        <v>14000</v>
      </c>
      <c r="Q1338" s="15">
        <v>16391.05</v>
      </c>
      <c r="R1338" s="15">
        <v>87089500</v>
      </c>
      <c r="S1338" s="15">
        <v>15</v>
      </c>
      <c r="T1338" s="19" t="s">
        <v>306</v>
      </c>
      <c r="U1338" s="19" t="s">
        <v>178</v>
      </c>
      <c r="V1338" s="16">
        <f t="shared" si="249"/>
        <v>2458.6574999999998</v>
      </c>
      <c r="W1338" s="16">
        <f t="shared" si="250"/>
        <v>245.86574999999999</v>
      </c>
      <c r="X1338" s="16">
        <f t="shared" si="251"/>
        <v>2704.5232499999997</v>
      </c>
      <c r="Y1338" s="16">
        <f t="shared" si="252"/>
        <v>0.19318023214285712</v>
      </c>
      <c r="Z1338" s="16">
        <f t="shared" si="253"/>
        <v>1.1707892857142856</v>
      </c>
      <c r="AA1338" s="17">
        <f t="shared" si="254"/>
        <v>14000</v>
      </c>
      <c r="AB1338" s="10">
        <v>4608</v>
      </c>
      <c r="AC1338" s="18">
        <f t="shared" si="259"/>
        <v>890.17450971428559</v>
      </c>
      <c r="AD1338" s="12">
        <f t="shared" si="258"/>
        <v>12672</v>
      </c>
      <c r="AE1338" s="13">
        <f t="shared" si="255"/>
        <v>1328</v>
      </c>
    </row>
    <row r="1339" spans="1:31">
      <c r="A1339" s="6">
        <v>11</v>
      </c>
      <c r="B1339" s="6">
        <f t="shared" si="256"/>
        <v>47</v>
      </c>
      <c r="C1339" s="6" t="str">
        <f t="shared" si="248"/>
        <v>640294000AAB INFLATOR, ASP-2, GEN15,26887494537310368</v>
      </c>
      <c r="D1339" s="7" t="s">
        <v>329</v>
      </c>
      <c r="E1339" s="6" t="s">
        <v>475</v>
      </c>
      <c r="F1339" s="6"/>
      <c r="G1339" s="7" t="s">
        <v>244</v>
      </c>
      <c r="H1339" s="19"/>
      <c r="I1339" s="19"/>
      <c r="J1339" s="19"/>
      <c r="K1339" s="19"/>
      <c r="L1339" s="14">
        <v>2688749</v>
      </c>
      <c r="M1339" s="22">
        <v>45373</v>
      </c>
      <c r="N1339" s="19" t="s">
        <v>197</v>
      </c>
      <c r="O1339" s="19" t="s">
        <v>332</v>
      </c>
      <c r="P1339" s="15">
        <v>10368</v>
      </c>
      <c r="Q1339" s="15">
        <v>2672724.9</v>
      </c>
      <c r="R1339" s="15">
        <v>87089500</v>
      </c>
      <c r="S1339" s="15">
        <v>15</v>
      </c>
      <c r="T1339" s="19" t="s">
        <v>352</v>
      </c>
      <c r="U1339" s="19" t="s">
        <v>200</v>
      </c>
      <c r="V1339" s="16">
        <f t="shared" si="249"/>
        <v>400908.73499999999</v>
      </c>
      <c r="W1339" s="16">
        <f t="shared" si="250"/>
        <v>40090.873500000002</v>
      </c>
      <c r="X1339" s="16">
        <f t="shared" si="251"/>
        <v>440999.60849999997</v>
      </c>
      <c r="Y1339" s="16">
        <f t="shared" si="252"/>
        <v>42.534684461805554</v>
      </c>
      <c r="Z1339" s="16">
        <f t="shared" si="253"/>
        <v>257.78596643518517</v>
      </c>
      <c r="AA1339" s="17">
        <f t="shared" si="254"/>
        <v>10368</v>
      </c>
      <c r="AB1339" s="10">
        <v>1152</v>
      </c>
      <c r="AC1339" s="18">
        <f t="shared" si="259"/>
        <v>48999.9565</v>
      </c>
      <c r="AD1339" s="12">
        <f t="shared" si="258"/>
        <v>9504</v>
      </c>
      <c r="AE1339" s="13">
        <f t="shared" si="255"/>
        <v>864</v>
      </c>
    </row>
    <row r="1340" spans="1:31">
      <c r="A1340" s="6">
        <v>11</v>
      </c>
      <c r="B1340" s="6">
        <f t="shared" si="256"/>
        <v>48</v>
      </c>
      <c r="C1340" s="6" t="str">
        <f t="shared" si="248"/>
        <v>618470500EBEARING, CAR SENS, RETRA All Versions, Noise redu408531144933170000</v>
      </c>
      <c r="D1340" s="7" t="s">
        <v>329</v>
      </c>
      <c r="E1340" s="6" t="s">
        <v>68</v>
      </c>
      <c r="F1340" s="6"/>
      <c r="G1340" s="7" t="s">
        <v>28</v>
      </c>
      <c r="H1340" s="19"/>
      <c r="I1340" s="19"/>
      <c r="J1340" s="19"/>
      <c r="K1340" s="19"/>
      <c r="L1340" s="14">
        <v>4085311</v>
      </c>
      <c r="M1340" s="22">
        <v>44933</v>
      </c>
      <c r="N1340" s="19" t="s">
        <v>196</v>
      </c>
      <c r="O1340" s="19" t="s">
        <v>333</v>
      </c>
      <c r="P1340" s="15">
        <v>170000</v>
      </c>
      <c r="Q1340" s="15">
        <v>305828.40000000002</v>
      </c>
      <c r="R1340" s="15">
        <v>87082900</v>
      </c>
      <c r="S1340" s="15">
        <v>15</v>
      </c>
      <c r="T1340" s="19" t="s">
        <v>316</v>
      </c>
      <c r="U1340" s="19" t="s">
        <v>178</v>
      </c>
      <c r="V1340" s="16">
        <f t="shared" si="249"/>
        <v>45874.26</v>
      </c>
      <c r="W1340" s="16">
        <f t="shared" si="250"/>
        <v>4587.4260000000004</v>
      </c>
      <c r="X1340" s="16">
        <f t="shared" si="251"/>
        <v>50461.686000000002</v>
      </c>
      <c r="Y1340" s="16">
        <f t="shared" si="252"/>
        <v>0.29683344705882353</v>
      </c>
      <c r="Z1340" s="16">
        <f t="shared" si="253"/>
        <v>1.7989905882352943</v>
      </c>
      <c r="AA1340" s="17">
        <f t="shared" si="254"/>
        <v>170000</v>
      </c>
      <c r="AB1340" s="10">
        <v>2064</v>
      </c>
      <c r="AC1340" s="18">
        <f t="shared" si="259"/>
        <v>612.66423472941176</v>
      </c>
      <c r="AD1340" s="12">
        <f t="shared" si="258"/>
        <v>61944</v>
      </c>
      <c r="AE1340" s="13">
        <f t="shared" si="255"/>
        <v>108056</v>
      </c>
    </row>
    <row r="1341" spans="1:31">
      <c r="A1341" s="6">
        <v>11</v>
      </c>
      <c r="B1341" s="6">
        <f t="shared" si="256"/>
        <v>49</v>
      </c>
      <c r="C1341" s="6" t="str">
        <f t="shared" si="248"/>
        <v>622408300ALABEL, BLANK, BAR CODE,964466545303100000</v>
      </c>
      <c r="D1341" s="7" t="s">
        <v>329</v>
      </c>
      <c r="E1341" s="6" t="s">
        <v>473</v>
      </c>
      <c r="F1341" s="6"/>
      <c r="G1341" s="7" t="s">
        <v>239</v>
      </c>
      <c r="H1341" s="19"/>
      <c r="I1341" s="19"/>
      <c r="J1341" s="19"/>
      <c r="K1341" s="19"/>
      <c r="L1341" s="14">
        <v>9644665</v>
      </c>
      <c r="M1341" s="22">
        <v>45303</v>
      </c>
      <c r="N1341" s="19" t="s">
        <v>196</v>
      </c>
      <c r="O1341" s="19" t="s">
        <v>333</v>
      </c>
      <c r="P1341" s="15">
        <v>100000</v>
      </c>
      <c r="Q1341" s="15">
        <v>69765.98</v>
      </c>
      <c r="R1341" s="15">
        <v>87089500</v>
      </c>
      <c r="S1341" s="15">
        <v>15</v>
      </c>
      <c r="T1341" s="19" t="s">
        <v>351</v>
      </c>
      <c r="U1341" s="19" t="s">
        <v>178</v>
      </c>
      <c r="V1341" s="16">
        <f t="shared" si="249"/>
        <v>10464.896999999999</v>
      </c>
      <c r="W1341" s="16">
        <f t="shared" si="250"/>
        <v>1046.4896999999999</v>
      </c>
      <c r="X1341" s="16">
        <f t="shared" si="251"/>
        <v>11511.386699999999</v>
      </c>
      <c r="Y1341" s="16">
        <f t="shared" si="252"/>
        <v>0.11511386699999999</v>
      </c>
      <c r="Z1341" s="16">
        <f t="shared" si="253"/>
        <v>0.69765979999999994</v>
      </c>
      <c r="AA1341" s="17">
        <f t="shared" si="254"/>
        <v>100000</v>
      </c>
      <c r="AB1341" s="10">
        <v>2880</v>
      </c>
      <c r="AC1341" s="18">
        <f t="shared" si="259"/>
        <v>331.52793695999998</v>
      </c>
      <c r="AD1341" s="12">
        <f t="shared" si="258"/>
        <v>98136</v>
      </c>
      <c r="AE1341" s="13">
        <f t="shared" si="255"/>
        <v>1864</v>
      </c>
    </row>
    <row r="1342" spans="1:31">
      <c r="A1342" s="6">
        <v>12</v>
      </c>
      <c r="B1342" s="6">
        <v>1</v>
      </c>
      <c r="C1342" s="6" t="str">
        <f t="shared" si="248"/>
        <v>656334800FCushion ICAB FI 2 Row C KSID, ASP5.1, BUTTON HOL3714105454411980</v>
      </c>
      <c r="D1342" s="7" t="s">
        <v>362</v>
      </c>
      <c r="E1342" s="6" t="s">
        <v>131</v>
      </c>
      <c r="F1342" s="6"/>
      <c r="G1342" s="19" t="s">
        <v>104</v>
      </c>
      <c r="H1342" s="19"/>
      <c r="I1342" s="19"/>
      <c r="J1342" s="19"/>
      <c r="K1342" s="19"/>
      <c r="L1342" s="14">
        <v>3714105</v>
      </c>
      <c r="M1342" s="22">
        <v>45441</v>
      </c>
      <c r="N1342" s="19" t="s">
        <v>197</v>
      </c>
      <c r="O1342" s="19" t="s">
        <v>333</v>
      </c>
      <c r="P1342" s="15">
        <v>1980</v>
      </c>
      <c r="Q1342" s="15">
        <v>1291350.1100000001</v>
      </c>
      <c r="R1342" s="15">
        <v>87089900</v>
      </c>
      <c r="S1342" s="15">
        <v>5</v>
      </c>
      <c r="T1342" s="19" t="s">
        <v>363</v>
      </c>
      <c r="U1342" s="19" t="s">
        <v>200</v>
      </c>
      <c r="V1342" s="16">
        <f t="shared" si="249"/>
        <v>64567.505500000007</v>
      </c>
      <c r="W1342" s="16">
        <f t="shared" si="250"/>
        <v>6456.7505500000007</v>
      </c>
      <c r="X1342" s="16">
        <f t="shared" si="251"/>
        <v>71024.256050000011</v>
      </c>
      <c r="Y1342" s="16">
        <f t="shared" si="252"/>
        <v>35.870836388888897</v>
      </c>
      <c r="Z1342" s="16">
        <f t="shared" si="253"/>
        <v>652.19702525252535</v>
      </c>
      <c r="AA1342" s="17">
        <f t="shared" si="254"/>
        <v>1980</v>
      </c>
      <c r="AB1342" s="10">
        <v>1980</v>
      </c>
      <c r="AC1342" s="18">
        <f t="shared" si="259"/>
        <v>71024.256050000011</v>
      </c>
      <c r="AD1342" s="12">
        <f t="shared" si="258"/>
        <v>1980</v>
      </c>
      <c r="AE1342" s="13">
        <f t="shared" si="255"/>
        <v>0</v>
      </c>
    </row>
    <row r="1343" spans="1:31">
      <c r="A1343" s="6">
        <v>12</v>
      </c>
      <c r="B1343" s="6">
        <f t="shared" si="256"/>
        <v>2</v>
      </c>
      <c r="C1343" s="6" t="str">
        <f t="shared" si="248"/>
        <v>656334800FCushion ICAB FI 2 Row C KSID, ASP5.1, BUTTON HOL4167367454681200</v>
      </c>
      <c r="D1343" s="7" t="s">
        <v>362</v>
      </c>
      <c r="E1343" s="6" t="s">
        <v>131</v>
      </c>
      <c r="F1343" s="6"/>
      <c r="G1343" s="19" t="s">
        <v>104</v>
      </c>
      <c r="H1343" s="19"/>
      <c r="I1343" s="19"/>
      <c r="J1343" s="19"/>
      <c r="K1343" s="19"/>
      <c r="L1343" s="14">
        <v>4167367</v>
      </c>
      <c r="M1343" s="22">
        <v>45468</v>
      </c>
      <c r="N1343" s="19" t="s">
        <v>197</v>
      </c>
      <c r="O1343" s="19" t="s">
        <v>333</v>
      </c>
      <c r="P1343" s="15">
        <v>1200</v>
      </c>
      <c r="Q1343" s="15">
        <v>781179.94</v>
      </c>
      <c r="R1343" s="15">
        <v>87089900</v>
      </c>
      <c r="S1343" s="15">
        <v>5</v>
      </c>
      <c r="T1343" s="19" t="s">
        <v>363</v>
      </c>
      <c r="U1343" s="19" t="s">
        <v>200</v>
      </c>
      <c r="V1343" s="16">
        <f t="shared" si="249"/>
        <v>39058.996999999996</v>
      </c>
      <c r="W1343" s="16">
        <f t="shared" si="250"/>
        <v>3905.8996999999999</v>
      </c>
      <c r="X1343" s="16">
        <f t="shared" si="251"/>
        <v>42964.896699999998</v>
      </c>
      <c r="Y1343" s="16">
        <f t="shared" si="252"/>
        <v>35.804080583333331</v>
      </c>
      <c r="Z1343" s="16">
        <f t="shared" si="253"/>
        <v>650.98328333333325</v>
      </c>
      <c r="AA1343" s="17">
        <f t="shared" si="254"/>
        <v>1200</v>
      </c>
      <c r="AB1343" s="10">
        <v>1188</v>
      </c>
      <c r="AC1343" s="18">
        <f t="shared" si="259"/>
        <v>42535.247732999997</v>
      </c>
      <c r="AD1343" s="12">
        <f t="shared" si="258"/>
        <v>2340</v>
      </c>
      <c r="AE1343" s="13">
        <v>0</v>
      </c>
    </row>
    <row r="1344" spans="1:31">
      <c r="A1344" s="6">
        <v>12</v>
      </c>
      <c r="B1344" s="6">
        <f t="shared" si="256"/>
        <v>3</v>
      </c>
      <c r="C1344" s="6" t="str">
        <f t="shared" si="248"/>
        <v>655226900AINFLATOR APP-4.6, 325KPA 1.8MOL, STANDARD MIB SQU9486730452926048</v>
      </c>
      <c r="D1344" s="7" t="s">
        <v>362</v>
      </c>
      <c r="E1344" s="6" t="s">
        <v>130</v>
      </c>
      <c r="F1344" s="6"/>
      <c r="G1344" s="7" t="s">
        <v>102</v>
      </c>
      <c r="H1344" s="19"/>
      <c r="I1344" s="19"/>
      <c r="J1344" s="19"/>
      <c r="K1344" s="19"/>
      <c r="L1344" s="14">
        <v>9486730</v>
      </c>
      <c r="M1344" s="22">
        <v>45292</v>
      </c>
      <c r="N1344" s="19" t="s">
        <v>197</v>
      </c>
      <c r="O1344" s="19" t="s">
        <v>333</v>
      </c>
      <c r="P1344" s="15">
        <v>6048</v>
      </c>
      <c r="Q1344" s="15">
        <v>1912413.11</v>
      </c>
      <c r="R1344" s="15">
        <v>87089500</v>
      </c>
      <c r="S1344" s="15">
        <v>15</v>
      </c>
      <c r="T1344" s="19" t="s">
        <v>202</v>
      </c>
      <c r="U1344" s="19" t="s">
        <v>200</v>
      </c>
      <c r="V1344" s="16">
        <f t="shared" si="249"/>
        <v>286861.96649999998</v>
      </c>
      <c r="W1344" s="16">
        <f t="shared" si="250"/>
        <v>28686.196649999998</v>
      </c>
      <c r="X1344" s="16">
        <f t="shared" si="251"/>
        <v>315548.16314999998</v>
      </c>
      <c r="Y1344" s="16">
        <f t="shared" si="252"/>
        <v>52.173968774801587</v>
      </c>
      <c r="Z1344" s="16">
        <f t="shared" si="253"/>
        <v>316.20587136243387</v>
      </c>
      <c r="AA1344" s="17">
        <f t="shared" si="254"/>
        <v>6048</v>
      </c>
      <c r="AB1344" s="10">
        <v>3024</v>
      </c>
      <c r="AC1344" s="18">
        <f t="shared" si="259"/>
        <v>157774.08157499999</v>
      </c>
      <c r="AD1344" s="12">
        <f t="shared" si="258"/>
        <v>5949</v>
      </c>
      <c r="AE1344" s="13">
        <f t="shared" si="255"/>
        <v>99</v>
      </c>
    </row>
    <row r="1345" spans="1:31">
      <c r="A1345" s="6">
        <v>12</v>
      </c>
      <c r="B1345" s="6">
        <f t="shared" si="256"/>
        <v>4</v>
      </c>
      <c r="C1345" s="6" t="str">
        <f t="shared" si="248"/>
        <v>655116100ALABEL, BLANK, 50.0, 25.0  LABEL, BLANK, 2PCS, 50X2156850453379000</v>
      </c>
      <c r="D1345" s="7" t="s">
        <v>362</v>
      </c>
      <c r="E1345" s="6" t="s">
        <v>49</v>
      </c>
      <c r="F1345" s="6"/>
      <c r="G1345" s="7" t="s">
        <v>11</v>
      </c>
      <c r="H1345" s="19"/>
      <c r="I1345" s="19"/>
      <c r="J1345" s="19"/>
      <c r="K1345" s="19"/>
      <c r="L1345" s="14">
        <v>2156850</v>
      </c>
      <c r="M1345" s="22">
        <v>45337</v>
      </c>
      <c r="N1345" s="19" t="s">
        <v>196</v>
      </c>
      <c r="O1345" s="19" t="s">
        <v>333</v>
      </c>
      <c r="P1345" s="15">
        <v>9000</v>
      </c>
      <c r="Q1345" s="15">
        <v>28645</v>
      </c>
      <c r="R1345" s="15">
        <v>87082900</v>
      </c>
      <c r="S1345" s="15">
        <v>15</v>
      </c>
      <c r="T1345" s="19" t="s">
        <v>303</v>
      </c>
      <c r="U1345" s="19" t="s">
        <v>178</v>
      </c>
      <c r="V1345" s="16">
        <f t="shared" si="249"/>
        <v>4296.75</v>
      </c>
      <c r="W1345" s="16">
        <f t="shared" si="250"/>
        <v>429.67500000000001</v>
      </c>
      <c r="X1345" s="16">
        <f t="shared" si="251"/>
        <v>4726.4250000000002</v>
      </c>
      <c r="Y1345" s="16">
        <f t="shared" si="252"/>
        <v>0.52515833333333339</v>
      </c>
      <c r="Z1345" s="16">
        <f t="shared" si="253"/>
        <v>3.1827777777777779</v>
      </c>
      <c r="AA1345" s="17">
        <f t="shared" si="254"/>
        <v>9000</v>
      </c>
      <c r="AB1345" s="10">
        <v>8568</v>
      </c>
      <c r="AC1345" s="18">
        <f t="shared" si="259"/>
        <v>4499.5566000000008</v>
      </c>
      <c r="AD1345" s="12">
        <f t="shared" si="258"/>
        <v>8568</v>
      </c>
      <c r="AE1345" s="13">
        <f t="shared" si="255"/>
        <v>432</v>
      </c>
    </row>
    <row r="1346" spans="1:31">
      <c r="A1346" s="6">
        <v>12</v>
      </c>
      <c r="B1346" s="6">
        <f t="shared" si="256"/>
        <v>5</v>
      </c>
      <c r="C1346" s="6" t="str">
        <f t="shared" ref="C1346:C1409" si="260">E1346&amp;G1346&amp;L1346&amp;M1346&amp;P1346</f>
        <v>615795701BPILLAR LOOP, OVERMOULDED LIGHT GRAY, STD, WITH CA9754183453113000</v>
      </c>
      <c r="D1346" s="7" t="s">
        <v>362</v>
      </c>
      <c r="E1346" s="6" t="s">
        <v>67</v>
      </c>
      <c r="F1346" s="6"/>
      <c r="G1346" s="7" t="s">
        <v>27</v>
      </c>
      <c r="H1346" s="19"/>
      <c r="I1346" s="19"/>
      <c r="J1346" s="19"/>
      <c r="K1346" s="19"/>
      <c r="L1346" s="14">
        <v>9754183</v>
      </c>
      <c r="M1346" s="22">
        <v>45311</v>
      </c>
      <c r="N1346" s="19" t="s">
        <v>185</v>
      </c>
      <c r="O1346" s="19" t="s">
        <v>332</v>
      </c>
      <c r="P1346" s="15">
        <v>3000</v>
      </c>
      <c r="Q1346" s="15">
        <v>182089.38</v>
      </c>
      <c r="R1346" s="15">
        <v>87082900</v>
      </c>
      <c r="S1346" s="15">
        <v>15</v>
      </c>
      <c r="T1346" s="19" t="s">
        <v>198</v>
      </c>
      <c r="U1346" s="19" t="s">
        <v>178</v>
      </c>
      <c r="V1346" s="16">
        <f t="shared" si="249"/>
        <v>27313.406999999999</v>
      </c>
      <c r="W1346" s="16">
        <f t="shared" si="250"/>
        <v>2731.3407000000002</v>
      </c>
      <c r="X1346" s="16">
        <f t="shared" si="251"/>
        <v>30044.7477</v>
      </c>
      <c r="Y1346" s="16">
        <f t="shared" si="252"/>
        <v>10.0149159</v>
      </c>
      <c r="Z1346" s="16">
        <f t="shared" si="253"/>
        <v>60.696460000000002</v>
      </c>
      <c r="AA1346" s="17">
        <f t="shared" si="254"/>
        <v>3000</v>
      </c>
      <c r="AB1346" s="10">
        <v>2784</v>
      </c>
      <c r="AC1346" s="18">
        <f t="shared" si="259"/>
        <v>27881.525865600001</v>
      </c>
      <c r="AD1346" s="12">
        <f t="shared" si="258"/>
        <v>2784</v>
      </c>
      <c r="AE1346" s="13">
        <f t="shared" si="255"/>
        <v>216</v>
      </c>
    </row>
    <row r="1347" spans="1:31">
      <c r="A1347" s="6">
        <v>12</v>
      </c>
      <c r="B1347" s="6">
        <f t="shared" si="256"/>
        <v>6</v>
      </c>
      <c r="C1347" s="6" t="str">
        <f t="shared" si="260"/>
        <v>616531900ARING, CRIMP, CLAMP, BAND88252544524811000</v>
      </c>
      <c r="D1347" s="7" t="s">
        <v>362</v>
      </c>
      <c r="E1347" s="6" t="s">
        <v>52</v>
      </c>
      <c r="F1347" s="6"/>
      <c r="G1347" s="7" t="s">
        <v>410</v>
      </c>
      <c r="H1347" s="19"/>
      <c r="I1347" s="19"/>
      <c r="J1347" s="19"/>
      <c r="K1347" s="19"/>
      <c r="L1347" s="14">
        <v>8825254</v>
      </c>
      <c r="M1347" s="22">
        <v>45248</v>
      </c>
      <c r="N1347" s="19" t="s">
        <v>196</v>
      </c>
      <c r="O1347" s="19" t="s">
        <v>333</v>
      </c>
      <c r="P1347" s="15">
        <v>11000</v>
      </c>
      <c r="Q1347" s="15">
        <v>196027.94</v>
      </c>
      <c r="R1347" s="15">
        <v>87089500</v>
      </c>
      <c r="S1347" s="15">
        <v>15</v>
      </c>
      <c r="T1347" s="19" t="s">
        <v>364</v>
      </c>
      <c r="U1347" s="19" t="s">
        <v>178</v>
      </c>
      <c r="V1347" s="16">
        <f t="shared" si="249"/>
        <v>29404.190999999999</v>
      </c>
      <c r="W1347" s="16">
        <f t="shared" si="250"/>
        <v>2940.4191000000001</v>
      </c>
      <c r="X1347" s="16">
        <f t="shared" si="251"/>
        <v>32344.610099999998</v>
      </c>
      <c r="Y1347" s="16">
        <f t="shared" si="252"/>
        <v>2.9404190999999997</v>
      </c>
      <c r="Z1347" s="16">
        <f t="shared" si="253"/>
        <v>17.82072181818182</v>
      </c>
      <c r="AA1347" s="17">
        <f t="shared" si="254"/>
        <v>11000</v>
      </c>
      <c r="AB1347" s="10">
        <v>10944</v>
      </c>
      <c r="AC1347" s="18">
        <f t="shared" si="259"/>
        <v>32179.946630399998</v>
      </c>
      <c r="AD1347" s="12">
        <f t="shared" si="258"/>
        <v>10944</v>
      </c>
      <c r="AE1347" s="13">
        <f t="shared" si="255"/>
        <v>56</v>
      </c>
    </row>
    <row r="1348" spans="1:31">
      <c r="A1348" s="6">
        <v>12</v>
      </c>
      <c r="B1348" s="6">
        <f t="shared" si="256"/>
        <v>7</v>
      </c>
      <c r="C1348" s="6" t="str">
        <f t="shared" si="260"/>
        <v>666041100AAB Cushion ICAB FI 2 Row C22875444534610000</v>
      </c>
      <c r="D1348" s="7" t="s">
        <v>362</v>
      </c>
      <c r="E1348" s="6" t="s">
        <v>476</v>
      </c>
      <c r="F1348" s="6"/>
      <c r="G1348" s="7" t="s">
        <v>246</v>
      </c>
      <c r="H1348" s="19"/>
      <c r="I1348" s="19"/>
      <c r="J1348" s="19"/>
      <c r="K1348" s="19"/>
      <c r="L1348" s="14">
        <v>2287544</v>
      </c>
      <c r="M1348" s="22">
        <v>45346</v>
      </c>
      <c r="N1348" s="19" t="s">
        <v>185</v>
      </c>
      <c r="O1348" s="19" t="s">
        <v>332</v>
      </c>
      <c r="P1348" s="15">
        <v>10000</v>
      </c>
      <c r="Q1348" s="15">
        <v>8462664.5199999996</v>
      </c>
      <c r="R1348" s="15">
        <v>87089500</v>
      </c>
      <c r="S1348" s="15">
        <v>5</v>
      </c>
      <c r="T1348" s="19" t="s">
        <v>350</v>
      </c>
      <c r="U1348" s="19" t="s">
        <v>178</v>
      </c>
      <c r="V1348" s="16">
        <f t="shared" ref="V1348:V1411" si="261">Q1348*S1348%</f>
        <v>423133.22600000002</v>
      </c>
      <c r="W1348" s="16">
        <f t="shared" ref="W1348:W1411" si="262">V1348*0.1</f>
        <v>42313.322600000007</v>
      </c>
      <c r="X1348" s="16">
        <f t="shared" ref="X1348:X1411" si="263">V1348+W1348</f>
        <v>465446.54860000004</v>
      </c>
      <c r="Y1348" s="16">
        <f t="shared" ref="Y1348:Y1411" si="264">X1348/P1348</f>
        <v>46.544654860000001</v>
      </c>
      <c r="Z1348" s="16">
        <f t="shared" ref="Z1348:Z1411" si="265">Q1348/P1348</f>
        <v>846.26645199999996</v>
      </c>
      <c r="AA1348" s="17">
        <f t="shared" ref="AA1348:AA1411" si="266">P1348</f>
        <v>10000</v>
      </c>
      <c r="AB1348" s="10">
        <v>960</v>
      </c>
      <c r="AC1348" s="18">
        <f t="shared" si="259"/>
        <v>44682.868665599999</v>
      </c>
      <c r="AD1348" s="12">
        <f t="shared" si="258"/>
        <v>9680</v>
      </c>
      <c r="AE1348" s="13">
        <f t="shared" ref="AE1348:AE1411" si="267">AA1348-AD1348</f>
        <v>320</v>
      </c>
    </row>
    <row r="1349" spans="1:31">
      <c r="A1349" s="6">
        <v>12</v>
      </c>
      <c r="B1349" s="6">
        <f t="shared" si="256"/>
        <v>8</v>
      </c>
      <c r="C1349" s="6" t="str">
        <f t="shared" si="260"/>
        <v>656334900FAB Cushion ICAB FI 2 Row C KSID, ASP5.1, BUTTON HOL2169560447991980</v>
      </c>
      <c r="D1349" s="7" t="s">
        <v>362</v>
      </c>
      <c r="E1349" s="6" t="s">
        <v>474</v>
      </c>
      <c r="F1349" s="6"/>
      <c r="G1349" s="19" t="s">
        <v>243</v>
      </c>
      <c r="H1349" s="19"/>
      <c r="I1349" s="19"/>
      <c r="J1349" s="19"/>
      <c r="K1349" s="19"/>
      <c r="L1349" s="14">
        <v>2169560</v>
      </c>
      <c r="M1349" s="22">
        <v>44799</v>
      </c>
      <c r="N1349" s="19" t="s">
        <v>185</v>
      </c>
      <c r="O1349" s="19" t="s">
        <v>332</v>
      </c>
      <c r="P1349" s="15">
        <v>1980</v>
      </c>
      <c r="Q1349" s="15">
        <v>1782469.32</v>
      </c>
      <c r="R1349" s="15">
        <v>87089500</v>
      </c>
      <c r="S1349" s="15">
        <v>5</v>
      </c>
      <c r="T1349" s="19" t="s">
        <v>300</v>
      </c>
      <c r="U1349" s="19" t="s">
        <v>200</v>
      </c>
      <c r="V1349" s="16">
        <f t="shared" si="261"/>
        <v>89123.466000000015</v>
      </c>
      <c r="W1349" s="16">
        <f t="shared" si="262"/>
        <v>8912.3466000000026</v>
      </c>
      <c r="X1349" s="16">
        <f t="shared" si="263"/>
        <v>98035.812600000019</v>
      </c>
      <c r="Y1349" s="16">
        <f t="shared" si="264"/>
        <v>49.513036666666679</v>
      </c>
      <c r="Z1349" s="16">
        <f t="shared" si="265"/>
        <v>900.23703030303034</v>
      </c>
      <c r="AA1349" s="17">
        <f t="shared" si="266"/>
        <v>1980</v>
      </c>
      <c r="AB1349" s="10">
        <v>384</v>
      </c>
      <c r="AC1349" s="18">
        <f t="shared" si="259"/>
        <v>19013.006080000006</v>
      </c>
      <c r="AD1349" s="12">
        <f t="shared" si="258"/>
        <v>1849</v>
      </c>
      <c r="AE1349" s="13">
        <f t="shared" si="267"/>
        <v>131</v>
      </c>
    </row>
    <row r="1350" spans="1:31">
      <c r="A1350" s="6">
        <v>12</v>
      </c>
      <c r="B1350" s="6">
        <f t="shared" si="256"/>
        <v>9</v>
      </c>
      <c r="C1350" s="6" t="str">
        <f t="shared" si="260"/>
        <v>649421000AAB INFLATOR, ASP-5.1, P20, SRR, IMI, SERV, NO STUDS5057085450001728</v>
      </c>
      <c r="D1350" s="7" t="s">
        <v>362</v>
      </c>
      <c r="E1350" s="6" t="s">
        <v>56</v>
      </c>
      <c r="F1350" s="6"/>
      <c r="G1350" s="7" t="s">
        <v>245</v>
      </c>
      <c r="H1350" s="19"/>
      <c r="I1350" s="19"/>
      <c r="J1350" s="19"/>
      <c r="K1350" s="19"/>
      <c r="L1350" s="14">
        <v>5057085</v>
      </c>
      <c r="M1350" s="22">
        <v>45000</v>
      </c>
      <c r="N1350" s="19" t="s">
        <v>197</v>
      </c>
      <c r="O1350" s="19" t="s">
        <v>333</v>
      </c>
      <c r="P1350" s="15">
        <v>1728</v>
      </c>
      <c r="Q1350" s="15">
        <v>336464.12</v>
      </c>
      <c r="R1350" s="15">
        <v>87089500</v>
      </c>
      <c r="S1350" s="15">
        <v>15</v>
      </c>
      <c r="T1350" s="19" t="s">
        <v>202</v>
      </c>
      <c r="U1350" s="19" t="s">
        <v>200</v>
      </c>
      <c r="V1350" s="16">
        <f t="shared" si="261"/>
        <v>50469.617999999995</v>
      </c>
      <c r="W1350" s="16">
        <f t="shared" si="262"/>
        <v>5046.9618</v>
      </c>
      <c r="X1350" s="16">
        <f t="shared" si="263"/>
        <v>55516.579799999992</v>
      </c>
      <c r="Y1350" s="16">
        <f t="shared" si="264"/>
        <v>32.127650347222215</v>
      </c>
      <c r="Z1350" s="16">
        <f t="shared" si="265"/>
        <v>194.71303240740741</v>
      </c>
      <c r="AA1350" s="17">
        <f t="shared" si="266"/>
        <v>1728</v>
      </c>
      <c r="AB1350" s="10">
        <v>1344</v>
      </c>
      <c r="AC1350" s="18">
        <f t="shared" si="259"/>
        <v>43179.562066666658</v>
      </c>
      <c r="AD1350" s="12">
        <f t="shared" si="258"/>
        <v>1569</v>
      </c>
      <c r="AE1350" s="13">
        <f t="shared" si="267"/>
        <v>159</v>
      </c>
    </row>
    <row r="1351" spans="1:31">
      <c r="A1351" s="6">
        <v>12</v>
      </c>
      <c r="B1351" s="6">
        <f t="shared" si="256"/>
        <v>10</v>
      </c>
      <c r="C1351" s="6" t="str">
        <f t="shared" si="260"/>
        <v>566253211EADAPTER, CAR SENS, RETRA ALL VERSIONS390969644984216000</v>
      </c>
      <c r="D1351" s="7" t="s">
        <v>362</v>
      </c>
      <c r="E1351" s="6" t="s">
        <v>58</v>
      </c>
      <c r="F1351" s="6"/>
      <c r="G1351" s="7" t="s">
        <v>18</v>
      </c>
      <c r="H1351" s="19"/>
      <c r="I1351" s="19"/>
      <c r="J1351" s="19"/>
      <c r="K1351" s="19"/>
      <c r="L1351" s="14">
        <v>3909696</v>
      </c>
      <c r="M1351" s="22">
        <v>44984</v>
      </c>
      <c r="N1351" s="19" t="s">
        <v>199</v>
      </c>
      <c r="O1351" s="19" t="s">
        <v>332</v>
      </c>
      <c r="P1351" s="15">
        <v>216000</v>
      </c>
      <c r="Q1351" s="15">
        <v>549354.86</v>
      </c>
      <c r="R1351" s="15">
        <v>87082900</v>
      </c>
      <c r="S1351" s="15">
        <v>15</v>
      </c>
      <c r="T1351" s="19" t="s">
        <v>308</v>
      </c>
      <c r="U1351" s="19" t="s">
        <v>178</v>
      </c>
      <c r="V1351" s="16">
        <f t="shared" si="261"/>
        <v>82403.228999999992</v>
      </c>
      <c r="W1351" s="16">
        <f t="shared" si="262"/>
        <v>8240.3228999999992</v>
      </c>
      <c r="X1351" s="16">
        <f t="shared" si="263"/>
        <v>90643.551899999991</v>
      </c>
      <c r="Y1351" s="16">
        <f t="shared" si="264"/>
        <v>0.41964607361111106</v>
      </c>
      <c r="Z1351" s="16">
        <f t="shared" si="265"/>
        <v>2.5433095370370369</v>
      </c>
      <c r="AA1351" s="17">
        <f t="shared" si="266"/>
        <v>216000</v>
      </c>
      <c r="AB1351" s="10">
        <v>2784</v>
      </c>
      <c r="AC1351" s="18">
        <f t="shared" si="259"/>
        <v>1168.2946689333332</v>
      </c>
      <c r="AD1351" s="12">
        <f t="shared" si="258"/>
        <v>86652</v>
      </c>
      <c r="AE1351" s="13">
        <f t="shared" si="267"/>
        <v>129348</v>
      </c>
    </row>
    <row r="1352" spans="1:31">
      <c r="A1352" s="6">
        <v>12</v>
      </c>
      <c r="B1352" s="6">
        <f t="shared" si="256"/>
        <v>11</v>
      </c>
      <c r="C1352" s="6" t="str">
        <f t="shared" si="260"/>
        <v>632154400AADHESIVE, PAD 48354474498520000</v>
      </c>
      <c r="D1352" s="7" t="s">
        <v>362</v>
      </c>
      <c r="E1352" s="6" t="s">
        <v>79</v>
      </c>
      <c r="F1352" s="6"/>
      <c r="G1352" s="7" t="s">
        <v>39</v>
      </c>
      <c r="H1352" s="19"/>
      <c r="I1352" s="19"/>
      <c r="J1352" s="19"/>
      <c r="K1352" s="19"/>
      <c r="L1352" s="14">
        <v>4835447</v>
      </c>
      <c r="M1352" s="22">
        <v>44985</v>
      </c>
      <c r="N1352" s="19" t="s">
        <v>196</v>
      </c>
      <c r="O1352" s="19" t="s">
        <v>333</v>
      </c>
      <c r="P1352" s="15">
        <v>20000</v>
      </c>
      <c r="Q1352" s="15">
        <v>70260</v>
      </c>
      <c r="R1352" s="15">
        <v>87082900</v>
      </c>
      <c r="S1352" s="15">
        <v>15</v>
      </c>
      <c r="T1352" s="19" t="s">
        <v>201</v>
      </c>
      <c r="U1352" s="19" t="s">
        <v>178</v>
      </c>
      <c r="V1352" s="16">
        <f t="shared" si="261"/>
        <v>10539</v>
      </c>
      <c r="W1352" s="16">
        <f t="shared" si="262"/>
        <v>1053.9000000000001</v>
      </c>
      <c r="X1352" s="16">
        <f t="shared" si="263"/>
        <v>11592.9</v>
      </c>
      <c r="Y1352" s="16">
        <f t="shared" si="264"/>
        <v>0.57964499999999997</v>
      </c>
      <c r="Z1352" s="16">
        <f t="shared" si="265"/>
        <v>3.5129999999999999</v>
      </c>
      <c r="AA1352" s="17">
        <f t="shared" si="266"/>
        <v>20000</v>
      </c>
      <c r="AB1352" s="10">
        <v>2784</v>
      </c>
      <c r="AC1352" s="18">
        <f t="shared" si="259"/>
        <v>1613.7316799999999</v>
      </c>
      <c r="AD1352" s="12">
        <f t="shared" si="258"/>
        <v>17952</v>
      </c>
      <c r="AE1352" s="13">
        <f t="shared" si="267"/>
        <v>2048</v>
      </c>
    </row>
    <row r="1353" spans="1:31">
      <c r="A1353" s="6">
        <v>12</v>
      </c>
      <c r="B1353" s="6">
        <f t="shared" si="256"/>
        <v>12</v>
      </c>
      <c r="C1353" s="6" t="str">
        <f t="shared" si="260"/>
        <v>618470500EBEARING, CAR SENS, RETRA All Versions, Noise redu717838944902100800</v>
      </c>
      <c r="D1353" s="7" t="s">
        <v>362</v>
      </c>
      <c r="E1353" s="6" t="s">
        <v>68</v>
      </c>
      <c r="F1353" s="6"/>
      <c r="G1353" s="7" t="s">
        <v>28</v>
      </c>
      <c r="H1353" s="19"/>
      <c r="I1353" s="19"/>
      <c r="J1353" s="19"/>
      <c r="K1353" s="19"/>
      <c r="L1353" s="14">
        <v>7178389</v>
      </c>
      <c r="M1353" s="22">
        <v>44902</v>
      </c>
      <c r="N1353" s="19" t="s">
        <v>185</v>
      </c>
      <c r="O1353" s="19" t="s">
        <v>332</v>
      </c>
      <c r="P1353" s="15">
        <v>100800</v>
      </c>
      <c r="Q1353" s="15">
        <v>397158.13</v>
      </c>
      <c r="R1353" s="15">
        <v>87082900</v>
      </c>
      <c r="S1353" s="15">
        <v>15</v>
      </c>
      <c r="T1353" s="19" t="s">
        <v>315</v>
      </c>
      <c r="U1353" s="19" t="s">
        <v>178</v>
      </c>
      <c r="V1353" s="16">
        <f t="shared" si="261"/>
        <v>59573.719499999999</v>
      </c>
      <c r="W1353" s="16">
        <f t="shared" si="262"/>
        <v>5957.3719500000007</v>
      </c>
      <c r="X1353" s="16">
        <f t="shared" si="263"/>
        <v>65531.09145</v>
      </c>
      <c r="Y1353" s="16">
        <f t="shared" si="264"/>
        <v>0.65011003422619051</v>
      </c>
      <c r="Z1353" s="16">
        <f t="shared" si="265"/>
        <v>3.9400608134920634</v>
      </c>
      <c r="AA1353" s="17">
        <f t="shared" si="266"/>
        <v>100800</v>
      </c>
      <c r="AB1353" s="10">
        <v>2784</v>
      </c>
      <c r="AC1353" s="18">
        <f t="shared" si="259"/>
        <v>1809.9063352857145</v>
      </c>
      <c r="AD1353" s="12">
        <f t="shared" si="258"/>
        <v>31068</v>
      </c>
      <c r="AE1353" s="13">
        <f t="shared" si="267"/>
        <v>69732</v>
      </c>
    </row>
    <row r="1354" spans="1:31">
      <c r="A1354" s="6">
        <v>12</v>
      </c>
      <c r="B1354" s="6">
        <f t="shared" si="256"/>
        <v>13</v>
      </c>
      <c r="C1354" s="6" t="str">
        <f t="shared" si="260"/>
        <v>601256700GBUSH, RETRACTOR, R27, AL ALL VERSIONS405080544944160000</v>
      </c>
      <c r="D1354" s="7" t="s">
        <v>362</v>
      </c>
      <c r="E1354" s="6" t="s">
        <v>62</v>
      </c>
      <c r="F1354" s="6"/>
      <c r="G1354" s="7" t="s">
        <v>22</v>
      </c>
      <c r="H1354" s="19"/>
      <c r="I1354" s="19"/>
      <c r="J1354" s="19"/>
      <c r="K1354" s="19"/>
      <c r="L1354" s="14">
        <v>4050805</v>
      </c>
      <c r="M1354" s="22">
        <v>44944</v>
      </c>
      <c r="N1354" s="19" t="s">
        <v>196</v>
      </c>
      <c r="O1354" s="19" t="s">
        <v>333</v>
      </c>
      <c r="P1354" s="15">
        <v>160000</v>
      </c>
      <c r="Q1354" s="15">
        <v>278597.26</v>
      </c>
      <c r="R1354" s="15">
        <v>87082900</v>
      </c>
      <c r="S1354" s="15">
        <v>15</v>
      </c>
      <c r="T1354" s="19" t="s">
        <v>312</v>
      </c>
      <c r="U1354" s="19" t="s">
        <v>178</v>
      </c>
      <c r="V1354" s="16">
        <f t="shared" si="261"/>
        <v>41789.589</v>
      </c>
      <c r="W1354" s="16">
        <f t="shared" si="262"/>
        <v>4178.9589000000005</v>
      </c>
      <c r="X1354" s="16">
        <f t="shared" si="263"/>
        <v>45968.547899999998</v>
      </c>
      <c r="Y1354" s="16">
        <f t="shared" si="264"/>
        <v>0.287303424375</v>
      </c>
      <c r="Z1354" s="16">
        <f t="shared" si="265"/>
        <v>1.7412328750000001</v>
      </c>
      <c r="AA1354" s="17">
        <f t="shared" si="266"/>
        <v>160000</v>
      </c>
      <c r="AB1354" s="10">
        <v>2784</v>
      </c>
      <c r="AC1354" s="18">
        <f t="shared" si="259"/>
        <v>799.85273345999997</v>
      </c>
      <c r="AD1354" s="12">
        <f t="shared" si="258"/>
        <v>86652</v>
      </c>
      <c r="AE1354" s="13">
        <f t="shared" si="267"/>
        <v>73348</v>
      </c>
    </row>
    <row r="1355" spans="1:31">
      <c r="A1355" s="6">
        <v>12</v>
      </c>
      <c r="B1355" s="6">
        <f t="shared" si="256"/>
        <v>14</v>
      </c>
      <c r="C1355" s="6" t="str">
        <f t="shared" si="260"/>
        <v>560050622CCHANNEL, BUCKLE, K12 ROA K12A/AT, RIVET BUCKLE, S505596944994224000</v>
      </c>
      <c r="D1355" s="7" t="s">
        <v>362</v>
      </c>
      <c r="E1355" s="6" t="s">
        <v>72</v>
      </c>
      <c r="F1355" s="6"/>
      <c r="G1355" s="7" t="s">
        <v>32</v>
      </c>
      <c r="H1355" s="19"/>
      <c r="I1355" s="19"/>
      <c r="J1355" s="19"/>
      <c r="K1355" s="19"/>
      <c r="L1355" s="14">
        <v>5055969</v>
      </c>
      <c r="M1355" s="22">
        <v>44994</v>
      </c>
      <c r="N1355" s="19" t="s">
        <v>197</v>
      </c>
      <c r="O1355" s="19" t="s">
        <v>333</v>
      </c>
      <c r="P1355" s="15">
        <v>224000</v>
      </c>
      <c r="Q1355" s="15">
        <v>3980591.44</v>
      </c>
      <c r="R1355" s="15">
        <v>87082900</v>
      </c>
      <c r="S1355" s="15">
        <v>15</v>
      </c>
      <c r="T1355" s="19" t="s">
        <v>318</v>
      </c>
      <c r="U1355" s="19" t="s">
        <v>178</v>
      </c>
      <c r="V1355" s="16">
        <f t="shared" si="261"/>
        <v>597088.71600000001</v>
      </c>
      <c r="W1355" s="16">
        <f t="shared" si="262"/>
        <v>59708.871600000006</v>
      </c>
      <c r="X1355" s="16">
        <f t="shared" si="263"/>
        <v>656797.58759999997</v>
      </c>
      <c r="Y1355" s="16">
        <f t="shared" si="264"/>
        <v>2.9321320874999999</v>
      </c>
      <c r="Z1355" s="16">
        <f t="shared" si="265"/>
        <v>17.770497500000001</v>
      </c>
      <c r="AA1355" s="17">
        <f t="shared" si="266"/>
        <v>224000</v>
      </c>
      <c r="AB1355" s="10">
        <v>8768</v>
      </c>
      <c r="AC1355" s="18">
        <f t="shared" si="259"/>
        <v>25708.9341432</v>
      </c>
      <c r="AD1355" s="12">
        <f t="shared" si="258"/>
        <v>67232</v>
      </c>
      <c r="AE1355" s="13">
        <f t="shared" si="267"/>
        <v>156768</v>
      </c>
    </row>
    <row r="1356" spans="1:31">
      <c r="A1356" s="6">
        <v>12</v>
      </c>
      <c r="B1356" s="6">
        <f t="shared" si="256"/>
        <v>15</v>
      </c>
      <c r="C1356" s="6" t="str">
        <f t="shared" si="260"/>
        <v>601487200CCOVER, RETRACTOR, R27, S SYSTEMKAPPE DELRIN 100T43274964495048000</v>
      </c>
      <c r="D1356" s="7" t="s">
        <v>362</v>
      </c>
      <c r="E1356" s="6" t="s">
        <v>64</v>
      </c>
      <c r="F1356" s="6"/>
      <c r="G1356" s="7" t="s">
        <v>24</v>
      </c>
      <c r="H1356" s="19"/>
      <c r="I1356" s="19"/>
      <c r="J1356" s="19"/>
      <c r="K1356" s="19"/>
      <c r="L1356" s="14">
        <v>4327496</v>
      </c>
      <c r="M1356" s="22">
        <v>44950</v>
      </c>
      <c r="N1356" s="19" t="s">
        <v>199</v>
      </c>
      <c r="O1356" s="19" t="s">
        <v>332</v>
      </c>
      <c r="P1356" s="15">
        <v>48000</v>
      </c>
      <c r="Q1356" s="15">
        <v>514349.16</v>
      </c>
      <c r="R1356" s="15">
        <v>87082900</v>
      </c>
      <c r="S1356" s="15">
        <v>15</v>
      </c>
      <c r="T1356" s="19" t="s">
        <v>307</v>
      </c>
      <c r="U1356" s="19" t="s">
        <v>178</v>
      </c>
      <c r="V1356" s="16">
        <f t="shared" si="261"/>
        <v>77152.373999999996</v>
      </c>
      <c r="W1356" s="16">
        <f t="shared" si="262"/>
        <v>7715.2374</v>
      </c>
      <c r="X1356" s="16">
        <f t="shared" si="263"/>
        <v>84867.611399999994</v>
      </c>
      <c r="Y1356" s="16">
        <f t="shared" si="264"/>
        <v>1.7680752375</v>
      </c>
      <c r="Z1356" s="16">
        <f t="shared" si="265"/>
        <v>10.715607499999999</v>
      </c>
      <c r="AA1356" s="17">
        <f t="shared" si="266"/>
        <v>48000</v>
      </c>
      <c r="AB1356" s="10">
        <v>2784</v>
      </c>
      <c r="AC1356" s="18">
        <f t="shared" si="259"/>
        <v>4922.3214612000002</v>
      </c>
      <c r="AD1356" s="12">
        <f t="shared" si="258"/>
        <v>47964</v>
      </c>
      <c r="AE1356" s="13">
        <f t="shared" si="267"/>
        <v>36</v>
      </c>
    </row>
    <row r="1357" spans="1:31">
      <c r="A1357" s="6">
        <v>12</v>
      </c>
      <c r="B1357" s="6">
        <f t="shared" si="256"/>
        <v>16</v>
      </c>
      <c r="C1357" s="6" t="str">
        <f t="shared" si="260"/>
        <v>666041200ACushion ICAB FI 2 Row C3571680454325000</v>
      </c>
      <c r="D1357" s="7" t="s">
        <v>362</v>
      </c>
      <c r="E1357" s="6" t="s">
        <v>472</v>
      </c>
      <c r="F1357" s="6"/>
      <c r="G1357" s="7" t="s">
        <v>237</v>
      </c>
      <c r="H1357" s="19"/>
      <c r="I1357" s="19"/>
      <c r="J1357" s="19"/>
      <c r="K1357" s="19"/>
      <c r="L1357" s="14">
        <v>3571680</v>
      </c>
      <c r="M1357" s="22">
        <v>45432</v>
      </c>
      <c r="N1357" s="19" t="s">
        <v>185</v>
      </c>
      <c r="O1357" s="19" t="s">
        <v>332</v>
      </c>
      <c r="P1357" s="15">
        <v>5000</v>
      </c>
      <c r="Q1357" s="15">
        <v>4260260</v>
      </c>
      <c r="R1357" s="15">
        <v>87089500</v>
      </c>
      <c r="S1357" s="15">
        <v>5</v>
      </c>
      <c r="T1357" s="19" t="s">
        <v>350</v>
      </c>
      <c r="U1357" s="19" t="s">
        <v>178</v>
      </c>
      <c r="V1357" s="16">
        <f t="shared" si="261"/>
        <v>213013</v>
      </c>
      <c r="W1357" s="16">
        <f t="shared" si="262"/>
        <v>21301.300000000003</v>
      </c>
      <c r="X1357" s="16">
        <f t="shared" si="263"/>
        <v>234314.3</v>
      </c>
      <c r="Y1357" s="16">
        <f t="shared" si="264"/>
        <v>46.862859999999998</v>
      </c>
      <c r="Z1357" s="16">
        <f t="shared" si="265"/>
        <v>852.05200000000002</v>
      </c>
      <c r="AA1357" s="17">
        <f t="shared" si="266"/>
        <v>5000</v>
      </c>
      <c r="AB1357" s="10">
        <v>960</v>
      </c>
      <c r="AC1357" s="18">
        <f t="shared" si="259"/>
        <v>44988.345600000001</v>
      </c>
      <c r="AD1357" s="12">
        <f t="shared" si="258"/>
        <v>4712</v>
      </c>
      <c r="AE1357" s="13">
        <f t="shared" si="267"/>
        <v>288</v>
      </c>
    </row>
    <row r="1358" spans="1:31">
      <c r="A1358" s="6">
        <v>12</v>
      </c>
      <c r="B1358" s="6">
        <f t="shared" si="256"/>
        <v>17</v>
      </c>
      <c r="C1358" s="6" t="str">
        <f t="shared" si="260"/>
        <v>6242999AABFELT, OTHER OTHER7901235451922400</v>
      </c>
      <c r="D1358" s="7" t="s">
        <v>362</v>
      </c>
      <c r="E1358" s="6" t="s">
        <v>127</v>
      </c>
      <c r="F1358" s="6"/>
      <c r="G1358" s="19" t="s">
        <v>105</v>
      </c>
      <c r="H1358" s="19"/>
      <c r="I1358" s="19"/>
      <c r="J1358" s="19"/>
      <c r="K1358" s="19"/>
      <c r="L1358" s="14">
        <v>7901235</v>
      </c>
      <c r="M1358" s="22">
        <v>45192</v>
      </c>
      <c r="N1358" s="19" t="s">
        <v>196</v>
      </c>
      <c r="O1358" s="19" t="s">
        <v>333</v>
      </c>
      <c r="P1358" s="15">
        <v>2400</v>
      </c>
      <c r="Q1358" s="15">
        <v>32673.27</v>
      </c>
      <c r="R1358" s="15">
        <v>87082900</v>
      </c>
      <c r="S1358" s="15">
        <v>15</v>
      </c>
      <c r="T1358" s="19" t="s">
        <v>343</v>
      </c>
      <c r="U1358" s="19" t="s">
        <v>178</v>
      </c>
      <c r="V1358" s="16">
        <f t="shared" si="261"/>
        <v>4900.9904999999999</v>
      </c>
      <c r="W1358" s="16">
        <f t="shared" si="262"/>
        <v>490.09905000000003</v>
      </c>
      <c r="X1358" s="16">
        <f t="shared" si="263"/>
        <v>5391.0895499999997</v>
      </c>
      <c r="Y1358" s="16">
        <f t="shared" si="264"/>
        <v>2.2462873124999998</v>
      </c>
      <c r="Z1358" s="16">
        <f t="shared" si="265"/>
        <v>13.6138625</v>
      </c>
      <c r="AA1358" s="17">
        <f t="shared" si="266"/>
        <v>2400</v>
      </c>
      <c r="AB1358" s="10">
        <v>353.28000000000003</v>
      </c>
      <c r="AC1358" s="18">
        <f t="shared" si="259"/>
        <v>793.56838175999997</v>
      </c>
      <c r="AD1358" s="12">
        <f t="shared" si="258"/>
        <v>2196.48</v>
      </c>
      <c r="AE1358" s="13">
        <f t="shared" si="267"/>
        <v>203.51999999999998</v>
      </c>
    </row>
    <row r="1359" spans="1:31">
      <c r="A1359" s="6">
        <v>12</v>
      </c>
      <c r="B1359" s="6">
        <f t="shared" si="256"/>
        <v>18</v>
      </c>
      <c r="C1359" s="6" t="str">
        <f t="shared" si="260"/>
        <v>643302000AINFLATOR, ADP-1.3B, MP, MIB, SQUARE, NO STUD40951444492815552</v>
      </c>
      <c r="D1359" s="7" t="s">
        <v>362</v>
      </c>
      <c r="E1359" s="6" t="s">
        <v>46</v>
      </c>
      <c r="F1359" s="6"/>
      <c r="G1359" s="7" t="s">
        <v>8</v>
      </c>
      <c r="H1359" s="19"/>
      <c r="I1359" s="19"/>
      <c r="J1359" s="19"/>
      <c r="K1359" s="19"/>
      <c r="L1359" s="14">
        <v>4095144</v>
      </c>
      <c r="M1359" s="22">
        <v>44928</v>
      </c>
      <c r="N1359" s="19" t="s">
        <v>199</v>
      </c>
      <c r="O1359" s="19" t="s">
        <v>333</v>
      </c>
      <c r="P1359" s="15">
        <v>15552</v>
      </c>
      <c r="Q1359" s="15">
        <v>5103595.95</v>
      </c>
      <c r="R1359" s="15">
        <v>87089500</v>
      </c>
      <c r="S1359" s="15">
        <v>15</v>
      </c>
      <c r="T1359" s="19" t="s">
        <v>202</v>
      </c>
      <c r="U1359" s="19" t="s">
        <v>200</v>
      </c>
      <c r="V1359" s="16">
        <f t="shared" si="261"/>
        <v>765539.39249999996</v>
      </c>
      <c r="W1359" s="16">
        <f t="shared" si="262"/>
        <v>76553.939249999996</v>
      </c>
      <c r="X1359" s="16">
        <f t="shared" si="263"/>
        <v>842093.3317499999</v>
      </c>
      <c r="Y1359" s="16">
        <f t="shared" si="264"/>
        <v>54.146947771990732</v>
      </c>
      <c r="Z1359" s="16">
        <f t="shared" si="265"/>
        <v>328.16331983024691</v>
      </c>
      <c r="AA1359" s="17">
        <f t="shared" si="266"/>
        <v>15552</v>
      </c>
      <c r="AB1359" s="10">
        <v>2088</v>
      </c>
      <c r="AC1359" s="18">
        <f t="shared" si="259"/>
        <v>113058.82694791665</v>
      </c>
      <c r="AD1359" s="12">
        <f t="shared" si="258"/>
        <v>15552</v>
      </c>
      <c r="AE1359" s="13">
        <f t="shared" si="267"/>
        <v>0</v>
      </c>
    </row>
    <row r="1360" spans="1:31">
      <c r="A1360" s="6">
        <v>12</v>
      </c>
      <c r="B1360" s="6">
        <f t="shared" ref="B1360:B1423" si="268">B1359+1</f>
        <v>19</v>
      </c>
      <c r="C1360" s="6" t="str">
        <f t="shared" si="260"/>
        <v>643302000AINFLATOR, ADP-1.3B, MP, MIB, SQUARE, NO STUD4946913449936912</v>
      </c>
      <c r="D1360" s="7" t="s">
        <v>362</v>
      </c>
      <c r="E1360" s="6" t="s">
        <v>46</v>
      </c>
      <c r="F1360" s="6"/>
      <c r="G1360" s="7" t="s">
        <v>8</v>
      </c>
      <c r="H1360" s="19"/>
      <c r="I1360" s="19"/>
      <c r="J1360" s="19"/>
      <c r="K1360" s="19"/>
      <c r="L1360" s="14">
        <v>4946913</v>
      </c>
      <c r="M1360" s="22">
        <v>44993</v>
      </c>
      <c r="N1360" s="19" t="s">
        <v>199</v>
      </c>
      <c r="O1360" s="19" t="s">
        <v>333</v>
      </c>
      <c r="P1360" s="15">
        <v>6912</v>
      </c>
      <c r="Q1360" s="15">
        <v>1466083.43</v>
      </c>
      <c r="R1360" s="15">
        <v>87089500</v>
      </c>
      <c r="S1360" s="15">
        <v>15</v>
      </c>
      <c r="T1360" s="19" t="s">
        <v>202</v>
      </c>
      <c r="U1360" s="19" t="s">
        <v>200</v>
      </c>
      <c r="V1360" s="16">
        <f t="shared" si="261"/>
        <v>219912.51449999999</v>
      </c>
      <c r="W1360" s="16">
        <f t="shared" si="262"/>
        <v>21991.25145</v>
      </c>
      <c r="X1360" s="16">
        <f t="shared" si="263"/>
        <v>241903.76595</v>
      </c>
      <c r="Y1360" s="16">
        <f t="shared" si="264"/>
        <v>34.997651323784723</v>
      </c>
      <c r="Z1360" s="16">
        <f t="shared" si="265"/>
        <v>212.10697771990741</v>
      </c>
      <c r="AA1360" s="17">
        <f t="shared" si="266"/>
        <v>6912</v>
      </c>
      <c r="AB1360" s="10">
        <v>4320</v>
      </c>
      <c r="AC1360" s="18">
        <f t="shared" si="259"/>
        <v>151189.85371875</v>
      </c>
      <c r="AD1360" s="12">
        <f t="shared" si="258"/>
        <v>6912</v>
      </c>
      <c r="AE1360" s="13">
        <f t="shared" si="267"/>
        <v>0</v>
      </c>
    </row>
    <row r="1361" spans="1:31">
      <c r="A1361" s="6">
        <v>12</v>
      </c>
      <c r="B1361" s="6">
        <f t="shared" si="268"/>
        <v>20</v>
      </c>
      <c r="C1361" s="6" t="str">
        <f t="shared" si="260"/>
        <v>643302000AINFLATOR, ADP-1.3B, MP, MIB, SQUARE, NO STUD50570854500014688</v>
      </c>
      <c r="D1361" s="7" t="s">
        <v>362</v>
      </c>
      <c r="E1361" s="6" t="s">
        <v>46</v>
      </c>
      <c r="F1361" s="6"/>
      <c r="G1361" s="7" t="s">
        <v>8</v>
      </c>
      <c r="H1361" s="19"/>
      <c r="I1361" s="19"/>
      <c r="J1361" s="19"/>
      <c r="K1361" s="19"/>
      <c r="L1361" s="14">
        <v>5057085</v>
      </c>
      <c r="M1361" s="22">
        <v>45000</v>
      </c>
      <c r="N1361" s="19" t="s">
        <v>197</v>
      </c>
      <c r="O1361" s="19" t="s">
        <v>333</v>
      </c>
      <c r="P1361" s="15">
        <v>14688</v>
      </c>
      <c r="Q1361" s="15">
        <v>5384941.5700000003</v>
      </c>
      <c r="R1361" s="15">
        <v>87089500</v>
      </c>
      <c r="S1361" s="15">
        <v>15</v>
      </c>
      <c r="T1361" s="19" t="s">
        <v>202</v>
      </c>
      <c r="U1361" s="19" t="s">
        <v>200</v>
      </c>
      <c r="V1361" s="16">
        <f t="shared" si="261"/>
        <v>807741.23550000007</v>
      </c>
      <c r="W1361" s="16">
        <f t="shared" si="262"/>
        <v>80774.123550000018</v>
      </c>
      <c r="X1361" s="16">
        <f t="shared" si="263"/>
        <v>888515.35905000009</v>
      </c>
      <c r="Y1361" s="16">
        <f t="shared" si="264"/>
        <v>60.492603421160133</v>
      </c>
      <c r="Z1361" s="16">
        <f t="shared" si="265"/>
        <v>366.62183891612204</v>
      </c>
      <c r="AA1361" s="17">
        <f t="shared" si="266"/>
        <v>14688</v>
      </c>
      <c r="AB1361" s="10">
        <v>1584</v>
      </c>
      <c r="AC1361" s="18">
        <f t="shared" si="259"/>
        <v>95820.283819117656</v>
      </c>
      <c r="AD1361" s="12">
        <f t="shared" si="258"/>
        <v>14688</v>
      </c>
      <c r="AE1361" s="13">
        <f t="shared" si="267"/>
        <v>0</v>
      </c>
    </row>
    <row r="1362" spans="1:31">
      <c r="A1362" s="6">
        <v>12</v>
      </c>
      <c r="B1362" s="6">
        <f t="shared" si="268"/>
        <v>21</v>
      </c>
      <c r="C1362" s="6" t="str">
        <f t="shared" si="260"/>
        <v>649421100AINFLATOR, ASP-5.1, P20, SRR, IMI, SERV, NO STUDS4946913449936912</v>
      </c>
      <c r="D1362" s="7" t="s">
        <v>362</v>
      </c>
      <c r="E1362" s="6" t="s">
        <v>469</v>
      </c>
      <c r="F1362" s="6"/>
      <c r="G1362" s="7" t="s">
        <v>16</v>
      </c>
      <c r="H1362" s="19"/>
      <c r="I1362" s="19"/>
      <c r="J1362" s="19"/>
      <c r="K1362" s="19"/>
      <c r="L1362" s="14">
        <v>4946913</v>
      </c>
      <c r="M1362" s="22">
        <v>44993</v>
      </c>
      <c r="N1362" s="19" t="s">
        <v>199</v>
      </c>
      <c r="O1362" s="19" t="s">
        <v>333</v>
      </c>
      <c r="P1362" s="15">
        <v>6912</v>
      </c>
      <c r="Q1362" s="15">
        <v>1466083.43</v>
      </c>
      <c r="R1362" s="15">
        <v>87089500</v>
      </c>
      <c r="S1362" s="15">
        <v>15</v>
      </c>
      <c r="T1362" s="19" t="s">
        <v>202</v>
      </c>
      <c r="U1362" s="19" t="s">
        <v>200</v>
      </c>
      <c r="V1362" s="16">
        <f t="shared" si="261"/>
        <v>219912.51449999999</v>
      </c>
      <c r="W1362" s="16">
        <f t="shared" si="262"/>
        <v>21991.25145</v>
      </c>
      <c r="X1362" s="16">
        <f t="shared" si="263"/>
        <v>241903.76595</v>
      </c>
      <c r="Y1362" s="16">
        <f t="shared" si="264"/>
        <v>34.997651323784723</v>
      </c>
      <c r="Z1362" s="16">
        <f t="shared" si="265"/>
        <v>212.10697771990741</v>
      </c>
      <c r="AA1362" s="17">
        <f t="shared" si="266"/>
        <v>6912</v>
      </c>
      <c r="AB1362" s="10">
        <v>4128</v>
      </c>
      <c r="AC1362" s="18">
        <f t="shared" si="259"/>
        <v>144470.30466458332</v>
      </c>
      <c r="AD1362" s="12">
        <f t="shared" si="258"/>
        <v>6576</v>
      </c>
      <c r="AE1362" s="13">
        <f t="shared" si="267"/>
        <v>336</v>
      </c>
    </row>
    <row r="1363" spans="1:31">
      <c r="A1363" s="6">
        <v>12</v>
      </c>
      <c r="B1363" s="6">
        <f t="shared" si="268"/>
        <v>22</v>
      </c>
      <c r="C1363" s="6" t="str">
        <f t="shared" si="260"/>
        <v>632955901AINFLATORS, APP-4.6 73007354514912960</v>
      </c>
      <c r="D1363" s="7" t="s">
        <v>362</v>
      </c>
      <c r="E1363" s="6" t="s">
        <v>48</v>
      </c>
      <c r="F1363" s="6"/>
      <c r="G1363" s="7" t="s">
        <v>10</v>
      </c>
      <c r="H1363" s="19"/>
      <c r="I1363" s="19"/>
      <c r="J1363" s="19"/>
      <c r="K1363" s="19"/>
      <c r="L1363" s="14">
        <v>7300735</v>
      </c>
      <c r="M1363" s="22">
        <v>45149</v>
      </c>
      <c r="N1363" s="19" t="s">
        <v>197</v>
      </c>
      <c r="O1363" s="19" t="s">
        <v>333</v>
      </c>
      <c r="P1363" s="15">
        <v>12960</v>
      </c>
      <c r="Q1363" s="15">
        <v>5726355.8700000001</v>
      </c>
      <c r="R1363" s="15">
        <v>87089500</v>
      </c>
      <c r="S1363" s="15">
        <v>15</v>
      </c>
      <c r="T1363" s="19" t="s">
        <v>202</v>
      </c>
      <c r="U1363" s="19" t="s">
        <v>200</v>
      </c>
      <c r="V1363" s="16">
        <f t="shared" si="261"/>
        <v>858953.38049999997</v>
      </c>
      <c r="W1363" s="16">
        <f t="shared" si="262"/>
        <v>85895.338050000006</v>
      </c>
      <c r="X1363" s="16">
        <f t="shared" si="263"/>
        <v>944848.71854999999</v>
      </c>
      <c r="Y1363" s="16">
        <f t="shared" si="264"/>
        <v>72.904993715277783</v>
      </c>
      <c r="Z1363" s="16">
        <f t="shared" si="265"/>
        <v>441.84844675925928</v>
      </c>
      <c r="AA1363" s="17">
        <f t="shared" si="266"/>
        <v>12960</v>
      </c>
      <c r="AB1363" s="10">
        <v>5544</v>
      </c>
      <c r="AC1363" s="18">
        <f t="shared" si="259"/>
        <v>404185.28515750001</v>
      </c>
      <c r="AD1363" s="12">
        <f t="shared" ref="AD1363:AD1396" si="269">SUMIF($C$2:$C$2284,C1363,$AB$2:$AB$2284)</f>
        <v>12312</v>
      </c>
      <c r="AE1363" s="13">
        <f t="shared" si="267"/>
        <v>648</v>
      </c>
    </row>
    <row r="1364" spans="1:31">
      <c r="A1364" s="6">
        <v>12</v>
      </c>
      <c r="B1364" s="6">
        <f t="shared" si="268"/>
        <v>23</v>
      </c>
      <c r="C1364" s="6" t="str">
        <f t="shared" si="260"/>
        <v>630580800ALABEL, RAW MATERIAL, BLA K12 TPC BUCKLE5160585449362400000</v>
      </c>
      <c r="D1364" s="7" t="s">
        <v>362</v>
      </c>
      <c r="E1364" s="6" t="s">
        <v>71</v>
      </c>
      <c r="F1364" s="6"/>
      <c r="G1364" s="7" t="s">
        <v>31</v>
      </c>
      <c r="H1364" s="19"/>
      <c r="I1364" s="19"/>
      <c r="J1364" s="19"/>
      <c r="K1364" s="19"/>
      <c r="L1364" s="14">
        <v>5160585</v>
      </c>
      <c r="M1364" s="22">
        <v>44936</v>
      </c>
      <c r="N1364" s="19" t="s">
        <v>196</v>
      </c>
      <c r="O1364" s="19" t="s">
        <v>333</v>
      </c>
      <c r="P1364" s="15">
        <v>2400000</v>
      </c>
      <c r="Q1364" s="15">
        <v>86522.34</v>
      </c>
      <c r="R1364" s="15">
        <v>87082900</v>
      </c>
      <c r="S1364" s="15">
        <v>15</v>
      </c>
      <c r="T1364" s="19" t="s">
        <v>265</v>
      </c>
      <c r="U1364" s="19" t="s">
        <v>178</v>
      </c>
      <c r="V1364" s="16">
        <f t="shared" si="261"/>
        <v>12978.350999999999</v>
      </c>
      <c r="W1364" s="16">
        <f t="shared" si="262"/>
        <v>1297.8351</v>
      </c>
      <c r="X1364" s="16">
        <f t="shared" si="263"/>
        <v>14276.186099999999</v>
      </c>
      <c r="Y1364" s="16">
        <f t="shared" si="264"/>
        <v>5.9484108749999999E-3</v>
      </c>
      <c r="Z1364" s="16">
        <f t="shared" si="265"/>
        <v>3.6050974999999999E-2</v>
      </c>
      <c r="AA1364" s="17">
        <f t="shared" si="266"/>
        <v>2400000</v>
      </c>
      <c r="AB1364" s="10">
        <v>15936</v>
      </c>
      <c r="AC1364" s="18">
        <f t="shared" si="259"/>
        <v>94.793875704000001</v>
      </c>
      <c r="AD1364" s="12">
        <f t="shared" si="269"/>
        <v>548546</v>
      </c>
      <c r="AE1364" s="13">
        <f t="shared" si="267"/>
        <v>1851454</v>
      </c>
    </row>
    <row r="1365" spans="1:31">
      <c r="A1365" s="6">
        <v>12</v>
      </c>
      <c r="B1365" s="6">
        <f t="shared" si="268"/>
        <v>24</v>
      </c>
      <c r="C1365" s="6" t="str">
        <f t="shared" si="260"/>
        <v>560762022ALATCH, BUCKLE, K12 ROADM K12A/AT, SILVER, LATCH W54569304493980000</v>
      </c>
      <c r="D1365" s="7" t="s">
        <v>362</v>
      </c>
      <c r="E1365" s="6" t="s">
        <v>74</v>
      </c>
      <c r="F1365" s="6"/>
      <c r="G1365" s="7" t="s">
        <v>34</v>
      </c>
      <c r="H1365" s="19"/>
      <c r="I1365" s="19"/>
      <c r="J1365" s="19"/>
      <c r="K1365" s="19"/>
      <c r="L1365" s="14">
        <v>5456930</v>
      </c>
      <c r="M1365" s="22">
        <v>44939</v>
      </c>
      <c r="N1365" s="19" t="s">
        <v>185</v>
      </c>
      <c r="O1365" s="19" t="s">
        <v>332</v>
      </c>
      <c r="P1365" s="15">
        <v>80000</v>
      </c>
      <c r="Q1365" s="15">
        <v>680240</v>
      </c>
      <c r="R1365" s="15">
        <v>87082900</v>
      </c>
      <c r="S1365" s="15">
        <v>15</v>
      </c>
      <c r="T1365" s="19" t="s">
        <v>320</v>
      </c>
      <c r="U1365" s="19" t="s">
        <v>178</v>
      </c>
      <c r="V1365" s="16">
        <f t="shared" si="261"/>
        <v>102036</v>
      </c>
      <c r="W1365" s="16">
        <f t="shared" si="262"/>
        <v>10203.6</v>
      </c>
      <c r="X1365" s="16">
        <f t="shared" si="263"/>
        <v>112239.6</v>
      </c>
      <c r="Y1365" s="16">
        <f t="shared" si="264"/>
        <v>1.402995</v>
      </c>
      <c r="Z1365" s="16">
        <f t="shared" si="265"/>
        <v>8.5030000000000001</v>
      </c>
      <c r="AA1365" s="17">
        <f t="shared" si="266"/>
        <v>80000</v>
      </c>
      <c r="AB1365" s="10">
        <v>8768</v>
      </c>
      <c r="AC1365" s="18">
        <f t="shared" si="259"/>
        <v>12301.460160000001</v>
      </c>
      <c r="AD1365" s="12">
        <f t="shared" si="269"/>
        <v>74976</v>
      </c>
      <c r="AE1365" s="13">
        <f t="shared" si="267"/>
        <v>5024</v>
      </c>
    </row>
    <row r="1366" spans="1:31">
      <c r="A1366" s="6">
        <v>12</v>
      </c>
      <c r="B1366" s="6">
        <f t="shared" si="268"/>
        <v>25</v>
      </c>
      <c r="C1366" s="6" t="str">
        <f t="shared" si="260"/>
        <v>601472600ALATCH, RETRACTOR, R27, A ALL VERSIONS421598844951162000</v>
      </c>
      <c r="D1366" s="7" t="s">
        <v>362</v>
      </c>
      <c r="E1366" s="6" t="s">
        <v>63</v>
      </c>
      <c r="F1366" s="6"/>
      <c r="G1366" s="7" t="s">
        <v>23</v>
      </c>
      <c r="H1366" s="19"/>
      <c r="I1366" s="19"/>
      <c r="J1366" s="19"/>
      <c r="K1366" s="19"/>
      <c r="L1366" s="14">
        <v>4215988</v>
      </c>
      <c r="M1366" s="22">
        <v>44951</v>
      </c>
      <c r="N1366" s="19" t="s">
        <v>199</v>
      </c>
      <c r="O1366" s="19" t="s">
        <v>332</v>
      </c>
      <c r="P1366" s="15">
        <v>162000</v>
      </c>
      <c r="Q1366" s="15">
        <v>1167023.94</v>
      </c>
      <c r="R1366" s="15">
        <v>87082900</v>
      </c>
      <c r="S1366" s="15">
        <v>15</v>
      </c>
      <c r="T1366" s="19" t="s">
        <v>313</v>
      </c>
      <c r="U1366" s="19" t="s">
        <v>178</v>
      </c>
      <c r="V1366" s="16">
        <f t="shared" si="261"/>
        <v>175053.59099999999</v>
      </c>
      <c r="W1366" s="16">
        <f t="shared" si="262"/>
        <v>17505.359099999998</v>
      </c>
      <c r="X1366" s="16">
        <f t="shared" si="263"/>
        <v>192558.95009999999</v>
      </c>
      <c r="Y1366" s="16">
        <f t="shared" si="264"/>
        <v>1.1886354944444444</v>
      </c>
      <c r="Z1366" s="16">
        <f t="shared" si="265"/>
        <v>7.2038514814814816</v>
      </c>
      <c r="AA1366" s="17">
        <f t="shared" si="266"/>
        <v>162000</v>
      </c>
      <c r="AB1366" s="10">
        <v>2784</v>
      </c>
      <c r="AC1366" s="18">
        <f t="shared" si="259"/>
        <v>3309.1612165333331</v>
      </c>
      <c r="AD1366" s="12">
        <f t="shared" si="269"/>
        <v>86652</v>
      </c>
      <c r="AE1366" s="13">
        <f t="shared" si="267"/>
        <v>75348</v>
      </c>
    </row>
    <row r="1367" spans="1:31">
      <c r="A1367" s="6">
        <v>12</v>
      </c>
      <c r="B1367" s="6">
        <f t="shared" si="268"/>
        <v>26</v>
      </c>
      <c r="C1367" s="6" t="str">
        <f t="shared" si="260"/>
        <v>618472000BLEVER, CAR SENS, RETRACT ALL VERSIONS, NOISE REDU408531144933170000</v>
      </c>
      <c r="D1367" s="7" t="s">
        <v>362</v>
      </c>
      <c r="E1367" s="6" t="s">
        <v>69</v>
      </c>
      <c r="F1367" s="6"/>
      <c r="G1367" s="7" t="s">
        <v>29</v>
      </c>
      <c r="H1367" s="19"/>
      <c r="I1367" s="19"/>
      <c r="J1367" s="19"/>
      <c r="K1367" s="19"/>
      <c r="L1367" s="14">
        <v>4085311</v>
      </c>
      <c r="M1367" s="22">
        <v>44933</v>
      </c>
      <c r="N1367" s="19" t="s">
        <v>196</v>
      </c>
      <c r="O1367" s="19" t="s">
        <v>333</v>
      </c>
      <c r="P1367" s="15">
        <v>170000</v>
      </c>
      <c r="Q1367" s="15">
        <v>247799.42</v>
      </c>
      <c r="R1367" s="15">
        <v>87082900</v>
      </c>
      <c r="S1367" s="15">
        <v>15</v>
      </c>
      <c r="T1367" s="19" t="s">
        <v>316</v>
      </c>
      <c r="U1367" s="19" t="s">
        <v>178</v>
      </c>
      <c r="V1367" s="16">
        <f t="shared" si="261"/>
        <v>37169.913</v>
      </c>
      <c r="W1367" s="16">
        <f t="shared" si="262"/>
        <v>3716.9913000000001</v>
      </c>
      <c r="X1367" s="16">
        <f t="shared" si="263"/>
        <v>40886.904300000002</v>
      </c>
      <c r="Y1367" s="16">
        <f t="shared" si="264"/>
        <v>0.24051120176470589</v>
      </c>
      <c r="Z1367" s="16">
        <f t="shared" si="265"/>
        <v>1.4576436470588237</v>
      </c>
      <c r="AA1367" s="17">
        <f t="shared" si="266"/>
        <v>170000</v>
      </c>
      <c r="AB1367" s="10">
        <v>2784</v>
      </c>
      <c r="AC1367" s="18">
        <f t="shared" si="259"/>
        <v>669.58318571294114</v>
      </c>
      <c r="AD1367" s="12">
        <f t="shared" si="269"/>
        <v>86652</v>
      </c>
      <c r="AE1367" s="13">
        <f t="shared" si="267"/>
        <v>83348</v>
      </c>
    </row>
    <row r="1368" spans="1:31">
      <c r="A1368" s="6">
        <v>12</v>
      </c>
      <c r="B1368" s="6">
        <f t="shared" si="268"/>
        <v>27</v>
      </c>
      <c r="C1368" s="6" t="str">
        <f t="shared" si="260"/>
        <v>600188700BLEVER, WEB SENS, RETRACT ALL VERSIONS421599144956270000</v>
      </c>
      <c r="D1368" s="7" t="s">
        <v>362</v>
      </c>
      <c r="E1368" s="6" t="s">
        <v>60</v>
      </c>
      <c r="F1368" s="6"/>
      <c r="G1368" s="7" t="s">
        <v>20</v>
      </c>
      <c r="H1368" s="19"/>
      <c r="I1368" s="19"/>
      <c r="J1368" s="19"/>
      <c r="K1368" s="19"/>
      <c r="L1368" s="14">
        <v>4215991</v>
      </c>
      <c r="M1368" s="22">
        <v>44956</v>
      </c>
      <c r="N1368" s="19" t="s">
        <v>199</v>
      </c>
      <c r="O1368" s="19" t="s">
        <v>332</v>
      </c>
      <c r="P1368" s="15">
        <v>270000</v>
      </c>
      <c r="Q1368" s="15">
        <v>1513733.76</v>
      </c>
      <c r="R1368" s="15">
        <v>87082900</v>
      </c>
      <c r="S1368" s="15">
        <v>15</v>
      </c>
      <c r="T1368" s="19" t="s">
        <v>310</v>
      </c>
      <c r="U1368" s="19" t="s">
        <v>178</v>
      </c>
      <c r="V1368" s="16">
        <f t="shared" si="261"/>
        <v>227060.06399999998</v>
      </c>
      <c r="W1368" s="16">
        <f t="shared" si="262"/>
        <v>22706.006399999998</v>
      </c>
      <c r="X1368" s="16">
        <f t="shared" si="263"/>
        <v>249766.07039999997</v>
      </c>
      <c r="Y1368" s="16">
        <f t="shared" si="264"/>
        <v>0.92505951999999991</v>
      </c>
      <c r="Z1368" s="16">
        <f t="shared" si="265"/>
        <v>5.6064213333333335</v>
      </c>
      <c r="AA1368" s="17">
        <f t="shared" si="266"/>
        <v>270000</v>
      </c>
      <c r="AB1368" s="10">
        <v>2784</v>
      </c>
      <c r="AC1368" s="18">
        <f t="shared" si="259"/>
        <v>2575.3657036799996</v>
      </c>
      <c r="AD1368" s="12">
        <f t="shared" si="269"/>
        <v>86652</v>
      </c>
      <c r="AE1368" s="13">
        <f t="shared" si="267"/>
        <v>183348</v>
      </c>
    </row>
    <row r="1369" spans="1:31">
      <c r="A1369" s="6">
        <v>12</v>
      </c>
      <c r="B1369" s="6">
        <f t="shared" si="268"/>
        <v>28</v>
      </c>
      <c r="C1369" s="6" t="str">
        <f t="shared" si="260"/>
        <v>604213200ALOCKING BAR, BUCKLE, K12 K12A/AT, L=34.3, silver415111844909306000</v>
      </c>
      <c r="D1369" s="7" t="s">
        <v>362</v>
      </c>
      <c r="E1369" s="6" t="s">
        <v>75</v>
      </c>
      <c r="F1369" s="6"/>
      <c r="G1369" s="7" t="s">
        <v>35</v>
      </c>
      <c r="H1369" s="19"/>
      <c r="I1369" s="19"/>
      <c r="J1369" s="19"/>
      <c r="K1369" s="19"/>
      <c r="L1369" s="14">
        <v>4151118</v>
      </c>
      <c r="M1369" s="22">
        <v>44909</v>
      </c>
      <c r="N1369" s="19" t="s">
        <v>199</v>
      </c>
      <c r="O1369" s="19" t="s">
        <v>332</v>
      </c>
      <c r="P1369" s="15">
        <v>306000</v>
      </c>
      <c r="Q1369" s="15">
        <v>347494.89</v>
      </c>
      <c r="R1369" s="15">
        <v>87082900</v>
      </c>
      <c r="S1369" s="15">
        <v>15</v>
      </c>
      <c r="T1369" s="19" t="s">
        <v>319</v>
      </c>
      <c r="U1369" s="19" t="s">
        <v>178</v>
      </c>
      <c r="V1369" s="16">
        <f t="shared" si="261"/>
        <v>52124.233500000002</v>
      </c>
      <c r="W1369" s="16">
        <f t="shared" si="262"/>
        <v>5212.4233500000009</v>
      </c>
      <c r="X1369" s="16">
        <f t="shared" si="263"/>
        <v>57336.656849999999</v>
      </c>
      <c r="Y1369" s="16">
        <f t="shared" si="264"/>
        <v>0.1873746955882353</v>
      </c>
      <c r="Z1369" s="16">
        <f t="shared" si="265"/>
        <v>1.1356042156862745</v>
      </c>
      <c r="AA1369" s="17">
        <f t="shared" si="266"/>
        <v>306000</v>
      </c>
      <c r="AB1369" s="10">
        <v>8768</v>
      </c>
      <c r="AC1369" s="18">
        <f t="shared" si="259"/>
        <v>1642.9013309176471</v>
      </c>
      <c r="AD1369" s="12">
        <f t="shared" si="269"/>
        <v>94048</v>
      </c>
      <c r="AE1369" s="13">
        <f t="shared" si="267"/>
        <v>211952</v>
      </c>
    </row>
    <row r="1370" spans="1:31">
      <c r="A1370" s="6">
        <v>12</v>
      </c>
      <c r="B1370" s="6">
        <f t="shared" si="268"/>
        <v>29</v>
      </c>
      <c r="C1370" s="6" t="str">
        <f t="shared" si="260"/>
        <v>618472300CMASS, CAR SENS, RETRACTO ALL VERSIONS, CAR 2-PIN406183045012209560</v>
      </c>
      <c r="D1370" s="7" t="s">
        <v>362</v>
      </c>
      <c r="E1370" s="6" t="s">
        <v>70</v>
      </c>
      <c r="F1370" s="6"/>
      <c r="G1370" s="7" t="s">
        <v>30</v>
      </c>
      <c r="H1370" s="19"/>
      <c r="I1370" s="19"/>
      <c r="J1370" s="19"/>
      <c r="K1370" s="19"/>
      <c r="L1370" s="14">
        <v>4061830</v>
      </c>
      <c r="M1370" s="22">
        <v>45012</v>
      </c>
      <c r="N1370" s="19" t="s">
        <v>196</v>
      </c>
      <c r="O1370" s="19" t="s">
        <v>333</v>
      </c>
      <c r="P1370" s="15">
        <v>209560</v>
      </c>
      <c r="Q1370" s="15">
        <v>786307.66</v>
      </c>
      <c r="R1370" s="15">
        <v>87082900</v>
      </c>
      <c r="S1370" s="15">
        <v>15</v>
      </c>
      <c r="T1370" s="19" t="s">
        <v>317</v>
      </c>
      <c r="U1370" s="19" t="s">
        <v>178</v>
      </c>
      <c r="V1370" s="16">
        <f t="shared" si="261"/>
        <v>117946.149</v>
      </c>
      <c r="W1370" s="16">
        <f t="shared" si="262"/>
        <v>11794.6149</v>
      </c>
      <c r="X1370" s="16">
        <f t="shared" si="263"/>
        <v>129740.76390000001</v>
      </c>
      <c r="Y1370" s="16">
        <f t="shared" si="264"/>
        <v>0.61911034500858941</v>
      </c>
      <c r="Z1370" s="16">
        <f t="shared" si="265"/>
        <v>3.7521839091429663</v>
      </c>
      <c r="AA1370" s="17">
        <f t="shared" si="266"/>
        <v>209560</v>
      </c>
      <c r="AB1370" s="10">
        <v>2784</v>
      </c>
      <c r="AC1370" s="18">
        <f t="shared" si="259"/>
        <v>1723.6032005039128</v>
      </c>
      <c r="AD1370" s="12">
        <f t="shared" si="269"/>
        <v>86652</v>
      </c>
      <c r="AE1370" s="13">
        <f t="shared" si="267"/>
        <v>122908</v>
      </c>
    </row>
    <row r="1371" spans="1:31">
      <c r="A1371" s="6">
        <v>12</v>
      </c>
      <c r="B1371" s="6">
        <f t="shared" si="268"/>
        <v>30</v>
      </c>
      <c r="C1371" s="6" t="str">
        <f t="shared" si="260"/>
        <v>570028800FNUT, ISO, M5, LOCK, THRE LOCK, THREE SIDED TAMPER393103644928624000</v>
      </c>
      <c r="D1371" s="7" t="s">
        <v>362</v>
      </c>
      <c r="E1371" s="6" t="s">
        <v>47</v>
      </c>
      <c r="F1371" s="6"/>
      <c r="G1371" s="7" t="s">
        <v>9</v>
      </c>
      <c r="H1371" s="19"/>
      <c r="I1371" s="19"/>
      <c r="J1371" s="19"/>
      <c r="K1371" s="19"/>
      <c r="L1371" s="14">
        <v>3931036</v>
      </c>
      <c r="M1371" s="22">
        <v>44928</v>
      </c>
      <c r="N1371" s="19" t="s">
        <v>185</v>
      </c>
      <c r="O1371" s="19" t="s">
        <v>332</v>
      </c>
      <c r="P1371" s="15">
        <v>624000</v>
      </c>
      <c r="Q1371" s="15">
        <v>1155867.1000000001</v>
      </c>
      <c r="R1371" s="15">
        <v>87089500</v>
      </c>
      <c r="S1371" s="15">
        <v>15</v>
      </c>
      <c r="T1371" s="19" t="s">
        <v>302</v>
      </c>
      <c r="U1371" s="19" t="s">
        <v>178</v>
      </c>
      <c r="V1371" s="16">
        <f t="shared" si="261"/>
        <v>173380.065</v>
      </c>
      <c r="W1371" s="16">
        <f t="shared" si="262"/>
        <v>17338.0065</v>
      </c>
      <c r="X1371" s="16">
        <f t="shared" si="263"/>
        <v>190718.07149999999</v>
      </c>
      <c r="Y1371" s="16">
        <f t="shared" si="264"/>
        <v>0.30563793509615383</v>
      </c>
      <c r="Z1371" s="16">
        <f t="shared" si="265"/>
        <v>1.852351121794872</v>
      </c>
      <c r="AA1371" s="17">
        <f t="shared" si="266"/>
        <v>624000</v>
      </c>
      <c r="AB1371" s="10">
        <v>22176</v>
      </c>
      <c r="AC1371" s="18">
        <f t="shared" si="259"/>
        <v>6777.8268486923071</v>
      </c>
      <c r="AD1371" s="12">
        <f t="shared" si="269"/>
        <v>227952</v>
      </c>
      <c r="AE1371" s="13">
        <f t="shared" si="267"/>
        <v>396048</v>
      </c>
    </row>
    <row r="1372" spans="1:31">
      <c r="A1372" s="6">
        <v>12</v>
      </c>
      <c r="B1372" s="6">
        <f t="shared" si="268"/>
        <v>31</v>
      </c>
      <c r="C1372" s="6" t="str">
        <f t="shared" si="260"/>
        <v>621343500CNUT, ISO, M5, NYLON INSE NYLON INSERT417070644928390000</v>
      </c>
      <c r="D1372" s="7" t="s">
        <v>362</v>
      </c>
      <c r="E1372" s="6" t="s">
        <v>45</v>
      </c>
      <c r="F1372" s="6"/>
      <c r="G1372" s="7" t="s">
        <v>7</v>
      </c>
      <c r="H1372" s="19"/>
      <c r="I1372" s="19"/>
      <c r="J1372" s="19"/>
      <c r="K1372" s="19"/>
      <c r="L1372" s="14">
        <v>4170706</v>
      </c>
      <c r="M1372" s="22">
        <v>44928</v>
      </c>
      <c r="N1372" s="19" t="s">
        <v>196</v>
      </c>
      <c r="O1372" s="19" t="s">
        <v>332</v>
      </c>
      <c r="P1372" s="15">
        <v>390000</v>
      </c>
      <c r="Q1372" s="15">
        <v>806536.88</v>
      </c>
      <c r="R1372" s="15">
        <v>87089500</v>
      </c>
      <c r="S1372" s="15">
        <v>15</v>
      </c>
      <c r="T1372" s="19" t="s">
        <v>301</v>
      </c>
      <c r="U1372" s="19" t="s">
        <v>178</v>
      </c>
      <c r="V1372" s="16">
        <f t="shared" si="261"/>
        <v>120980.53199999999</v>
      </c>
      <c r="W1372" s="16">
        <f t="shared" si="262"/>
        <v>12098.0532</v>
      </c>
      <c r="X1372" s="16">
        <f t="shared" si="263"/>
        <v>133078.5852</v>
      </c>
      <c r="Y1372" s="16">
        <f t="shared" si="264"/>
        <v>0.34122714153846156</v>
      </c>
      <c r="Z1372" s="16">
        <f t="shared" si="265"/>
        <v>2.0680432820512822</v>
      </c>
      <c r="AA1372" s="17">
        <f t="shared" si="266"/>
        <v>390000</v>
      </c>
      <c r="AB1372" s="10">
        <v>44064</v>
      </c>
      <c r="AC1372" s="18">
        <f t="shared" si="259"/>
        <v>15035.83276475077</v>
      </c>
      <c r="AD1372" s="12">
        <f t="shared" si="269"/>
        <v>385128</v>
      </c>
      <c r="AE1372" s="13">
        <f t="shared" si="267"/>
        <v>4872</v>
      </c>
    </row>
    <row r="1373" spans="1:31">
      <c r="A1373" s="6">
        <v>12</v>
      </c>
      <c r="B1373" s="6">
        <f t="shared" si="268"/>
        <v>32</v>
      </c>
      <c r="C1373" s="6" t="str">
        <f t="shared" si="260"/>
        <v>NPB10271-ZKSCREW, SELF-TAPPING, MET OTHER, HEXALOBULAR INTER406701444998150000</v>
      </c>
      <c r="D1373" s="7" t="s">
        <v>362</v>
      </c>
      <c r="E1373" s="6" t="s">
        <v>76</v>
      </c>
      <c r="F1373" s="6"/>
      <c r="G1373" s="7" t="s">
        <v>36</v>
      </c>
      <c r="H1373" s="19"/>
      <c r="I1373" s="19"/>
      <c r="J1373" s="19"/>
      <c r="K1373" s="19"/>
      <c r="L1373" s="14">
        <v>4067014</v>
      </c>
      <c r="M1373" s="22">
        <v>44998</v>
      </c>
      <c r="N1373" s="19" t="s">
        <v>196</v>
      </c>
      <c r="O1373" s="19" t="s">
        <v>333</v>
      </c>
      <c r="P1373" s="15">
        <v>150000</v>
      </c>
      <c r="Q1373" s="15">
        <v>146157.25</v>
      </c>
      <c r="R1373" s="15">
        <v>87082900</v>
      </c>
      <c r="S1373" s="15">
        <v>15</v>
      </c>
      <c r="T1373" s="19" t="s">
        <v>321</v>
      </c>
      <c r="U1373" s="19" t="s">
        <v>178</v>
      </c>
      <c r="V1373" s="16">
        <f t="shared" si="261"/>
        <v>21923.587499999998</v>
      </c>
      <c r="W1373" s="16">
        <f t="shared" si="262"/>
        <v>2192.3587499999999</v>
      </c>
      <c r="X1373" s="16">
        <f t="shared" si="263"/>
        <v>24115.946249999997</v>
      </c>
      <c r="Y1373" s="16">
        <f t="shared" si="264"/>
        <v>0.16077297499999998</v>
      </c>
      <c r="Z1373" s="16">
        <f t="shared" si="265"/>
        <v>0.9743816666666667</v>
      </c>
      <c r="AA1373" s="17">
        <f t="shared" si="266"/>
        <v>150000</v>
      </c>
      <c r="AB1373" s="10">
        <v>17536</v>
      </c>
      <c r="AC1373" s="18">
        <f t="shared" si="259"/>
        <v>2819.3148895999998</v>
      </c>
      <c r="AD1373" s="12">
        <f t="shared" si="269"/>
        <v>149952</v>
      </c>
      <c r="AE1373" s="13">
        <f t="shared" si="267"/>
        <v>48</v>
      </c>
    </row>
    <row r="1374" spans="1:31">
      <c r="A1374" s="6">
        <v>12</v>
      </c>
      <c r="B1374" s="6">
        <f t="shared" si="268"/>
        <v>33</v>
      </c>
      <c r="C1374" s="6" t="str">
        <f t="shared" si="260"/>
        <v>601182600ASPINDLE, RETRACTOR, R27, STD43790984493343008</v>
      </c>
      <c r="D1374" s="7" t="s">
        <v>362</v>
      </c>
      <c r="E1374" s="6" t="s">
        <v>61</v>
      </c>
      <c r="F1374" s="6"/>
      <c r="G1374" s="7" t="s">
        <v>21</v>
      </c>
      <c r="H1374" s="19"/>
      <c r="I1374" s="19"/>
      <c r="J1374" s="19"/>
      <c r="K1374" s="19"/>
      <c r="L1374" s="14">
        <v>4379098</v>
      </c>
      <c r="M1374" s="22">
        <v>44933</v>
      </c>
      <c r="N1374" s="19" t="s">
        <v>185</v>
      </c>
      <c r="O1374" s="19" t="s">
        <v>332</v>
      </c>
      <c r="P1374" s="15">
        <v>43008</v>
      </c>
      <c r="Q1374" s="15">
        <v>1835488.61</v>
      </c>
      <c r="R1374" s="15">
        <v>87082900</v>
      </c>
      <c r="S1374" s="15">
        <v>15</v>
      </c>
      <c r="T1374" s="19" t="s">
        <v>311</v>
      </c>
      <c r="U1374" s="19" t="s">
        <v>178</v>
      </c>
      <c r="V1374" s="16">
        <f t="shared" si="261"/>
        <v>275323.29149999999</v>
      </c>
      <c r="W1374" s="16">
        <f t="shared" si="262"/>
        <v>27532.329150000001</v>
      </c>
      <c r="X1374" s="16">
        <f t="shared" si="263"/>
        <v>302855.62065</v>
      </c>
      <c r="Y1374" s="16">
        <f t="shared" si="264"/>
        <v>7.0418438581194192</v>
      </c>
      <c r="Z1374" s="16">
        <f t="shared" si="265"/>
        <v>42.677841564360122</v>
      </c>
      <c r="AA1374" s="17">
        <f t="shared" si="266"/>
        <v>43008</v>
      </c>
      <c r="AB1374" s="10">
        <v>2784</v>
      </c>
      <c r="AC1374" s="18">
        <f t="shared" si="259"/>
        <v>19604.493301004462</v>
      </c>
      <c r="AD1374" s="12">
        <f t="shared" si="269"/>
        <v>43008</v>
      </c>
      <c r="AE1374" s="13">
        <f t="shared" si="267"/>
        <v>0</v>
      </c>
    </row>
    <row r="1375" spans="1:31">
      <c r="A1375" s="6">
        <v>12</v>
      </c>
      <c r="B1375" s="6">
        <f t="shared" si="268"/>
        <v>34</v>
      </c>
      <c r="C1375" s="6" t="str">
        <f t="shared" si="260"/>
        <v>566305721BSPRING, SHEET, LEAF, RET ALL VERSIONS, WS ECE4742807449445000</v>
      </c>
      <c r="D1375" s="7" t="s">
        <v>362</v>
      </c>
      <c r="E1375" s="6" t="s">
        <v>59</v>
      </c>
      <c r="F1375" s="6"/>
      <c r="G1375" s="7" t="s">
        <v>19</v>
      </c>
      <c r="H1375" s="19"/>
      <c r="I1375" s="19"/>
      <c r="J1375" s="19"/>
      <c r="K1375" s="19"/>
      <c r="L1375" s="14">
        <v>4742807</v>
      </c>
      <c r="M1375" s="22">
        <v>44944</v>
      </c>
      <c r="N1375" s="19" t="s">
        <v>196</v>
      </c>
      <c r="O1375" s="19" t="s">
        <v>337</v>
      </c>
      <c r="P1375" s="15">
        <v>5000</v>
      </c>
      <c r="Q1375" s="15">
        <v>143362.42000000001</v>
      </c>
      <c r="R1375" s="15">
        <v>87082900</v>
      </c>
      <c r="S1375" s="15">
        <v>15</v>
      </c>
      <c r="T1375" s="19" t="s">
        <v>309</v>
      </c>
      <c r="U1375" s="19" t="s">
        <v>178</v>
      </c>
      <c r="V1375" s="16">
        <f t="shared" si="261"/>
        <v>21504.363000000001</v>
      </c>
      <c r="W1375" s="16">
        <f t="shared" si="262"/>
        <v>2150.4363000000003</v>
      </c>
      <c r="X1375" s="16">
        <f t="shared" si="263"/>
        <v>23654.799300000002</v>
      </c>
      <c r="Y1375" s="16">
        <f t="shared" si="264"/>
        <v>4.7309598600000005</v>
      </c>
      <c r="Z1375" s="16">
        <f t="shared" si="265"/>
        <v>28.672484000000004</v>
      </c>
      <c r="AA1375" s="17">
        <f t="shared" si="266"/>
        <v>5000</v>
      </c>
      <c r="AB1375" s="10">
        <v>47.328000000000003</v>
      </c>
      <c r="AC1375" s="18">
        <f t="shared" si="259"/>
        <v>223.90686825408002</v>
      </c>
      <c r="AD1375" s="12">
        <f t="shared" si="269"/>
        <v>1540.98</v>
      </c>
      <c r="AE1375" s="13">
        <v>0</v>
      </c>
    </row>
    <row r="1376" spans="1:31">
      <c r="A1376" s="6">
        <v>12</v>
      </c>
      <c r="B1376" s="6">
        <f t="shared" si="268"/>
        <v>35</v>
      </c>
      <c r="C1376" s="6" t="str">
        <f t="shared" si="260"/>
        <v>605151600ASPRING, SHEET, LEAF, RET ALL VERSIONS, WS US407852744933100000</v>
      </c>
      <c r="D1376" s="7" t="s">
        <v>362</v>
      </c>
      <c r="E1376" s="6" t="s">
        <v>65</v>
      </c>
      <c r="F1376" s="6"/>
      <c r="G1376" s="7" t="s">
        <v>25</v>
      </c>
      <c r="H1376" s="19"/>
      <c r="I1376" s="19"/>
      <c r="J1376" s="19"/>
      <c r="K1376" s="19"/>
      <c r="L1376" s="14">
        <v>4078527</v>
      </c>
      <c r="M1376" s="22">
        <v>44933</v>
      </c>
      <c r="N1376" s="19" t="s">
        <v>196</v>
      </c>
      <c r="O1376" s="19" t="s">
        <v>333</v>
      </c>
      <c r="P1376" s="15">
        <v>100000</v>
      </c>
      <c r="Q1376" s="15">
        <v>147318.03</v>
      </c>
      <c r="R1376" s="15">
        <v>87082900</v>
      </c>
      <c r="S1376" s="15">
        <v>15</v>
      </c>
      <c r="T1376" s="19" t="s">
        <v>314</v>
      </c>
      <c r="U1376" s="19" t="s">
        <v>178</v>
      </c>
      <c r="V1376" s="16">
        <f t="shared" si="261"/>
        <v>22097.7045</v>
      </c>
      <c r="W1376" s="16">
        <f t="shared" si="262"/>
        <v>2209.77045</v>
      </c>
      <c r="X1376" s="16">
        <f t="shared" si="263"/>
        <v>24307.47495</v>
      </c>
      <c r="Y1376" s="16">
        <f t="shared" si="264"/>
        <v>0.24307474949999999</v>
      </c>
      <c r="Z1376" s="16">
        <f t="shared" si="265"/>
        <v>1.4731802999999999</v>
      </c>
      <c r="AA1376" s="17">
        <f t="shared" si="266"/>
        <v>100000</v>
      </c>
      <c r="AB1376" s="10">
        <v>2784</v>
      </c>
      <c r="AC1376" s="18">
        <f t="shared" si="259"/>
        <v>676.72010260799993</v>
      </c>
      <c r="AD1376" s="12">
        <f t="shared" si="269"/>
        <v>86652</v>
      </c>
      <c r="AE1376" s="13">
        <f t="shared" si="267"/>
        <v>13348</v>
      </c>
    </row>
    <row r="1377" spans="1:31">
      <c r="A1377" s="6">
        <v>12</v>
      </c>
      <c r="B1377" s="6">
        <f t="shared" si="268"/>
        <v>36</v>
      </c>
      <c r="C1377" s="6" t="str">
        <f t="shared" si="260"/>
        <v>560130122ASPRING, WIRE, COMPRESSIO K12A/AT495151045028300000</v>
      </c>
      <c r="D1377" s="7" t="s">
        <v>362</v>
      </c>
      <c r="E1377" s="6" t="s">
        <v>73</v>
      </c>
      <c r="F1377" s="6"/>
      <c r="G1377" s="7" t="s">
        <v>33</v>
      </c>
      <c r="H1377" s="19"/>
      <c r="I1377" s="19"/>
      <c r="J1377" s="19"/>
      <c r="K1377" s="19"/>
      <c r="L1377" s="14">
        <v>4951510</v>
      </c>
      <c r="M1377" s="22">
        <v>45028</v>
      </c>
      <c r="N1377" s="19" t="s">
        <v>199</v>
      </c>
      <c r="O1377" s="19" t="s">
        <v>332</v>
      </c>
      <c r="P1377" s="15">
        <v>300000</v>
      </c>
      <c r="Q1377" s="15">
        <v>285155.93</v>
      </c>
      <c r="R1377" s="15">
        <v>87082900</v>
      </c>
      <c r="S1377" s="15">
        <v>15</v>
      </c>
      <c r="T1377" s="19" t="s">
        <v>319</v>
      </c>
      <c r="U1377" s="19" t="s">
        <v>178</v>
      </c>
      <c r="V1377" s="16">
        <f t="shared" si="261"/>
        <v>42773.389499999997</v>
      </c>
      <c r="W1377" s="16">
        <f t="shared" si="262"/>
        <v>4277.3389500000003</v>
      </c>
      <c r="X1377" s="16">
        <f t="shared" si="263"/>
        <v>47050.728449999995</v>
      </c>
      <c r="Y1377" s="16">
        <f t="shared" si="264"/>
        <v>0.15683576149999998</v>
      </c>
      <c r="Z1377" s="16">
        <f t="shared" si="265"/>
        <v>0.9505197666666666</v>
      </c>
      <c r="AA1377" s="17">
        <f t="shared" si="266"/>
        <v>300000</v>
      </c>
      <c r="AB1377" s="10">
        <v>8768</v>
      </c>
      <c r="AC1377" s="18">
        <f t="shared" si="259"/>
        <v>1375.1359568319997</v>
      </c>
      <c r="AD1377" s="12">
        <f t="shared" si="269"/>
        <v>94048</v>
      </c>
      <c r="AE1377" s="13">
        <f t="shared" si="267"/>
        <v>205952</v>
      </c>
    </row>
    <row r="1378" spans="1:31">
      <c r="A1378" s="6">
        <v>12</v>
      </c>
      <c r="B1378" s="6">
        <f t="shared" si="268"/>
        <v>37</v>
      </c>
      <c r="C1378" s="6" t="str">
        <f t="shared" si="260"/>
        <v>605555507ESTEERING DISC NATURE WHITE717838944902100800</v>
      </c>
      <c r="D1378" s="7" t="s">
        <v>362</v>
      </c>
      <c r="E1378" s="6" t="s">
        <v>66</v>
      </c>
      <c r="F1378" s="6"/>
      <c r="G1378" s="7" t="s">
        <v>26</v>
      </c>
      <c r="H1378" s="19"/>
      <c r="I1378" s="19"/>
      <c r="J1378" s="19"/>
      <c r="K1378" s="19"/>
      <c r="L1378" s="14">
        <v>7178389</v>
      </c>
      <c r="M1378" s="22">
        <v>44902</v>
      </c>
      <c r="N1378" s="19" t="s">
        <v>185</v>
      </c>
      <c r="O1378" s="19" t="s">
        <v>332</v>
      </c>
      <c r="P1378" s="15">
        <v>100800</v>
      </c>
      <c r="Q1378" s="15">
        <v>397158.13</v>
      </c>
      <c r="R1378" s="15">
        <v>87082900</v>
      </c>
      <c r="S1378" s="15">
        <v>15</v>
      </c>
      <c r="T1378" s="19" t="s">
        <v>315</v>
      </c>
      <c r="U1378" s="19" t="s">
        <v>178</v>
      </c>
      <c r="V1378" s="16">
        <f t="shared" si="261"/>
        <v>59573.719499999999</v>
      </c>
      <c r="W1378" s="16">
        <f t="shared" si="262"/>
        <v>5957.3719500000007</v>
      </c>
      <c r="X1378" s="16">
        <f t="shared" si="263"/>
        <v>65531.09145</v>
      </c>
      <c r="Y1378" s="16">
        <f t="shared" si="264"/>
        <v>0.65011003422619051</v>
      </c>
      <c r="Z1378" s="16">
        <f t="shared" si="265"/>
        <v>3.9400608134920634</v>
      </c>
      <c r="AA1378" s="17">
        <f t="shared" si="266"/>
        <v>100800</v>
      </c>
      <c r="AB1378" s="10">
        <v>2784</v>
      </c>
      <c r="AC1378" s="18">
        <f t="shared" si="259"/>
        <v>1809.9063352857145</v>
      </c>
      <c r="AD1378" s="12">
        <f t="shared" si="269"/>
        <v>80292</v>
      </c>
      <c r="AE1378" s="13">
        <f t="shared" si="267"/>
        <v>20508</v>
      </c>
    </row>
    <row r="1379" spans="1:31">
      <c r="A1379" s="6">
        <v>12</v>
      </c>
      <c r="B1379" s="6">
        <f t="shared" si="268"/>
        <v>38</v>
      </c>
      <c r="C1379" s="6" t="str">
        <f t="shared" si="260"/>
        <v>609183701ASTUD, M6 X 1.0, 16.036956764543984000</v>
      </c>
      <c r="D1379" s="7" t="s">
        <v>362</v>
      </c>
      <c r="E1379" s="6" t="s">
        <v>51</v>
      </c>
      <c r="F1379" s="6"/>
      <c r="G1379" s="7" t="s">
        <v>411</v>
      </c>
      <c r="H1379" s="19"/>
      <c r="I1379" s="19"/>
      <c r="J1379" s="19"/>
      <c r="K1379" s="19"/>
      <c r="L1379" s="14">
        <v>3695676</v>
      </c>
      <c r="M1379" s="22">
        <v>45439</v>
      </c>
      <c r="N1379" s="19" t="s">
        <v>185</v>
      </c>
      <c r="O1379" s="19" t="s">
        <v>332</v>
      </c>
      <c r="P1379" s="15">
        <v>84000</v>
      </c>
      <c r="Q1379" s="15">
        <v>238012.39</v>
      </c>
      <c r="R1379" s="15">
        <v>87089500</v>
      </c>
      <c r="S1379" s="15">
        <v>15</v>
      </c>
      <c r="T1379" s="19" t="s">
        <v>304</v>
      </c>
      <c r="U1379" s="19" t="s">
        <v>178</v>
      </c>
      <c r="V1379" s="16">
        <f t="shared" si="261"/>
        <v>35701.858500000002</v>
      </c>
      <c r="W1379" s="16">
        <f t="shared" si="262"/>
        <v>3570.1858500000003</v>
      </c>
      <c r="X1379" s="16">
        <f t="shared" si="263"/>
        <v>39272.044350000004</v>
      </c>
      <c r="Y1379" s="16">
        <f t="shared" si="264"/>
        <v>0.46752433750000005</v>
      </c>
      <c r="Z1379" s="16">
        <f t="shared" si="265"/>
        <v>2.8334808333333337</v>
      </c>
      <c r="AA1379" s="17">
        <f t="shared" si="266"/>
        <v>84000</v>
      </c>
      <c r="AB1379" s="10">
        <v>18048</v>
      </c>
      <c r="AC1379" s="18">
        <f t="shared" si="259"/>
        <v>8437.8792432000009</v>
      </c>
      <c r="AD1379" s="12">
        <f t="shared" si="269"/>
        <v>82196</v>
      </c>
      <c r="AE1379" s="13">
        <f t="shared" si="267"/>
        <v>1804</v>
      </c>
    </row>
    <row r="1380" spans="1:31">
      <c r="A1380" s="6">
        <v>12</v>
      </c>
      <c r="B1380" s="6">
        <f t="shared" si="268"/>
        <v>39</v>
      </c>
      <c r="C1380" s="6" t="str">
        <f t="shared" si="260"/>
        <v>625090202BTAPE, IC, CONTINUOUS, 13.0 MM., PET 3M 842196603534476311700</v>
      </c>
      <c r="D1380" s="7" t="s">
        <v>362</v>
      </c>
      <c r="E1380" s="6" t="s">
        <v>128</v>
      </c>
      <c r="F1380" s="6"/>
      <c r="G1380" s="19" t="s">
        <v>103</v>
      </c>
      <c r="H1380" s="19"/>
      <c r="I1380" s="19"/>
      <c r="J1380" s="19"/>
      <c r="K1380" s="19"/>
      <c r="L1380" s="14">
        <v>9660353</v>
      </c>
      <c r="M1380" s="22">
        <v>44763</v>
      </c>
      <c r="N1380" s="19" t="s">
        <v>196</v>
      </c>
      <c r="O1380" s="19" t="s">
        <v>333</v>
      </c>
      <c r="P1380" s="15">
        <v>11700</v>
      </c>
      <c r="Q1380" s="15">
        <v>147455.71</v>
      </c>
      <c r="R1380" s="15">
        <v>87089500</v>
      </c>
      <c r="S1380" s="15">
        <v>15</v>
      </c>
      <c r="T1380" s="19" t="s">
        <v>228</v>
      </c>
      <c r="U1380" s="19" t="s">
        <v>178</v>
      </c>
      <c r="V1380" s="16">
        <f t="shared" si="261"/>
        <v>22118.356499999998</v>
      </c>
      <c r="W1380" s="16">
        <f t="shared" si="262"/>
        <v>2211.83565</v>
      </c>
      <c r="X1380" s="16">
        <f t="shared" si="263"/>
        <v>24330.192149999999</v>
      </c>
      <c r="Y1380" s="16">
        <f t="shared" si="264"/>
        <v>2.0795036025641025</v>
      </c>
      <c r="Z1380" s="16">
        <f t="shared" si="265"/>
        <v>12.603052136752137</v>
      </c>
      <c r="AA1380" s="17">
        <f t="shared" si="266"/>
        <v>11700</v>
      </c>
      <c r="AB1380" s="10">
        <v>3298.56</v>
      </c>
      <c r="AC1380" s="18">
        <f t="shared" si="259"/>
        <v>6859.3674032738454</v>
      </c>
      <c r="AD1380" s="12">
        <f t="shared" si="269"/>
        <v>5418.24</v>
      </c>
      <c r="AE1380" s="13">
        <f t="shared" si="267"/>
        <v>6281.76</v>
      </c>
    </row>
    <row r="1381" spans="1:31">
      <c r="A1381" s="6">
        <v>12</v>
      </c>
      <c r="B1381" s="6">
        <f t="shared" si="268"/>
        <v>40</v>
      </c>
      <c r="C1381" s="6" t="str">
        <f t="shared" si="260"/>
        <v>NWB2834WASHER, WAVED 69498204512640000</v>
      </c>
      <c r="D1381" s="7" t="s">
        <v>362</v>
      </c>
      <c r="E1381" s="6" t="s">
        <v>77</v>
      </c>
      <c r="F1381" s="6"/>
      <c r="G1381" s="7" t="s">
        <v>37</v>
      </c>
      <c r="H1381" s="19"/>
      <c r="I1381" s="19"/>
      <c r="J1381" s="19"/>
      <c r="K1381" s="19"/>
      <c r="L1381" s="14">
        <v>6949820</v>
      </c>
      <c r="M1381" s="22">
        <v>45126</v>
      </c>
      <c r="N1381" s="19" t="s">
        <v>196</v>
      </c>
      <c r="O1381" s="19" t="s">
        <v>333</v>
      </c>
      <c r="P1381" s="15">
        <v>40000</v>
      </c>
      <c r="Q1381" s="15">
        <v>70563.69</v>
      </c>
      <c r="R1381" s="15">
        <v>87082900</v>
      </c>
      <c r="S1381" s="15">
        <v>15</v>
      </c>
      <c r="T1381" s="19" t="s">
        <v>207</v>
      </c>
      <c r="U1381" s="19" t="s">
        <v>178</v>
      </c>
      <c r="V1381" s="16">
        <f t="shared" si="261"/>
        <v>10584.5535</v>
      </c>
      <c r="W1381" s="16">
        <f t="shared" si="262"/>
        <v>1058.45535</v>
      </c>
      <c r="X1381" s="16">
        <f t="shared" si="263"/>
        <v>11643.00885</v>
      </c>
      <c r="Y1381" s="16">
        <f t="shared" si="264"/>
        <v>0.29107522125000002</v>
      </c>
      <c r="Z1381" s="16">
        <f t="shared" si="265"/>
        <v>1.76409225</v>
      </c>
      <c r="AA1381" s="17">
        <f t="shared" si="266"/>
        <v>40000</v>
      </c>
      <c r="AB1381" s="10">
        <v>8768</v>
      </c>
      <c r="AC1381" s="18">
        <f t="shared" si="259"/>
        <v>2552.1475399200003</v>
      </c>
      <c r="AD1381" s="12">
        <f t="shared" si="269"/>
        <v>36128</v>
      </c>
      <c r="AE1381" s="13">
        <f t="shared" si="267"/>
        <v>3872</v>
      </c>
    </row>
    <row r="1382" spans="1:31">
      <c r="A1382" s="6">
        <v>12</v>
      </c>
      <c r="B1382" s="6">
        <f t="shared" si="268"/>
        <v>41</v>
      </c>
      <c r="C1382" s="6" t="str">
        <f t="shared" si="260"/>
        <v>566098600CWEBBING PIN, RETRACTOR, AGB, AGB-95POM FARBE:SCH432749644950120000</v>
      </c>
      <c r="D1382" s="7" t="s">
        <v>362</v>
      </c>
      <c r="E1382" s="6" t="s">
        <v>57</v>
      </c>
      <c r="F1382" s="6"/>
      <c r="G1382" s="7" t="s">
        <v>17</v>
      </c>
      <c r="H1382" s="19"/>
      <c r="I1382" s="19"/>
      <c r="J1382" s="19"/>
      <c r="K1382" s="19"/>
      <c r="L1382" s="14">
        <v>4327496</v>
      </c>
      <c r="M1382" s="22">
        <v>44950</v>
      </c>
      <c r="N1382" s="19" t="s">
        <v>199</v>
      </c>
      <c r="O1382" s="19" t="s">
        <v>332</v>
      </c>
      <c r="P1382" s="15">
        <v>120000</v>
      </c>
      <c r="Q1382" s="15">
        <v>117311.7</v>
      </c>
      <c r="R1382" s="15">
        <v>87082900</v>
      </c>
      <c r="S1382" s="15">
        <v>15</v>
      </c>
      <c r="T1382" s="19" t="s">
        <v>307</v>
      </c>
      <c r="U1382" s="19" t="s">
        <v>178</v>
      </c>
      <c r="V1382" s="16">
        <f t="shared" si="261"/>
        <v>17596.754999999997</v>
      </c>
      <c r="W1382" s="16">
        <f t="shared" si="262"/>
        <v>1759.6754999999998</v>
      </c>
      <c r="X1382" s="16">
        <f t="shared" si="263"/>
        <v>19356.430499999999</v>
      </c>
      <c r="Y1382" s="16">
        <f t="shared" si="264"/>
        <v>0.16130358749999998</v>
      </c>
      <c r="Z1382" s="16">
        <f t="shared" si="265"/>
        <v>0.97759750000000001</v>
      </c>
      <c r="AA1382" s="17">
        <f t="shared" si="266"/>
        <v>120000</v>
      </c>
      <c r="AB1382" s="10">
        <v>2784</v>
      </c>
      <c r="AC1382" s="18">
        <f t="shared" si="259"/>
        <v>449.06918759999996</v>
      </c>
      <c r="AD1382" s="12">
        <f t="shared" si="269"/>
        <v>86652</v>
      </c>
      <c r="AE1382" s="13">
        <f t="shared" si="267"/>
        <v>33348</v>
      </c>
    </row>
    <row r="1383" spans="1:31">
      <c r="A1383" s="6">
        <v>12</v>
      </c>
      <c r="B1383" s="6">
        <f t="shared" si="268"/>
        <v>42</v>
      </c>
      <c r="C1383" s="6" t="str">
        <f t="shared" si="260"/>
        <v>603171100BTAPE, ADHESIVE, TERAOKA TERAOKA NO.560S 283492694503640000</v>
      </c>
      <c r="D1383" s="7" t="s">
        <v>362</v>
      </c>
      <c r="E1383" s="6" t="s">
        <v>50</v>
      </c>
      <c r="F1383" s="6"/>
      <c r="G1383" s="7" t="s">
        <v>12</v>
      </c>
      <c r="H1383" s="19"/>
      <c r="I1383" s="19"/>
      <c r="J1383" s="19"/>
      <c r="K1383" s="19"/>
      <c r="L1383" s="14">
        <v>8349269</v>
      </c>
      <c r="M1383" s="22">
        <v>45036</v>
      </c>
      <c r="N1383" s="19" t="s">
        <v>180</v>
      </c>
      <c r="O1383" s="19" t="s">
        <v>333</v>
      </c>
      <c r="P1383" s="15">
        <v>40000</v>
      </c>
      <c r="Q1383" s="15">
        <v>180520.2</v>
      </c>
      <c r="R1383" s="15">
        <v>39199090</v>
      </c>
      <c r="S1383" s="15">
        <v>15</v>
      </c>
      <c r="T1383" s="19" t="s">
        <v>342</v>
      </c>
      <c r="U1383" s="19" t="s">
        <v>178</v>
      </c>
      <c r="V1383" s="16">
        <f t="shared" si="261"/>
        <v>27078.030000000002</v>
      </c>
      <c r="W1383" s="16">
        <f t="shared" si="262"/>
        <v>2707.8030000000003</v>
      </c>
      <c r="X1383" s="16">
        <f t="shared" si="263"/>
        <v>29785.833000000002</v>
      </c>
      <c r="Y1383" s="16">
        <f t="shared" si="264"/>
        <v>0.74464582500000009</v>
      </c>
      <c r="Z1383" s="16">
        <f t="shared" si="265"/>
        <v>4.5130050000000006</v>
      </c>
      <c r="AA1383" s="17">
        <f t="shared" si="266"/>
        <v>40000</v>
      </c>
      <c r="AB1383" s="10">
        <v>576</v>
      </c>
      <c r="AC1383" s="18">
        <f t="shared" si="259"/>
        <v>428.91599520000005</v>
      </c>
      <c r="AD1383" s="12">
        <f t="shared" si="269"/>
        <v>12498</v>
      </c>
      <c r="AE1383" s="13">
        <f t="shared" si="267"/>
        <v>27502</v>
      </c>
    </row>
    <row r="1384" spans="1:31">
      <c r="A1384" s="6">
        <v>12</v>
      </c>
      <c r="B1384" s="6">
        <f t="shared" si="268"/>
        <v>43</v>
      </c>
      <c r="C1384" s="6" t="str">
        <f t="shared" si="260"/>
        <v>PC47516-3810SNAP-IN-FASTENER, PUSH P PUSH PIN, BLACK98316324531614000</v>
      </c>
      <c r="D1384" s="7" t="s">
        <v>362</v>
      </c>
      <c r="E1384" s="6" t="s">
        <v>54</v>
      </c>
      <c r="F1384" s="6"/>
      <c r="G1384" s="7" t="s">
        <v>14</v>
      </c>
      <c r="H1384" s="19"/>
      <c r="I1384" s="19"/>
      <c r="J1384" s="19"/>
      <c r="K1384" s="19"/>
      <c r="L1384" s="14">
        <v>9831632</v>
      </c>
      <c r="M1384" s="22">
        <v>45316</v>
      </c>
      <c r="N1384" s="19" t="s">
        <v>196</v>
      </c>
      <c r="O1384" s="19" t="s">
        <v>333</v>
      </c>
      <c r="P1384" s="15">
        <v>14000</v>
      </c>
      <c r="Q1384" s="15">
        <v>16391.05</v>
      </c>
      <c r="R1384" s="15">
        <v>87089500</v>
      </c>
      <c r="S1384" s="15">
        <v>15</v>
      </c>
      <c r="T1384" s="19" t="s">
        <v>306</v>
      </c>
      <c r="U1384" s="19" t="s">
        <v>178</v>
      </c>
      <c r="V1384" s="16">
        <f t="shared" si="261"/>
        <v>2458.6574999999998</v>
      </c>
      <c r="W1384" s="16">
        <f t="shared" si="262"/>
        <v>245.86574999999999</v>
      </c>
      <c r="X1384" s="16">
        <f t="shared" si="263"/>
        <v>2704.5232499999997</v>
      </c>
      <c r="Y1384" s="16">
        <f t="shared" si="264"/>
        <v>0.19318023214285712</v>
      </c>
      <c r="Z1384" s="16">
        <f t="shared" si="265"/>
        <v>1.1707892857142856</v>
      </c>
      <c r="AA1384" s="17">
        <f t="shared" si="266"/>
        <v>14000</v>
      </c>
      <c r="AB1384" s="10">
        <v>1920</v>
      </c>
      <c r="AC1384" s="18">
        <f t="shared" si="259"/>
        <v>370.90604571428565</v>
      </c>
      <c r="AD1384" s="12">
        <f t="shared" si="269"/>
        <v>12672</v>
      </c>
      <c r="AE1384" s="13">
        <f t="shared" si="267"/>
        <v>1328</v>
      </c>
    </row>
    <row r="1385" spans="1:31">
      <c r="A1385" s="6">
        <v>13</v>
      </c>
      <c r="B1385" s="6">
        <v>1</v>
      </c>
      <c r="C1385" s="6" t="str">
        <f t="shared" si="260"/>
        <v>666041100AAB Cushion ICAB FI 2 Row C9706706453082500</v>
      </c>
      <c r="D1385" s="7" t="s">
        <v>372</v>
      </c>
      <c r="E1385" s="6" t="s">
        <v>476</v>
      </c>
      <c r="F1385" s="6"/>
      <c r="G1385" s="7" t="s">
        <v>246</v>
      </c>
      <c r="H1385" s="19"/>
      <c r="I1385" s="19"/>
      <c r="J1385" s="19"/>
      <c r="K1385" s="19"/>
      <c r="L1385" s="14">
        <v>9706706</v>
      </c>
      <c r="M1385" s="22">
        <v>45308</v>
      </c>
      <c r="N1385" s="19" t="s">
        <v>185</v>
      </c>
      <c r="O1385" s="19" t="s">
        <v>332</v>
      </c>
      <c r="P1385" s="15">
        <v>2500</v>
      </c>
      <c r="Q1385" s="15">
        <v>2193651.81</v>
      </c>
      <c r="R1385" s="15">
        <v>87089500</v>
      </c>
      <c r="S1385" s="15">
        <v>15</v>
      </c>
      <c r="T1385" s="19" t="s">
        <v>370</v>
      </c>
      <c r="U1385" s="19" t="s">
        <v>178</v>
      </c>
      <c r="V1385" s="16">
        <f t="shared" si="261"/>
        <v>329047.77149999997</v>
      </c>
      <c r="W1385" s="16">
        <f t="shared" si="262"/>
        <v>32904.777150000002</v>
      </c>
      <c r="X1385" s="16">
        <f t="shared" si="263"/>
        <v>361952.54864999995</v>
      </c>
      <c r="Y1385" s="16">
        <f t="shared" si="264"/>
        <v>144.78101945999998</v>
      </c>
      <c r="Z1385" s="16">
        <f t="shared" si="265"/>
        <v>877.46072400000003</v>
      </c>
      <c r="AA1385" s="17">
        <f t="shared" si="266"/>
        <v>2500</v>
      </c>
      <c r="AB1385" s="10">
        <v>2496</v>
      </c>
      <c r="AC1385" s="18">
        <f t="shared" si="259"/>
        <v>361373.42457215994</v>
      </c>
      <c r="AD1385" s="12">
        <f t="shared" si="269"/>
        <v>2496</v>
      </c>
      <c r="AE1385" s="13">
        <f t="shared" si="267"/>
        <v>4</v>
      </c>
    </row>
    <row r="1386" spans="1:31">
      <c r="A1386" s="6">
        <v>13</v>
      </c>
      <c r="B1386" s="6">
        <f t="shared" si="268"/>
        <v>2</v>
      </c>
      <c r="C1386" s="6" t="str">
        <f t="shared" si="260"/>
        <v>643302000AINFLATOR, ADP-1.3B, MP, MIB, SQUARE, NO STUD94867304529219872</v>
      </c>
      <c r="D1386" s="7" t="s">
        <v>372</v>
      </c>
      <c r="E1386" s="6" t="s">
        <v>46</v>
      </c>
      <c r="F1386" s="6"/>
      <c r="G1386" s="7" t="s">
        <v>8</v>
      </c>
      <c r="H1386" s="19"/>
      <c r="I1386" s="19"/>
      <c r="J1386" s="19"/>
      <c r="K1386" s="19"/>
      <c r="L1386" s="14">
        <v>9486730</v>
      </c>
      <c r="M1386" s="22">
        <v>45292</v>
      </c>
      <c r="N1386" s="19" t="s">
        <v>197</v>
      </c>
      <c r="O1386" s="19" t="s">
        <v>333</v>
      </c>
      <c r="P1386" s="15">
        <v>19872</v>
      </c>
      <c r="Q1386" s="15">
        <v>5160310.24</v>
      </c>
      <c r="R1386" s="15">
        <v>87089500</v>
      </c>
      <c r="S1386" s="15">
        <v>15</v>
      </c>
      <c r="T1386" s="19" t="s">
        <v>202</v>
      </c>
      <c r="U1386" s="19" t="s">
        <v>178</v>
      </c>
      <c r="V1386" s="16">
        <f t="shared" si="261"/>
        <v>774046.53599999996</v>
      </c>
      <c r="W1386" s="16">
        <f t="shared" si="262"/>
        <v>77404.653600000005</v>
      </c>
      <c r="X1386" s="16">
        <f t="shared" si="263"/>
        <v>851451.18959999993</v>
      </c>
      <c r="Y1386" s="16">
        <f t="shared" si="264"/>
        <v>42.846778864734297</v>
      </c>
      <c r="Z1386" s="16">
        <f t="shared" si="265"/>
        <v>259.67744766505638</v>
      </c>
      <c r="AA1386" s="17">
        <f t="shared" si="266"/>
        <v>19872</v>
      </c>
      <c r="AB1386" s="10">
        <v>6696</v>
      </c>
      <c r="AC1386" s="18">
        <f t="shared" si="259"/>
        <v>286902.03127826087</v>
      </c>
      <c r="AD1386" s="12">
        <f t="shared" si="269"/>
        <v>19872</v>
      </c>
      <c r="AE1386" s="13">
        <f t="shared" si="267"/>
        <v>0</v>
      </c>
    </row>
    <row r="1387" spans="1:31">
      <c r="A1387" s="6">
        <v>13</v>
      </c>
      <c r="B1387" s="6">
        <f t="shared" si="268"/>
        <v>3</v>
      </c>
      <c r="C1387" s="6" t="str">
        <f t="shared" si="260"/>
        <v>642837500BLABEL, BLANK, BAR CODE953025945295100000</v>
      </c>
      <c r="D1387" s="7" t="s">
        <v>372</v>
      </c>
      <c r="E1387" s="6" t="s">
        <v>478</v>
      </c>
      <c r="F1387" s="6"/>
      <c r="G1387" s="7" t="s">
        <v>369</v>
      </c>
      <c r="H1387" s="19"/>
      <c r="I1387" s="19"/>
      <c r="J1387" s="19"/>
      <c r="K1387" s="19"/>
      <c r="L1387" s="14">
        <v>9530259</v>
      </c>
      <c r="M1387" s="22">
        <v>45295</v>
      </c>
      <c r="N1387" s="19" t="s">
        <v>196</v>
      </c>
      <c r="O1387" s="19" t="s">
        <v>333</v>
      </c>
      <c r="P1387" s="15">
        <v>100000</v>
      </c>
      <c r="Q1387" s="15">
        <v>17096.91</v>
      </c>
      <c r="R1387" s="15">
        <v>87082900</v>
      </c>
      <c r="S1387" s="15">
        <v>15</v>
      </c>
      <c r="T1387" s="19" t="s">
        <v>351</v>
      </c>
      <c r="U1387" s="19" t="s">
        <v>178</v>
      </c>
      <c r="V1387" s="16">
        <f t="shared" si="261"/>
        <v>2564.5364999999997</v>
      </c>
      <c r="W1387" s="16">
        <f t="shared" si="262"/>
        <v>256.45364999999998</v>
      </c>
      <c r="X1387" s="16">
        <f t="shared" si="263"/>
        <v>2820.9901499999996</v>
      </c>
      <c r="Y1387" s="16">
        <f t="shared" si="264"/>
        <v>2.8209901499999995E-2</v>
      </c>
      <c r="Z1387" s="16">
        <f t="shared" si="265"/>
        <v>0.17096909999999998</v>
      </c>
      <c r="AA1387" s="17">
        <f t="shared" si="266"/>
        <v>100000</v>
      </c>
      <c r="AB1387" s="10">
        <v>7308</v>
      </c>
      <c r="AC1387" s="18">
        <f t="shared" si="259"/>
        <v>206.15796016199997</v>
      </c>
      <c r="AD1387" s="12">
        <f t="shared" si="269"/>
        <v>100000</v>
      </c>
      <c r="AE1387" s="13">
        <f t="shared" si="267"/>
        <v>0</v>
      </c>
    </row>
    <row r="1388" spans="1:31">
      <c r="A1388" s="6">
        <v>13</v>
      </c>
      <c r="B1388" s="6">
        <f t="shared" si="268"/>
        <v>4</v>
      </c>
      <c r="C1388" s="6" t="str">
        <f t="shared" si="260"/>
        <v>616531900ARING, CRIMP, CLAMP, BAND95511574529740000</v>
      </c>
      <c r="D1388" s="7" t="s">
        <v>372</v>
      </c>
      <c r="E1388" s="6" t="s">
        <v>52</v>
      </c>
      <c r="F1388" s="6"/>
      <c r="G1388" s="7" t="s">
        <v>410</v>
      </c>
      <c r="H1388" s="19"/>
      <c r="I1388" s="19"/>
      <c r="J1388" s="19"/>
      <c r="K1388" s="19"/>
      <c r="L1388" s="14">
        <v>9551157</v>
      </c>
      <c r="M1388" s="22">
        <v>45297</v>
      </c>
      <c r="N1388" s="19" t="s">
        <v>196</v>
      </c>
      <c r="O1388" s="19" t="s">
        <v>333</v>
      </c>
      <c r="P1388" s="15">
        <v>40000</v>
      </c>
      <c r="Q1388" s="15">
        <v>781226.49</v>
      </c>
      <c r="R1388" s="15">
        <v>87089500</v>
      </c>
      <c r="S1388" s="15">
        <v>15</v>
      </c>
      <c r="T1388" s="19" t="s">
        <v>364</v>
      </c>
      <c r="U1388" s="19" t="s">
        <v>178</v>
      </c>
      <c r="V1388" s="16">
        <f t="shared" si="261"/>
        <v>117183.97349999999</v>
      </c>
      <c r="W1388" s="16">
        <f t="shared" si="262"/>
        <v>11718.397349999999</v>
      </c>
      <c r="X1388" s="16">
        <f t="shared" si="263"/>
        <v>128902.37084999999</v>
      </c>
      <c r="Y1388" s="16">
        <f t="shared" si="264"/>
        <v>3.2225592712499997</v>
      </c>
      <c r="Z1388" s="16">
        <f t="shared" si="265"/>
        <v>19.530662249999999</v>
      </c>
      <c r="AA1388" s="17">
        <f t="shared" si="266"/>
        <v>40000</v>
      </c>
      <c r="AB1388" s="10">
        <v>9984</v>
      </c>
      <c r="AC1388" s="18">
        <f t="shared" si="259"/>
        <v>32174.031764159998</v>
      </c>
      <c r="AD1388" s="12">
        <f t="shared" si="269"/>
        <v>38592</v>
      </c>
      <c r="AE1388" s="13">
        <f t="shared" si="267"/>
        <v>1408</v>
      </c>
    </row>
    <row r="1389" spans="1:31">
      <c r="A1389" s="6">
        <v>13</v>
      </c>
      <c r="B1389" s="6">
        <f t="shared" si="268"/>
        <v>5</v>
      </c>
      <c r="C1389" s="6" t="str">
        <f t="shared" si="260"/>
        <v>601182600ASPINDLE, RETRACTOR, R27, STD98117254531517920</v>
      </c>
      <c r="D1389" s="7" t="s">
        <v>372</v>
      </c>
      <c r="E1389" s="6" t="s">
        <v>61</v>
      </c>
      <c r="F1389" s="6"/>
      <c r="G1389" s="7" t="s">
        <v>21</v>
      </c>
      <c r="H1389" s="19"/>
      <c r="I1389" s="19"/>
      <c r="J1389" s="19"/>
      <c r="K1389" s="19"/>
      <c r="L1389" s="14">
        <v>9811725</v>
      </c>
      <c r="M1389" s="22">
        <v>45315</v>
      </c>
      <c r="N1389" s="19" t="s">
        <v>185</v>
      </c>
      <c r="O1389" s="19" t="s">
        <v>332</v>
      </c>
      <c r="P1389" s="15">
        <v>17920</v>
      </c>
      <c r="Q1389" s="15">
        <v>781622.05</v>
      </c>
      <c r="R1389" s="15">
        <v>87082900</v>
      </c>
      <c r="S1389" s="15">
        <v>15</v>
      </c>
      <c r="T1389" s="19" t="s">
        <v>371</v>
      </c>
      <c r="U1389" s="19" t="s">
        <v>178</v>
      </c>
      <c r="V1389" s="16">
        <f t="shared" si="261"/>
        <v>117243.30750000001</v>
      </c>
      <c r="W1389" s="16">
        <f t="shared" si="262"/>
        <v>11724.330750000001</v>
      </c>
      <c r="X1389" s="16">
        <f t="shared" si="263"/>
        <v>128967.63825000002</v>
      </c>
      <c r="Y1389" s="16">
        <f t="shared" si="264"/>
        <v>7.196854813058037</v>
      </c>
      <c r="Z1389" s="16">
        <f t="shared" si="265"/>
        <v>43.617301897321433</v>
      </c>
      <c r="AA1389" s="17">
        <f t="shared" si="266"/>
        <v>17920</v>
      </c>
      <c r="AB1389" s="10">
        <v>3564</v>
      </c>
      <c r="AC1389" s="18">
        <f t="shared" si="259"/>
        <v>25649.590553738843</v>
      </c>
      <c r="AD1389" s="12">
        <f t="shared" si="269"/>
        <v>17676</v>
      </c>
      <c r="AE1389" s="13">
        <f t="shared" si="267"/>
        <v>244</v>
      </c>
    </row>
    <row r="1390" spans="1:31">
      <c r="A1390" s="6">
        <v>13</v>
      </c>
      <c r="B1390" s="6">
        <f t="shared" si="268"/>
        <v>6</v>
      </c>
      <c r="C1390" s="6" t="str">
        <f t="shared" si="260"/>
        <v>615795701BPILLAR LOOP, OVERMOULDED LIGHT GRAY, STD, WITH CA2725129453744000</v>
      </c>
      <c r="D1390" s="7" t="s">
        <v>372</v>
      </c>
      <c r="E1390" s="6" t="s">
        <v>67</v>
      </c>
      <c r="F1390" s="6"/>
      <c r="G1390" s="7" t="s">
        <v>27</v>
      </c>
      <c r="H1390" s="19"/>
      <c r="I1390" s="19"/>
      <c r="J1390" s="19"/>
      <c r="K1390" s="19"/>
      <c r="L1390" s="14">
        <v>2725129</v>
      </c>
      <c r="M1390" s="22">
        <v>45374</v>
      </c>
      <c r="N1390" s="19" t="s">
        <v>185</v>
      </c>
      <c r="O1390" s="19" t="s">
        <v>332</v>
      </c>
      <c r="P1390" s="15">
        <v>4000</v>
      </c>
      <c r="Q1390" s="15">
        <v>234990.73</v>
      </c>
      <c r="R1390" s="15">
        <v>87082900</v>
      </c>
      <c r="S1390" s="15">
        <v>15</v>
      </c>
      <c r="T1390" s="19" t="s">
        <v>198</v>
      </c>
      <c r="U1390" s="19" t="s">
        <v>178</v>
      </c>
      <c r="V1390" s="16">
        <f t="shared" si="261"/>
        <v>35248.609499999999</v>
      </c>
      <c r="W1390" s="16">
        <f t="shared" si="262"/>
        <v>3524.8609500000002</v>
      </c>
      <c r="X1390" s="16">
        <f t="shared" si="263"/>
        <v>38773.470450000001</v>
      </c>
      <c r="Y1390" s="16">
        <f t="shared" si="264"/>
        <v>9.6933676124999995</v>
      </c>
      <c r="Z1390" s="16">
        <f t="shared" si="265"/>
        <v>58.747682500000003</v>
      </c>
      <c r="AA1390" s="17">
        <f t="shared" si="266"/>
        <v>4000</v>
      </c>
      <c r="AB1390" s="10">
        <v>3564</v>
      </c>
      <c r="AC1390" s="18">
        <f t="shared" si="259"/>
        <v>34547.162170949996</v>
      </c>
      <c r="AD1390" s="12">
        <f t="shared" si="269"/>
        <v>4000</v>
      </c>
      <c r="AE1390" s="13">
        <f t="shared" si="267"/>
        <v>0</v>
      </c>
    </row>
    <row r="1391" spans="1:31">
      <c r="A1391" s="6">
        <v>13</v>
      </c>
      <c r="B1391" s="6">
        <f t="shared" si="268"/>
        <v>7</v>
      </c>
      <c r="C1391" s="6" t="str">
        <f t="shared" si="260"/>
        <v>649421100AINFLATOR, ASP-5.1, P20, SRR, IMI, SERV, NO STUDS4830495449856912</v>
      </c>
      <c r="D1391" s="7" t="s">
        <v>372</v>
      </c>
      <c r="E1391" s="6" t="s">
        <v>469</v>
      </c>
      <c r="F1391" s="6"/>
      <c r="G1391" s="7" t="s">
        <v>16</v>
      </c>
      <c r="H1391" s="19"/>
      <c r="I1391" s="19"/>
      <c r="J1391" s="19"/>
      <c r="K1391" s="19"/>
      <c r="L1391" s="14">
        <v>4830495</v>
      </c>
      <c r="M1391" s="22">
        <v>44985</v>
      </c>
      <c r="N1391" s="19" t="s">
        <v>336</v>
      </c>
      <c r="O1391" s="19" t="s">
        <v>332</v>
      </c>
      <c r="P1391" s="15">
        <v>6912</v>
      </c>
      <c r="Q1391" s="15">
        <v>1473773.93</v>
      </c>
      <c r="R1391" s="15">
        <v>87089500</v>
      </c>
      <c r="S1391" s="15">
        <v>15</v>
      </c>
      <c r="T1391" s="19" t="s">
        <v>203</v>
      </c>
      <c r="U1391" s="19" t="s">
        <v>200</v>
      </c>
      <c r="V1391" s="16">
        <f t="shared" si="261"/>
        <v>221066.08949999997</v>
      </c>
      <c r="W1391" s="16">
        <f t="shared" si="262"/>
        <v>22106.608949999998</v>
      </c>
      <c r="X1391" s="16">
        <f t="shared" si="263"/>
        <v>243172.69844999997</v>
      </c>
      <c r="Y1391" s="16">
        <f t="shared" si="264"/>
        <v>35.181235308159721</v>
      </c>
      <c r="Z1391" s="16">
        <f t="shared" si="265"/>
        <v>213.21960792824072</v>
      </c>
      <c r="AA1391" s="17">
        <f t="shared" si="266"/>
        <v>6912</v>
      </c>
      <c r="AB1391" s="10">
        <v>2496</v>
      </c>
      <c r="AC1391" s="18">
        <f t="shared" si="259"/>
        <v>87812.363329166663</v>
      </c>
      <c r="AD1391" s="12">
        <f t="shared" si="269"/>
        <v>6696</v>
      </c>
      <c r="AE1391" s="13">
        <f t="shared" si="267"/>
        <v>216</v>
      </c>
    </row>
    <row r="1392" spans="1:31">
      <c r="A1392" s="6">
        <v>13</v>
      </c>
      <c r="B1392" s="6">
        <f t="shared" si="268"/>
        <v>8</v>
      </c>
      <c r="C1392" s="6" t="str">
        <f t="shared" si="260"/>
        <v>666041200ACushion ICAB FI 2 Row C22875444534610000</v>
      </c>
      <c r="D1392" s="7" t="s">
        <v>372</v>
      </c>
      <c r="E1392" s="6" t="s">
        <v>472</v>
      </c>
      <c r="F1392" s="6"/>
      <c r="G1392" s="7" t="s">
        <v>237</v>
      </c>
      <c r="H1392" s="19"/>
      <c r="I1392" s="19"/>
      <c r="J1392" s="19"/>
      <c r="K1392" s="19"/>
      <c r="L1392" s="14">
        <v>2287544</v>
      </c>
      <c r="M1392" s="22">
        <v>45346</v>
      </c>
      <c r="N1392" s="19" t="s">
        <v>185</v>
      </c>
      <c r="O1392" s="19" t="s">
        <v>332</v>
      </c>
      <c r="P1392" s="15">
        <v>10000</v>
      </c>
      <c r="Q1392" s="15">
        <v>8462664.5199999996</v>
      </c>
      <c r="R1392" s="15">
        <v>87089500</v>
      </c>
      <c r="S1392" s="15">
        <v>5</v>
      </c>
      <c r="T1392" s="19" t="s">
        <v>350</v>
      </c>
      <c r="U1392" s="19" t="s">
        <v>178</v>
      </c>
      <c r="V1392" s="16">
        <f t="shared" si="261"/>
        <v>423133.22600000002</v>
      </c>
      <c r="W1392" s="16">
        <f t="shared" si="262"/>
        <v>42313.322600000007</v>
      </c>
      <c r="X1392" s="16">
        <f t="shared" si="263"/>
        <v>465446.54860000004</v>
      </c>
      <c r="Y1392" s="16">
        <f t="shared" si="264"/>
        <v>46.544654860000001</v>
      </c>
      <c r="Z1392" s="16">
        <f t="shared" si="265"/>
        <v>846.26645199999996</v>
      </c>
      <c r="AA1392" s="17">
        <f t="shared" si="266"/>
        <v>10000</v>
      </c>
      <c r="AB1392" s="10">
        <v>2496</v>
      </c>
      <c r="AC1392" s="18">
        <f t="shared" si="259"/>
        <v>116175.45853056</v>
      </c>
      <c r="AD1392" s="12">
        <f t="shared" si="269"/>
        <v>7872</v>
      </c>
      <c r="AE1392" s="13">
        <f t="shared" si="267"/>
        <v>2128</v>
      </c>
    </row>
    <row r="1393" spans="1:31">
      <c r="A1393" s="6">
        <v>13</v>
      </c>
      <c r="B1393" s="6">
        <f t="shared" si="268"/>
        <v>9</v>
      </c>
      <c r="C1393" s="6" t="str">
        <f t="shared" si="260"/>
        <v>655116100ALABEL, BLANK, 50.0, 25.0  LABEL, BLANK, 2PCS, 50X42294544483145000</v>
      </c>
      <c r="D1393" s="7" t="s">
        <v>372</v>
      </c>
      <c r="E1393" s="6" t="s">
        <v>49</v>
      </c>
      <c r="F1393" s="6"/>
      <c r="G1393" s="7" t="s">
        <v>11</v>
      </c>
      <c r="H1393" s="19"/>
      <c r="I1393" s="19"/>
      <c r="J1393" s="19"/>
      <c r="K1393" s="19"/>
      <c r="L1393" s="14">
        <v>4229454</v>
      </c>
      <c r="M1393" s="22">
        <v>44831</v>
      </c>
      <c r="N1393" s="19" t="s">
        <v>196</v>
      </c>
      <c r="O1393" s="19" t="s">
        <v>333</v>
      </c>
      <c r="P1393" s="15">
        <v>45000</v>
      </c>
      <c r="Q1393" s="15">
        <v>127149.27</v>
      </c>
      <c r="R1393" s="15">
        <v>87089500</v>
      </c>
      <c r="S1393" s="15">
        <v>15</v>
      </c>
      <c r="T1393" s="19" t="s">
        <v>303</v>
      </c>
      <c r="U1393" s="19" t="s">
        <v>178</v>
      </c>
      <c r="V1393" s="16">
        <f t="shared" si="261"/>
        <v>19072.390500000001</v>
      </c>
      <c r="W1393" s="16">
        <f t="shared" si="262"/>
        <v>1907.2390500000001</v>
      </c>
      <c r="X1393" s="16">
        <f t="shared" si="263"/>
        <v>20979.629550000001</v>
      </c>
      <c r="Y1393" s="16">
        <f t="shared" si="264"/>
        <v>0.46621399000000002</v>
      </c>
      <c r="Z1393" s="16">
        <f t="shared" si="265"/>
        <v>2.8255393333333334</v>
      </c>
      <c r="AA1393" s="17">
        <f t="shared" si="266"/>
        <v>45000</v>
      </c>
      <c r="AB1393" s="10">
        <v>4779</v>
      </c>
      <c r="AC1393" s="18">
        <f t="shared" si="259"/>
        <v>2228.03665821</v>
      </c>
      <c r="AD1393" s="12">
        <f t="shared" si="269"/>
        <v>45000</v>
      </c>
      <c r="AE1393" s="13">
        <f t="shared" si="267"/>
        <v>0</v>
      </c>
    </row>
    <row r="1394" spans="1:31">
      <c r="A1394" s="6">
        <v>13</v>
      </c>
      <c r="B1394" s="6">
        <f t="shared" si="268"/>
        <v>10</v>
      </c>
      <c r="C1394" s="6" t="str">
        <f t="shared" si="260"/>
        <v>PC47516-3810SNAP-IN-FASTENER, PUSH P PUSH PIN, BLACK43773094523742000</v>
      </c>
      <c r="D1394" s="7" t="s">
        <v>372</v>
      </c>
      <c r="E1394" s="6" t="s">
        <v>54</v>
      </c>
      <c r="F1394" s="6"/>
      <c r="G1394" s="7" t="s">
        <v>14</v>
      </c>
      <c r="H1394" s="19"/>
      <c r="I1394" s="19"/>
      <c r="J1394" s="19"/>
      <c r="K1394" s="19"/>
      <c r="L1394" s="14">
        <v>4377309</v>
      </c>
      <c r="M1394" s="22">
        <v>45237</v>
      </c>
      <c r="N1394" s="19" t="s">
        <v>196</v>
      </c>
      <c r="O1394" s="19" t="s">
        <v>333</v>
      </c>
      <c r="P1394" s="15">
        <v>42000</v>
      </c>
      <c r="Q1394" s="15">
        <v>48121.48</v>
      </c>
      <c r="R1394" s="15">
        <v>87089500</v>
      </c>
      <c r="S1394" s="15">
        <v>15</v>
      </c>
      <c r="T1394" s="19" t="s">
        <v>306</v>
      </c>
      <c r="U1394" s="19" t="s">
        <v>178</v>
      </c>
      <c r="V1394" s="16">
        <f t="shared" si="261"/>
        <v>7218.2220000000007</v>
      </c>
      <c r="W1394" s="16">
        <f t="shared" si="262"/>
        <v>721.82220000000007</v>
      </c>
      <c r="X1394" s="16">
        <f t="shared" si="263"/>
        <v>7940.0442000000003</v>
      </c>
      <c r="Y1394" s="16">
        <f t="shared" si="264"/>
        <v>0.18904867142857143</v>
      </c>
      <c r="Z1394" s="16">
        <f t="shared" si="265"/>
        <v>1.1457495238095239</v>
      </c>
      <c r="AA1394" s="17">
        <f t="shared" si="266"/>
        <v>42000</v>
      </c>
      <c r="AB1394" s="10">
        <v>4992</v>
      </c>
      <c r="AC1394" s="18">
        <f t="shared" si="259"/>
        <v>943.7309677714286</v>
      </c>
      <c r="AD1394" s="12">
        <f t="shared" si="269"/>
        <v>41976</v>
      </c>
      <c r="AE1394" s="13">
        <f t="shared" si="267"/>
        <v>24</v>
      </c>
    </row>
    <row r="1395" spans="1:31">
      <c r="A1395" s="6">
        <v>13</v>
      </c>
      <c r="B1395" s="6">
        <f t="shared" si="268"/>
        <v>11</v>
      </c>
      <c r="C1395" s="6" t="str">
        <f t="shared" si="260"/>
        <v>649421000AAB INFLATOR, ASP-5.1, P20, SRR, IMI, SERV, NO STUDS5812154450516912</v>
      </c>
      <c r="D1395" s="7" t="s">
        <v>372</v>
      </c>
      <c r="E1395" s="6" t="s">
        <v>56</v>
      </c>
      <c r="F1395" s="6"/>
      <c r="G1395" s="7" t="s">
        <v>245</v>
      </c>
      <c r="H1395" s="19"/>
      <c r="I1395" s="19"/>
      <c r="J1395" s="19"/>
      <c r="K1395" s="19"/>
      <c r="L1395" s="14">
        <v>5812154</v>
      </c>
      <c r="M1395" s="22">
        <v>45051</v>
      </c>
      <c r="N1395" s="19" t="s">
        <v>197</v>
      </c>
      <c r="O1395" s="19" t="s">
        <v>333</v>
      </c>
      <c r="P1395" s="15">
        <v>6912</v>
      </c>
      <c r="Q1395" s="15">
        <v>1444384.32</v>
      </c>
      <c r="R1395" s="15">
        <v>87089500</v>
      </c>
      <c r="S1395" s="15">
        <v>15</v>
      </c>
      <c r="T1395" s="19" t="s">
        <v>202</v>
      </c>
      <c r="U1395" s="19" t="s">
        <v>200</v>
      </c>
      <c r="V1395" s="16">
        <f t="shared" si="261"/>
        <v>216657.64800000002</v>
      </c>
      <c r="W1395" s="16">
        <f t="shared" si="262"/>
        <v>21665.764800000004</v>
      </c>
      <c r="X1395" s="16">
        <f t="shared" si="263"/>
        <v>238323.41280000002</v>
      </c>
      <c r="Y1395" s="16">
        <f t="shared" si="264"/>
        <v>34.479660416666668</v>
      </c>
      <c r="Z1395" s="16">
        <f t="shared" si="265"/>
        <v>208.9676388888889</v>
      </c>
      <c r="AA1395" s="17">
        <f t="shared" si="266"/>
        <v>6912</v>
      </c>
      <c r="AB1395" s="10">
        <v>1031</v>
      </c>
      <c r="AC1395" s="18">
        <f t="shared" si="259"/>
        <v>35548.529889583333</v>
      </c>
      <c r="AD1395" s="12">
        <f t="shared" si="269"/>
        <v>6912</v>
      </c>
      <c r="AE1395" s="13">
        <f t="shared" si="267"/>
        <v>0</v>
      </c>
    </row>
    <row r="1396" spans="1:31">
      <c r="A1396" s="6">
        <v>13</v>
      </c>
      <c r="B1396" s="6">
        <f t="shared" si="268"/>
        <v>12</v>
      </c>
      <c r="C1396" s="6" t="str">
        <f t="shared" si="260"/>
        <v>NWB2834WASHER, WAVED 68542594512020000</v>
      </c>
      <c r="D1396" s="7" t="s">
        <v>372</v>
      </c>
      <c r="E1396" s="6" t="s">
        <v>77</v>
      </c>
      <c r="F1396" s="6"/>
      <c r="G1396" s="7" t="s">
        <v>37</v>
      </c>
      <c r="H1396" s="19"/>
      <c r="I1396" s="19"/>
      <c r="J1396" s="19"/>
      <c r="K1396" s="19"/>
      <c r="L1396" s="14" t="s">
        <v>95</v>
      </c>
      <c r="M1396" s="22">
        <v>45120</v>
      </c>
      <c r="N1396" s="19" t="s">
        <v>196</v>
      </c>
      <c r="O1396" s="19" t="s">
        <v>226</v>
      </c>
      <c r="P1396" s="15">
        <v>20000</v>
      </c>
      <c r="Q1396" s="15">
        <v>35281.85</v>
      </c>
      <c r="R1396" s="15">
        <v>87082900</v>
      </c>
      <c r="S1396" s="15">
        <v>15</v>
      </c>
      <c r="T1396" s="19" t="s">
        <v>207</v>
      </c>
      <c r="U1396" s="19" t="s">
        <v>178</v>
      </c>
      <c r="V1396" s="16">
        <f t="shared" si="261"/>
        <v>5292.2774999999992</v>
      </c>
      <c r="W1396" s="16">
        <f t="shared" si="262"/>
        <v>529.2277499999999</v>
      </c>
      <c r="X1396" s="16">
        <f t="shared" si="263"/>
        <v>5821.5052499999993</v>
      </c>
      <c r="Y1396" s="16">
        <f t="shared" si="264"/>
        <v>0.29107526249999999</v>
      </c>
      <c r="Z1396" s="16">
        <f t="shared" si="265"/>
        <v>1.7640924999999998</v>
      </c>
      <c r="AA1396" s="17">
        <f t="shared" si="266"/>
        <v>20000</v>
      </c>
      <c r="AB1396" s="10">
        <v>2592</v>
      </c>
      <c r="AC1396" s="18">
        <f t="shared" si="259"/>
        <v>754.46708039999999</v>
      </c>
      <c r="AD1396" s="12">
        <f t="shared" si="269"/>
        <v>18848</v>
      </c>
      <c r="AE1396" s="13">
        <f t="shared" si="267"/>
        <v>1152</v>
      </c>
    </row>
    <row r="1397" spans="1:31">
      <c r="A1397" s="6">
        <v>13</v>
      </c>
      <c r="B1397" s="6">
        <f t="shared" si="268"/>
        <v>13</v>
      </c>
      <c r="C1397" s="6" t="str">
        <f t="shared" si="260"/>
        <v>654590600ASU2ID STD CUSHION COMPON CVR NON-WOVEN RH2605037453675400</v>
      </c>
      <c r="D1397" s="7" t="s">
        <v>372</v>
      </c>
      <c r="E1397" s="6" t="s">
        <v>78</v>
      </c>
      <c r="F1397" s="6"/>
      <c r="G1397" s="7" t="s">
        <v>38</v>
      </c>
      <c r="H1397" s="19"/>
      <c r="I1397" s="19"/>
      <c r="J1397" s="19"/>
      <c r="K1397" s="19"/>
      <c r="L1397" s="14">
        <v>2605037</v>
      </c>
      <c r="M1397" s="22">
        <v>45367</v>
      </c>
      <c r="N1397" s="19" t="s">
        <v>185</v>
      </c>
      <c r="O1397" s="19" t="s">
        <v>332</v>
      </c>
      <c r="P1397" s="15">
        <v>5400</v>
      </c>
      <c r="Q1397" s="15">
        <v>65556.710000000006</v>
      </c>
      <c r="R1397" s="15">
        <v>87089400</v>
      </c>
      <c r="S1397" s="15">
        <v>5</v>
      </c>
      <c r="T1397" s="19" t="s">
        <v>347</v>
      </c>
      <c r="U1397" s="19" t="s">
        <v>178</v>
      </c>
      <c r="V1397" s="16">
        <f t="shared" si="261"/>
        <v>3277.8355000000006</v>
      </c>
      <c r="W1397" s="16">
        <f t="shared" si="262"/>
        <v>327.7835500000001</v>
      </c>
      <c r="X1397" s="16">
        <f t="shared" si="263"/>
        <v>3605.6190500000007</v>
      </c>
      <c r="Y1397" s="16">
        <f t="shared" si="264"/>
        <v>0.66770723148148159</v>
      </c>
      <c r="Z1397" s="16">
        <f t="shared" si="265"/>
        <v>12.140131481481482</v>
      </c>
      <c r="AA1397" s="17">
        <f t="shared" si="266"/>
        <v>5400</v>
      </c>
      <c r="AB1397" s="10">
        <v>3456</v>
      </c>
      <c r="AC1397" s="18">
        <f t="shared" si="259"/>
        <v>2307.5961920000004</v>
      </c>
      <c r="AD1397" s="12">
        <v>5400</v>
      </c>
      <c r="AE1397" s="13">
        <f t="shared" si="267"/>
        <v>0</v>
      </c>
    </row>
    <row r="1398" spans="1:31">
      <c r="A1398" s="6">
        <v>13</v>
      </c>
      <c r="B1398" s="6">
        <f t="shared" si="268"/>
        <v>14</v>
      </c>
      <c r="C1398" s="6" t="str">
        <f t="shared" si="260"/>
        <v>654590700ASU2ID CUSHION COMPONENTS CVR NON-WOVEN LH STD5279973450146300</v>
      </c>
      <c r="D1398" s="7" t="s">
        <v>372</v>
      </c>
      <c r="E1398" s="6" t="s">
        <v>477</v>
      </c>
      <c r="F1398" s="6"/>
      <c r="G1398" s="7" t="s">
        <v>330</v>
      </c>
      <c r="H1398" s="19"/>
      <c r="I1398" s="19"/>
      <c r="J1398" s="19"/>
      <c r="K1398" s="19"/>
      <c r="L1398" s="14">
        <v>5279973</v>
      </c>
      <c r="M1398" s="22">
        <v>45014</v>
      </c>
      <c r="N1398" s="19" t="s">
        <v>185</v>
      </c>
      <c r="O1398" s="19" t="s">
        <v>332</v>
      </c>
      <c r="P1398" s="15">
        <v>6300</v>
      </c>
      <c r="Q1398" s="15">
        <v>81753.97</v>
      </c>
      <c r="R1398" s="15">
        <v>87089500</v>
      </c>
      <c r="S1398" s="15">
        <v>15</v>
      </c>
      <c r="T1398" s="19" t="s">
        <v>358</v>
      </c>
      <c r="U1398" s="19" t="s">
        <v>178</v>
      </c>
      <c r="V1398" s="16">
        <f t="shared" si="261"/>
        <v>12263.095499999999</v>
      </c>
      <c r="W1398" s="16">
        <f t="shared" si="262"/>
        <v>1226.3095499999999</v>
      </c>
      <c r="X1398" s="16">
        <f t="shared" si="263"/>
        <v>13489.405049999999</v>
      </c>
      <c r="Y1398" s="16">
        <f t="shared" si="264"/>
        <v>2.1411754047619045</v>
      </c>
      <c r="Z1398" s="16">
        <f t="shared" si="265"/>
        <v>12.976820634920635</v>
      </c>
      <c r="AA1398" s="17">
        <f t="shared" si="266"/>
        <v>6300</v>
      </c>
      <c r="AB1398" s="10">
        <v>2880</v>
      </c>
      <c r="AC1398" s="18">
        <f t="shared" si="259"/>
        <v>6166.5851657142848</v>
      </c>
      <c r="AD1398" s="12">
        <f t="shared" ref="AD1398:AD1437" si="270">SUMIF($C$2:$C$2284,C1398,$AB$2:$AB$2284)</f>
        <v>6300</v>
      </c>
      <c r="AE1398" s="13">
        <f t="shared" si="267"/>
        <v>0</v>
      </c>
    </row>
    <row r="1399" spans="1:31">
      <c r="A1399" s="6">
        <v>13</v>
      </c>
      <c r="B1399" s="6">
        <f t="shared" si="268"/>
        <v>15</v>
      </c>
      <c r="C1399" s="6" t="str">
        <f t="shared" si="260"/>
        <v>649421000AAB INFLATOR, ASP-5.1, P20, SRR, IMI, SERV, NO STUDS4946913449936912</v>
      </c>
      <c r="D1399" s="7" t="s">
        <v>372</v>
      </c>
      <c r="E1399" s="6" t="s">
        <v>56</v>
      </c>
      <c r="F1399" s="6"/>
      <c r="G1399" s="7" t="s">
        <v>245</v>
      </c>
      <c r="H1399" s="19"/>
      <c r="I1399" s="19"/>
      <c r="J1399" s="19"/>
      <c r="K1399" s="19"/>
      <c r="L1399" s="14">
        <v>4946913</v>
      </c>
      <c r="M1399" s="22">
        <v>44993</v>
      </c>
      <c r="N1399" s="19" t="s">
        <v>199</v>
      </c>
      <c r="O1399" s="19" t="s">
        <v>333</v>
      </c>
      <c r="P1399" s="15">
        <v>6912</v>
      </c>
      <c r="Q1399" s="15">
        <v>1466083.43</v>
      </c>
      <c r="R1399" s="15">
        <v>87089500</v>
      </c>
      <c r="S1399" s="15">
        <v>15</v>
      </c>
      <c r="T1399" s="19" t="s">
        <v>202</v>
      </c>
      <c r="U1399" s="19" t="s">
        <v>200</v>
      </c>
      <c r="V1399" s="16">
        <f t="shared" si="261"/>
        <v>219912.51449999999</v>
      </c>
      <c r="W1399" s="16">
        <f t="shared" si="262"/>
        <v>21991.25145</v>
      </c>
      <c r="X1399" s="16">
        <f t="shared" si="263"/>
        <v>241903.76595</v>
      </c>
      <c r="Y1399" s="16">
        <f t="shared" si="264"/>
        <v>34.997651323784723</v>
      </c>
      <c r="Z1399" s="16">
        <f t="shared" si="265"/>
        <v>212.10697771990741</v>
      </c>
      <c r="AA1399" s="17">
        <f t="shared" si="266"/>
        <v>6912</v>
      </c>
      <c r="AB1399" s="10">
        <v>1240</v>
      </c>
      <c r="AC1399" s="18">
        <f t="shared" ref="AC1399:AC1462" si="271">AB1399*Y1399</f>
        <v>43397.087641493054</v>
      </c>
      <c r="AD1399" s="12">
        <f t="shared" si="270"/>
        <v>6912</v>
      </c>
      <c r="AE1399" s="13">
        <f t="shared" si="267"/>
        <v>0</v>
      </c>
    </row>
    <row r="1400" spans="1:31">
      <c r="A1400" s="6">
        <v>13</v>
      </c>
      <c r="B1400" s="6">
        <f t="shared" si="268"/>
        <v>16</v>
      </c>
      <c r="C1400" s="6" t="str">
        <f t="shared" si="260"/>
        <v>640294200AINFLATOR, ASP-2, GEN15,26887494537310368</v>
      </c>
      <c r="D1400" s="7" t="s">
        <v>372</v>
      </c>
      <c r="E1400" s="6" t="s">
        <v>470</v>
      </c>
      <c r="F1400" s="6"/>
      <c r="G1400" s="7" t="s">
        <v>238</v>
      </c>
      <c r="H1400" s="19"/>
      <c r="I1400" s="19"/>
      <c r="J1400" s="19"/>
      <c r="K1400" s="19"/>
      <c r="L1400" s="14">
        <v>2688749</v>
      </c>
      <c r="M1400" s="22">
        <v>45373</v>
      </c>
      <c r="N1400" s="19" t="s">
        <v>197</v>
      </c>
      <c r="O1400" s="19" t="s">
        <v>332</v>
      </c>
      <c r="P1400" s="15">
        <v>10368</v>
      </c>
      <c r="Q1400" s="15">
        <v>2672724.9</v>
      </c>
      <c r="R1400" s="15">
        <v>87089500</v>
      </c>
      <c r="S1400" s="15">
        <v>15</v>
      </c>
      <c r="T1400" s="19" t="s">
        <v>352</v>
      </c>
      <c r="U1400" s="19" t="s">
        <v>200</v>
      </c>
      <c r="V1400" s="16">
        <f t="shared" si="261"/>
        <v>400908.73499999999</v>
      </c>
      <c r="W1400" s="16">
        <f t="shared" si="262"/>
        <v>40090.873500000002</v>
      </c>
      <c r="X1400" s="16">
        <f t="shared" si="263"/>
        <v>440999.60849999997</v>
      </c>
      <c r="Y1400" s="16">
        <f t="shared" si="264"/>
        <v>42.534684461805554</v>
      </c>
      <c r="Z1400" s="16">
        <f t="shared" si="265"/>
        <v>257.78596643518517</v>
      </c>
      <c r="AA1400" s="17">
        <f t="shared" si="266"/>
        <v>10368</v>
      </c>
      <c r="AB1400" s="10">
        <v>2880</v>
      </c>
      <c r="AC1400" s="18">
        <f t="shared" si="271"/>
        <v>122499.89125</v>
      </c>
      <c r="AD1400" s="12">
        <f t="shared" si="270"/>
        <v>9792</v>
      </c>
      <c r="AE1400" s="13">
        <f t="shared" si="267"/>
        <v>576</v>
      </c>
    </row>
    <row r="1401" spans="1:31">
      <c r="A1401" s="6">
        <v>13</v>
      </c>
      <c r="B1401" s="6">
        <f t="shared" si="268"/>
        <v>17</v>
      </c>
      <c r="C1401" s="6" t="str">
        <f t="shared" si="260"/>
        <v>655226900AINFLATOR APP-4.6, 325KPA 1.8MOL, STANDARD MIB SQU5812154450514320</v>
      </c>
      <c r="D1401" s="7" t="s">
        <v>372</v>
      </c>
      <c r="E1401" s="6" t="s">
        <v>130</v>
      </c>
      <c r="F1401" s="6"/>
      <c r="G1401" s="7" t="s">
        <v>102</v>
      </c>
      <c r="H1401" s="19"/>
      <c r="I1401" s="19"/>
      <c r="J1401" s="19"/>
      <c r="K1401" s="19"/>
      <c r="L1401" s="14">
        <v>5812154</v>
      </c>
      <c r="M1401" s="22">
        <v>45051</v>
      </c>
      <c r="N1401" s="19" t="s">
        <v>197</v>
      </c>
      <c r="O1401" s="19" t="s">
        <v>333</v>
      </c>
      <c r="P1401" s="15">
        <v>4320</v>
      </c>
      <c r="Q1401" s="15">
        <v>1895008.35</v>
      </c>
      <c r="R1401" s="15">
        <v>87089500</v>
      </c>
      <c r="S1401" s="15">
        <v>15</v>
      </c>
      <c r="T1401" s="19" t="s">
        <v>202</v>
      </c>
      <c r="U1401" s="19" t="s">
        <v>200</v>
      </c>
      <c r="V1401" s="16">
        <f t="shared" si="261"/>
        <v>284251.2525</v>
      </c>
      <c r="W1401" s="16">
        <f t="shared" si="262"/>
        <v>28425.125250000001</v>
      </c>
      <c r="X1401" s="16">
        <f t="shared" si="263"/>
        <v>312676.37774999999</v>
      </c>
      <c r="Y1401" s="16">
        <f t="shared" si="264"/>
        <v>72.378791145833333</v>
      </c>
      <c r="Z1401" s="16">
        <f t="shared" si="265"/>
        <v>438.6593402777778</v>
      </c>
      <c r="AA1401" s="17">
        <f t="shared" si="266"/>
        <v>4320</v>
      </c>
      <c r="AB1401" s="10">
        <v>729</v>
      </c>
      <c r="AC1401" s="18">
        <f t="shared" si="271"/>
        <v>52764.138745312499</v>
      </c>
      <c r="AD1401" s="12">
        <f t="shared" si="270"/>
        <v>4320</v>
      </c>
      <c r="AE1401" s="13">
        <f t="shared" si="267"/>
        <v>0</v>
      </c>
    </row>
    <row r="1402" spans="1:31">
      <c r="A1402" s="6">
        <v>13</v>
      </c>
      <c r="B1402" s="6">
        <f t="shared" si="268"/>
        <v>18</v>
      </c>
      <c r="C1402" s="6" t="str">
        <f t="shared" si="260"/>
        <v>655116100ALABEL, BLANK, 50.0, 25.0  LABEL, BLANK, 2PCS, 50X89218744525418000</v>
      </c>
      <c r="D1402" s="7" t="s">
        <v>372</v>
      </c>
      <c r="E1402" s="6" t="s">
        <v>49</v>
      </c>
      <c r="F1402" s="6"/>
      <c r="G1402" s="7" t="s">
        <v>11</v>
      </c>
      <c r="H1402" s="19"/>
      <c r="I1402" s="19"/>
      <c r="J1402" s="19"/>
      <c r="K1402" s="19"/>
      <c r="L1402" s="14">
        <v>8921874</v>
      </c>
      <c r="M1402" s="22">
        <v>45254</v>
      </c>
      <c r="N1402" s="19" t="s">
        <v>196</v>
      </c>
      <c r="O1402" s="19" t="s">
        <v>333</v>
      </c>
      <c r="P1402" s="15">
        <v>18000</v>
      </c>
      <c r="Q1402" s="15">
        <v>57477.95</v>
      </c>
      <c r="R1402" s="15">
        <v>87089500</v>
      </c>
      <c r="S1402" s="15">
        <v>15</v>
      </c>
      <c r="T1402" s="19" t="s">
        <v>303</v>
      </c>
      <c r="U1402" s="19" t="s">
        <v>178</v>
      </c>
      <c r="V1402" s="16">
        <f t="shared" si="261"/>
        <v>8621.6924999999992</v>
      </c>
      <c r="W1402" s="16">
        <f t="shared" si="262"/>
        <v>862.16924999999992</v>
      </c>
      <c r="X1402" s="16">
        <f t="shared" si="263"/>
        <v>9483.86175</v>
      </c>
      <c r="Y1402" s="16">
        <f t="shared" si="264"/>
        <v>0.5268812083333333</v>
      </c>
      <c r="Z1402" s="16">
        <f t="shared" si="265"/>
        <v>3.1932194444444444</v>
      </c>
      <c r="AA1402" s="17">
        <f t="shared" si="266"/>
        <v>18000</v>
      </c>
      <c r="AB1402" s="10">
        <v>2115</v>
      </c>
      <c r="AC1402" s="18">
        <f t="shared" si="271"/>
        <v>1114.3537556249998</v>
      </c>
      <c r="AD1402" s="12">
        <f t="shared" si="270"/>
        <v>17139</v>
      </c>
      <c r="AE1402" s="13">
        <f t="shared" si="267"/>
        <v>861</v>
      </c>
    </row>
    <row r="1403" spans="1:31">
      <c r="A1403" s="6">
        <v>13</v>
      </c>
      <c r="B1403" s="6">
        <f t="shared" si="268"/>
        <v>19</v>
      </c>
      <c r="C1403" s="6" t="str">
        <f t="shared" si="260"/>
        <v>640294000AAB INFLATOR, ASP-2, GEN15,26887494537310368</v>
      </c>
      <c r="D1403" s="7" t="s">
        <v>372</v>
      </c>
      <c r="E1403" s="6" t="s">
        <v>475</v>
      </c>
      <c r="F1403" s="6"/>
      <c r="G1403" s="7" t="s">
        <v>244</v>
      </c>
      <c r="H1403" s="19"/>
      <c r="I1403" s="19"/>
      <c r="J1403" s="19"/>
      <c r="K1403" s="19"/>
      <c r="L1403" s="14">
        <v>2688749</v>
      </c>
      <c r="M1403" s="22">
        <v>45373</v>
      </c>
      <c r="N1403" s="19" t="s">
        <v>197</v>
      </c>
      <c r="O1403" s="19" t="s">
        <v>332</v>
      </c>
      <c r="P1403" s="15">
        <v>10368</v>
      </c>
      <c r="Q1403" s="15">
        <v>2672724.9</v>
      </c>
      <c r="R1403" s="15">
        <v>87089500</v>
      </c>
      <c r="S1403" s="15">
        <v>15</v>
      </c>
      <c r="T1403" s="19" t="s">
        <v>352</v>
      </c>
      <c r="U1403" s="19" t="s">
        <v>200</v>
      </c>
      <c r="V1403" s="16">
        <f t="shared" si="261"/>
        <v>400908.73499999999</v>
      </c>
      <c r="W1403" s="16">
        <f t="shared" si="262"/>
        <v>40090.873500000002</v>
      </c>
      <c r="X1403" s="16">
        <f t="shared" si="263"/>
        <v>440999.60849999997</v>
      </c>
      <c r="Y1403" s="16">
        <f t="shared" si="264"/>
        <v>42.534684461805554</v>
      </c>
      <c r="Z1403" s="16">
        <f t="shared" si="265"/>
        <v>257.78596643518517</v>
      </c>
      <c r="AA1403" s="17">
        <f t="shared" si="266"/>
        <v>10368</v>
      </c>
      <c r="AB1403" s="10">
        <v>3456</v>
      </c>
      <c r="AC1403" s="18">
        <f t="shared" si="271"/>
        <v>146999.8695</v>
      </c>
      <c r="AD1403" s="12">
        <f t="shared" si="270"/>
        <v>9504</v>
      </c>
      <c r="AE1403" s="13">
        <f t="shared" si="267"/>
        <v>864</v>
      </c>
    </row>
    <row r="1404" spans="1:31">
      <c r="A1404" s="6">
        <v>13</v>
      </c>
      <c r="B1404" s="6">
        <f t="shared" si="268"/>
        <v>20</v>
      </c>
      <c r="C1404" s="6" t="str">
        <f t="shared" si="260"/>
        <v>622408300ALABEL, BLANK, BAR CODE,964466545303100000</v>
      </c>
      <c r="D1404" s="7" t="s">
        <v>372</v>
      </c>
      <c r="E1404" s="6" t="s">
        <v>473</v>
      </c>
      <c r="F1404" s="6"/>
      <c r="G1404" s="7" t="s">
        <v>239</v>
      </c>
      <c r="H1404" s="19"/>
      <c r="I1404" s="19"/>
      <c r="J1404" s="19"/>
      <c r="K1404" s="19"/>
      <c r="L1404" s="14">
        <v>9644665</v>
      </c>
      <c r="M1404" s="22">
        <v>45303</v>
      </c>
      <c r="N1404" s="19" t="s">
        <v>196</v>
      </c>
      <c r="O1404" s="19" t="s">
        <v>333</v>
      </c>
      <c r="P1404" s="15">
        <v>100000</v>
      </c>
      <c r="Q1404" s="15">
        <v>69765.98</v>
      </c>
      <c r="R1404" s="15">
        <v>87089500</v>
      </c>
      <c r="S1404" s="15">
        <v>15</v>
      </c>
      <c r="T1404" s="19" t="s">
        <v>351</v>
      </c>
      <c r="U1404" s="19" t="s">
        <v>178</v>
      </c>
      <c r="V1404" s="16">
        <f t="shared" si="261"/>
        <v>10464.896999999999</v>
      </c>
      <c r="W1404" s="16">
        <f t="shared" si="262"/>
        <v>1046.4896999999999</v>
      </c>
      <c r="X1404" s="16">
        <f t="shared" si="263"/>
        <v>11511.386699999999</v>
      </c>
      <c r="Y1404" s="16">
        <f t="shared" si="264"/>
        <v>0.11511386699999999</v>
      </c>
      <c r="Z1404" s="16">
        <f t="shared" si="265"/>
        <v>0.69765979999999994</v>
      </c>
      <c r="AA1404" s="17">
        <f t="shared" si="266"/>
        <v>100000</v>
      </c>
      <c r="AB1404" s="10">
        <v>6336</v>
      </c>
      <c r="AC1404" s="18">
        <f t="shared" si="271"/>
        <v>729.36146131199996</v>
      </c>
      <c r="AD1404" s="12">
        <f t="shared" si="270"/>
        <v>98136</v>
      </c>
      <c r="AE1404" s="13">
        <f t="shared" si="267"/>
        <v>1864</v>
      </c>
    </row>
    <row r="1405" spans="1:31">
      <c r="A1405" s="6">
        <v>13</v>
      </c>
      <c r="B1405" s="6">
        <f t="shared" si="268"/>
        <v>21</v>
      </c>
      <c r="C1405" s="6" t="str">
        <f t="shared" si="260"/>
        <v>655226900AINFLATOR APP-4.6, 325KPA 1.8MOL, STANDARD MIB SQU9486730452926048</v>
      </c>
      <c r="D1405" s="7" t="s">
        <v>372</v>
      </c>
      <c r="E1405" s="6" t="s">
        <v>130</v>
      </c>
      <c r="F1405" s="6"/>
      <c r="G1405" s="7" t="s">
        <v>102</v>
      </c>
      <c r="H1405" s="19"/>
      <c r="I1405" s="19"/>
      <c r="J1405" s="19"/>
      <c r="K1405" s="19"/>
      <c r="L1405" s="14">
        <v>9486730</v>
      </c>
      <c r="M1405" s="22">
        <v>45292</v>
      </c>
      <c r="N1405" s="19" t="s">
        <v>197</v>
      </c>
      <c r="O1405" s="19" t="s">
        <v>333</v>
      </c>
      <c r="P1405" s="15">
        <v>6048</v>
      </c>
      <c r="Q1405" s="15">
        <v>1912413.11</v>
      </c>
      <c r="R1405" s="15">
        <v>87089500</v>
      </c>
      <c r="S1405" s="15">
        <v>15</v>
      </c>
      <c r="T1405" s="19" t="s">
        <v>202</v>
      </c>
      <c r="U1405" s="19" t="s">
        <v>200</v>
      </c>
      <c r="V1405" s="16">
        <f t="shared" si="261"/>
        <v>286861.96649999998</v>
      </c>
      <c r="W1405" s="16">
        <f t="shared" si="262"/>
        <v>28686.196649999998</v>
      </c>
      <c r="X1405" s="16">
        <f t="shared" si="263"/>
        <v>315548.16314999998</v>
      </c>
      <c r="Y1405" s="16">
        <f t="shared" si="264"/>
        <v>52.173968774801587</v>
      </c>
      <c r="Z1405" s="16">
        <f t="shared" si="265"/>
        <v>316.20587136243387</v>
      </c>
      <c r="AA1405" s="17">
        <f t="shared" si="266"/>
        <v>6048</v>
      </c>
      <c r="AB1405" s="10">
        <v>2925</v>
      </c>
      <c r="AC1405" s="18">
        <f t="shared" si="271"/>
        <v>152608.85866629463</v>
      </c>
      <c r="AD1405" s="12">
        <f t="shared" si="270"/>
        <v>5949</v>
      </c>
      <c r="AE1405" s="13">
        <f t="shared" si="267"/>
        <v>99</v>
      </c>
    </row>
    <row r="1406" spans="1:31">
      <c r="A1406" s="6">
        <v>13</v>
      </c>
      <c r="B1406" s="6">
        <f t="shared" si="268"/>
        <v>22</v>
      </c>
      <c r="C1406" s="6" t="str">
        <f t="shared" si="260"/>
        <v>649421000AAB INFLATOR, ASP-5.1, P20, SRR, IMI, SERV, NO STUDS5057085450001728</v>
      </c>
      <c r="D1406" s="7" t="s">
        <v>372</v>
      </c>
      <c r="E1406" s="6" t="s">
        <v>56</v>
      </c>
      <c r="F1406" s="6"/>
      <c r="G1406" s="7" t="s">
        <v>245</v>
      </c>
      <c r="H1406" s="19"/>
      <c r="I1406" s="19"/>
      <c r="J1406" s="19"/>
      <c r="K1406" s="19"/>
      <c r="L1406" s="14">
        <v>5057085</v>
      </c>
      <c r="M1406" s="22">
        <v>45000</v>
      </c>
      <c r="N1406" s="19" t="s">
        <v>197</v>
      </c>
      <c r="O1406" s="19" t="s">
        <v>333</v>
      </c>
      <c r="P1406" s="15">
        <v>1728</v>
      </c>
      <c r="Q1406" s="15">
        <v>336464.12</v>
      </c>
      <c r="R1406" s="15">
        <v>87089500</v>
      </c>
      <c r="S1406" s="15">
        <v>15</v>
      </c>
      <c r="T1406" s="19" t="s">
        <v>202</v>
      </c>
      <c r="U1406" s="19" t="s">
        <v>200</v>
      </c>
      <c r="V1406" s="16">
        <f t="shared" si="261"/>
        <v>50469.617999999995</v>
      </c>
      <c r="W1406" s="16">
        <f t="shared" si="262"/>
        <v>5046.9618</v>
      </c>
      <c r="X1406" s="16">
        <f t="shared" si="263"/>
        <v>55516.579799999992</v>
      </c>
      <c r="Y1406" s="16">
        <f t="shared" si="264"/>
        <v>32.127650347222215</v>
      </c>
      <c r="Z1406" s="16">
        <f t="shared" si="265"/>
        <v>194.71303240740741</v>
      </c>
      <c r="AA1406" s="17">
        <f t="shared" si="266"/>
        <v>1728</v>
      </c>
      <c r="AB1406" s="10">
        <v>225</v>
      </c>
      <c r="AC1406" s="18">
        <f t="shared" si="271"/>
        <v>7228.7213281249979</v>
      </c>
      <c r="AD1406" s="12">
        <f t="shared" si="270"/>
        <v>1569</v>
      </c>
      <c r="AE1406" s="13">
        <f t="shared" si="267"/>
        <v>159</v>
      </c>
    </row>
    <row r="1407" spans="1:31">
      <c r="A1407" s="6">
        <v>13</v>
      </c>
      <c r="B1407" s="6">
        <f t="shared" si="268"/>
        <v>23</v>
      </c>
      <c r="C1407" s="6" t="str">
        <f t="shared" si="260"/>
        <v>566253211EADAPTER, CAR SENS, RETRA ALL VERSIONS390969644984216000</v>
      </c>
      <c r="D1407" s="7" t="s">
        <v>372</v>
      </c>
      <c r="E1407" s="6" t="s">
        <v>58</v>
      </c>
      <c r="F1407" s="6"/>
      <c r="G1407" s="7" t="s">
        <v>18</v>
      </c>
      <c r="H1407" s="19"/>
      <c r="I1407" s="19"/>
      <c r="J1407" s="19"/>
      <c r="K1407" s="19"/>
      <c r="L1407" s="14">
        <v>3909696</v>
      </c>
      <c r="M1407" s="22">
        <v>44984</v>
      </c>
      <c r="N1407" s="19" t="s">
        <v>199</v>
      </c>
      <c r="O1407" s="19" t="s">
        <v>332</v>
      </c>
      <c r="P1407" s="15">
        <v>216000</v>
      </c>
      <c r="Q1407" s="15">
        <v>549354.86</v>
      </c>
      <c r="R1407" s="15">
        <v>87082900</v>
      </c>
      <c r="S1407" s="15">
        <v>15</v>
      </c>
      <c r="T1407" s="19" t="s">
        <v>308</v>
      </c>
      <c r="U1407" s="19" t="s">
        <v>178</v>
      </c>
      <c r="V1407" s="16">
        <f t="shared" si="261"/>
        <v>82403.228999999992</v>
      </c>
      <c r="W1407" s="16">
        <f t="shared" si="262"/>
        <v>8240.3228999999992</v>
      </c>
      <c r="X1407" s="16">
        <f t="shared" si="263"/>
        <v>90643.551899999991</v>
      </c>
      <c r="Y1407" s="16">
        <f t="shared" si="264"/>
        <v>0.41964607361111106</v>
      </c>
      <c r="Z1407" s="16">
        <f t="shared" si="265"/>
        <v>2.5433095370370369</v>
      </c>
      <c r="AA1407" s="17">
        <f t="shared" si="266"/>
        <v>216000</v>
      </c>
      <c r="AB1407" s="10">
        <v>3564</v>
      </c>
      <c r="AC1407" s="18">
        <f t="shared" si="271"/>
        <v>1495.6186063499997</v>
      </c>
      <c r="AD1407" s="12">
        <f t="shared" si="270"/>
        <v>86652</v>
      </c>
      <c r="AE1407" s="13">
        <f t="shared" si="267"/>
        <v>129348</v>
      </c>
    </row>
    <row r="1408" spans="1:31">
      <c r="A1408" s="6">
        <v>13</v>
      </c>
      <c r="B1408" s="6">
        <f t="shared" si="268"/>
        <v>24</v>
      </c>
      <c r="C1408" s="6" t="str">
        <f t="shared" si="260"/>
        <v>632154400AADHESIVE, PAD 48354474498520000</v>
      </c>
      <c r="D1408" s="7" t="s">
        <v>372</v>
      </c>
      <c r="E1408" s="6" t="s">
        <v>79</v>
      </c>
      <c r="F1408" s="6"/>
      <c r="G1408" s="7" t="s">
        <v>39</v>
      </c>
      <c r="H1408" s="19"/>
      <c r="I1408" s="19"/>
      <c r="J1408" s="19"/>
      <c r="K1408" s="19"/>
      <c r="L1408" s="14">
        <v>4835447</v>
      </c>
      <c r="M1408" s="22">
        <v>44985</v>
      </c>
      <c r="N1408" s="19" t="s">
        <v>196</v>
      </c>
      <c r="O1408" s="19" t="s">
        <v>333</v>
      </c>
      <c r="P1408" s="15">
        <v>20000</v>
      </c>
      <c r="Q1408" s="15">
        <v>70260</v>
      </c>
      <c r="R1408" s="15">
        <v>87082900</v>
      </c>
      <c r="S1408" s="15">
        <v>15</v>
      </c>
      <c r="T1408" s="19" t="s">
        <v>201</v>
      </c>
      <c r="U1408" s="19" t="s">
        <v>178</v>
      </c>
      <c r="V1408" s="16">
        <f t="shared" si="261"/>
        <v>10539</v>
      </c>
      <c r="W1408" s="16">
        <f t="shared" si="262"/>
        <v>1053.9000000000001</v>
      </c>
      <c r="X1408" s="16">
        <f t="shared" si="263"/>
        <v>11592.9</v>
      </c>
      <c r="Y1408" s="16">
        <f t="shared" si="264"/>
        <v>0.57964499999999997</v>
      </c>
      <c r="Z1408" s="16">
        <f t="shared" si="265"/>
        <v>3.5129999999999999</v>
      </c>
      <c r="AA1408" s="17">
        <f t="shared" si="266"/>
        <v>20000</v>
      </c>
      <c r="AB1408" s="10">
        <v>3564</v>
      </c>
      <c r="AC1408" s="18">
        <f t="shared" si="271"/>
        <v>2065.8547799999997</v>
      </c>
      <c r="AD1408" s="12">
        <f t="shared" si="270"/>
        <v>17952</v>
      </c>
      <c r="AE1408" s="13">
        <f t="shared" si="267"/>
        <v>2048</v>
      </c>
    </row>
    <row r="1409" spans="1:31">
      <c r="A1409" s="6">
        <v>13</v>
      </c>
      <c r="B1409" s="6">
        <f t="shared" si="268"/>
        <v>25</v>
      </c>
      <c r="C1409" s="6" t="str">
        <f t="shared" si="260"/>
        <v>618470500EBEARING, CAR SENS, RETRA All Versions, Noise redu717838944902100800</v>
      </c>
      <c r="D1409" s="7" t="s">
        <v>372</v>
      </c>
      <c r="E1409" s="6" t="s">
        <v>68</v>
      </c>
      <c r="F1409" s="6"/>
      <c r="G1409" s="7" t="s">
        <v>28</v>
      </c>
      <c r="H1409" s="19"/>
      <c r="I1409" s="19"/>
      <c r="J1409" s="19"/>
      <c r="K1409" s="19"/>
      <c r="L1409" s="14">
        <v>7178389</v>
      </c>
      <c r="M1409" s="22">
        <v>44902</v>
      </c>
      <c r="N1409" s="19" t="s">
        <v>185</v>
      </c>
      <c r="O1409" s="19" t="s">
        <v>332</v>
      </c>
      <c r="P1409" s="15">
        <v>100800</v>
      </c>
      <c r="Q1409" s="15">
        <v>397158.13</v>
      </c>
      <c r="R1409" s="15">
        <v>87082900</v>
      </c>
      <c r="S1409" s="15">
        <v>15</v>
      </c>
      <c r="T1409" s="19" t="s">
        <v>315</v>
      </c>
      <c r="U1409" s="19" t="s">
        <v>178</v>
      </c>
      <c r="V1409" s="16">
        <f t="shared" si="261"/>
        <v>59573.719499999999</v>
      </c>
      <c r="W1409" s="16">
        <f t="shared" si="262"/>
        <v>5957.3719500000007</v>
      </c>
      <c r="X1409" s="16">
        <f t="shared" si="263"/>
        <v>65531.09145</v>
      </c>
      <c r="Y1409" s="16">
        <f t="shared" si="264"/>
        <v>0.65011003422619051</v>
      </c>
      <c r="Z1409" s="16">
        <f t="shared" si="265"/>
        <v>3.9400608134920634</v>
      </c>
      <c r="AA1409" s="17">
        <f t="shared" si="266"/>
        <v>100800</v>
      </c>
      <c r="AB1409" s="10">
        <v>3564</v>
      </c>
      <c r="AC1409" s="18">
        <f t="shared" si="271"/>
        <v>2316.992161982143</v>
      </c>
      <c r="AD1409" s="12">
        <f t="shared" si="270"/>
        <v>31068</v>
      </c>
      <c r="AE1409" s="13">
        <f t="shared" si="267"/>
        <v>69732</v>
      </c>
    </row>
    <row r="1410" spans="1:31">
      <c r="A1410" s="6">
        <v>13</v>
      </c>
      <c r="B1410" s="6">
        <f t="shared" si="268"/>
        <v>26</v>
      </c>
      <c r="C1410" s="6" t="str">
        <f t="shared" ref="C1410:C1473" si="272">E1410&amp;G1410&amp;L1410&amp;M1410&amp;P1410</f>
        <v>601256700GBUSH, RETRACTOR, R27, AL ALL VERSIONS405080544944160000</v>
      </c>
      <c r="D1410" s="7" t="s">
        <v>372</v>
      </c>
      <c r="E1410" s="6" t="s">
        <v>62</v>
      </c>
      <c r="F1410" s="6"/>
      <c r="G1410" s="7" t="s">
        <v>22</v>
      </c>
      <c r="H1410" s="19"/>
      <c r="I1410" s="19"/>
      <c r="J1410" s="19"/>
      <c r="K1410" s="19"/>
      <c r="L1410" s="14">
        <v>4050805</v>
      </c>
      <c r="M1410" s="22">
        <v>44944</v>
      </c>
      <c r="N1410" s="19" t="s">
        <v>196</v>
      </c>
      <c r="O1410" s="19" t="s">
        <v>333</v>
      </c>
      <c r="P1410" s="15">
        <v>160000</v>
      </c>
      <c r="Q1410" s="15">
        <v>278597.26</v>
      </c>
      <c r="R1410" s="15">
        <v>87082900</v>
      </c>
      <c r="S1410" s="15">
        <v>15</v>
      </c>
      <c r="T1410" s="19" t="s">
        <v>312</v>
      </c>
      <c r="U1410" s="19" t="s">
        <v>178</v>
      </c>
      <c r="V1410" s="16">
        <f t="shared" si="261"/>
        <v>41789.589</v>
      </c>
      <c r="W1410" s="16">
        <f t="shared" si="262"/>
        <v>4178.9589000000005</v>
      </c>
      <c r="X1410" s="16">
        <f t="shared" si="263"/>
        <v>45968.547899999998</v>
      </c>
      <c r="Y1410" s="16">
        <f t="shared" si="264"/>
        <v>0.287303424375</v>
      </c>
      <c r="Z1410" s="16">
        <f t="shared" si="265"/>
        <v>1.7412328750000001</v>
      </c>
      <c r="AA1410" s="17">
        <f t="shared" si="266"/>
        <v>160000</v>
      </c>
      <c r="AB1410" s="10">
        <v>3564</v>
      </c>
      <c r="AC1410" s="18">
        <f t="shared" si="271"/>
        <v>1023.9494044725</v>
      </c>
      <c r="AD1410" s="12">
        <f t="shared" si="270"/>
        <v>86652</v>
      </c>
      <c r="AE1410" s="13">
        <f t="shared" si="267"/>
        <v>73348</v>
      </c>
    </row>
    <row r="1411" spans="1:31">
      <c r="A1411" s="6">
        <v>13</v>
      </c>
      <c r="B1411" s="6">
        <f t="shared" si="268"/>
        <v>27</v>
      </c>
      <c r="C1411" s="6" t="str">
        <f t="shared" si="272"/>
        <v>560050622CCHANNEL, BUCKLE, K12 ROA K12A/AT, RIVET BUCKLE, S505596944994224000</v>
      </c>
      <c r="D1411" s="7" t="s">
        <v>372</v>
      </c>
      <c r="E1411" s="6" t="s">
        <v>72</v>
      </c>
      <c r="F1411" s="6"/>
      <c r="G1411" s="7" t="s">
        <v>32</v>
      </c>
      <c r="H1411" s="19"/>
      <c r="I1411" s="19"/>
      <c r="J1411" s="19"/>
      <c r="K1411" s="19"/>
      <c r="L1411" s="14">
        <v>5055969</v>
      </c>
      <c r="M1411" s="22">
        <v>44994</v>
      </c>
      <c r="N1411" s="19" t="s">
        <v>197</v>
      </c>
      <c r="O1411" s="19" t="s">
        <v>333</v>
      </c>
      <c r="P1411" s="15">
        <v>224000</v>
      </c>
      <c r="Q1411" s="15">
        <v>3980591.44</v>
      </c>
      <c r="R1411" s="15">
        <v>87082900</v>
      </c>
      <c r="S1411" s="15">
        <v>15</v>
      </c>
      <c r="T1411" s="19" t="s">
        <v>318</v>
      </c>
      <c r="U1411" s="19" t="s">
        <v>178</v>
      </c>
      <c r="V1411" s="16">
        <f t="shared" si="261"/>
        <v>597088.71600000001</v>
      </c>
      <c r="W1411" s="16">
        <f t="shared" si="262"/>
        <v>59708.871600000006</v>
      </c>
      <c r="X1411" s="16">
        <f t="shared" si="263"/>
        <v>656797.58759999997</v>
      </c>
      <c r="Y1411" s="16">
        <f t="shared" si="264"/>
        <v>2.9321320874999999</v>
      </c>
      <c r="Z1411" s="16">
        <f t="shared" si="265"/>
        <v>17.770497500000001</v>
      </c>
      <c r="AA1411" s="17">
        <f t="shared" si="266"/>
        <v>224000</v>
      </c>
      <c r="AB1411" s="10">
        <v>2592</v>
      </c>
      <c r="AC1411" s="18">
        <f t="shared" si="271"/>
        <v>7600.0863707999997</v>
      </c>
      <c r="AD1411" s="12">
        <f t="shared" si="270"/>
        <v>67232</v>
      </c>
      <c r="AE1411" s="13">
        <f t="shared" si="267"/>
        <v>156768</v>
      </c>
    </row>
    <row r="1412" spans="1:31">
      <c r="A1412" s="6">
        <v>13</v>
      </c>
      <c r="B1412" s="6">
        <f t="shared" si="268"/>
        <v>28</v>
      </c>
      <c r="C1412" s="6" t="str">
        <f t="shared" si="272"/>
        <v>601487200CCOVER, RETRACTOR, R27, S SYSTEMKAPPE DELRIN 100T43274964495048000</v>
      </c>
      <c r="D1412" s="7" t="s">
        <v>372</v>
      </c>
      <c r="E1412" s="6" t="s">
        <v>64</v>
      </c>
      <c r="F1412" s="6"/>
      <c r="G1412" s="7" t="s">
        <v>24</v>
      </c>
      <c r="H1412" s="19"/>
      <c r="I1412" s="19"/>
      <c r="J1412" s="19"/>
      <c r="K1412" s="19"/>
      <c r="L1412" s="14">
        <v>4327496</v>
      </c>
      <c r="M1412" s="22">
        <v>44950</v>
      </c>
      <c r="N1412" s="19" t="s">
        <v>199</v>
      </c>
      <c r="O1412" s="19" t="s">
        <v>332</v>
      </c>
      <c r="P1412" s="15">
        <v>48000</v>
      </c>
      <c r="Q1412" s="15">
        <v>514349.16</v>
      </c>
      <c r="R1412" s="15">
        <v>87082900</v>
      </c>
      <c r="S1412" s="15">
        <v>15</v>
      </c>
      <c r="T1412" s="19" t="s">
        <v>307</v>
      </c>
      <c r="U1412" s="19" t="s">
        <v>178</v>
      </c>
      <c r="V1412" s="16">
        <f t="shared" ref="V1412:V1475" si="273">Q1412*S1412%</f>
        <v>77152.373999999996</v>
      </c>
      <c r="W1412" s="16">
        <f t="shared" ref="W1412:W1475" si="274">V1412*0.1</f>
        <v>7715.2374</v>
      </c>
      <c r="X1412" s="16">
        <f t="shared" ref="X1412:X1475" si="275">V1412+W1412</f>
        <v>84867.611399999994</v>
      </c>
      <c r="Y1412" s="16">
        <f t="shared" ref="Y1412:Y1475" si="276">X1412/P1412</f>
        <v>1.7680752375</v>
      </c>
      <c r="Z1412" s="16">
        <f t="shared" ref="Z1412:Z1475" si="277">Q1412/P1412</f>
        <v>10.715607499999999</v>
      </c>
      <c r="AA1412" s="17">
        <f t="shared" ref="AA1412:AA1475" si="278">P1412</f>
        <v>48000</v>
      </c>
      <c r="AB1412" s="10">
        <v>1728</v>
      </c>
      <c r="AC1412" s="18">
        <f t="shared" si="271"/>
        <v>3055.2340104</v>
      </c>
      <c r="AD1412" s="12">
        <f t="shared" si="270"/>
        <v>47964</v>
      </c>
      <c r="AE1412" s="13">
        <f t="shared" ref="AE1412:AE1475" si="279">AA1412-AD1412</f>
        <v>36</v>
      </c>
    </row>
    <row r="1413" spans="1:31">
      <c r="A1413" s="6">
        <v>13</v>
      </c>
      <c r="B1413" s="6">
        <f t="shared" si="268"/>
        <v>29</v>
      </c>
      <c r="C1413" s="6" t="str">
        <f t="shared" si="272"/>
        <v>632955901AINFLATORS, APP-4.6 73007354514912960</v>
      </c>
      <c r="D1413" s="7" t="s">
        <v>372</v>
      </c>
      <c r="E1413" s="6" t="s">
        <v>48</v>
      </c>
      <c r="F1413" s="6"/>
      <c r="G1413" s="7" t="s">
        <v>10</v>
      </c>
      <c r="H1413" s="19"/>
      <c r="I1413" s="19"/>
      <c r="J1413" s="19"/>
      <c r="K1413" s="19"/>
      <c r="L1413" s="14">
        <v>7300735</v>
      </c>
      <c r="M1413" s="22">
        <v>45149</v>
      </c>
      <c r="N1413" s="19" t="s">
        <v>197</v>
      </c>
      <c r="O1413" s="19" t="s">
        <v>333</v>
      </c>
      <c r="P1413" s="15">
        <v>12960</v>
      </c>
      <c r="Q1413" s="15">
        <v>5726355.8700000001</v>
      </c>
      <c r="R1413" s="15">
        <v>87089500</v>
      </c>
      <c r="S1413" s="15">
        <v>15</v>
      </c>
      <c r="T1413" s="19" t="s">
        <v>202</v>
      </c>
      <c r="U1413" s="19" t="s">
        <v>200</v>
      </c>
      <c r="V1413" s="16">
        <f t="shared" si="273"/>
        <v>858953.38049999997</v>
      </c>
      <c r="W1413" s="16">
        <f t="shared" si="274"/>
        <v>85895.338050000006</v>
      </c>
      <c r="X1413" s="16">
        <f t="shared" si="275"/>
        <v>944848.71854999999</v>
      </c>
      <c r="Y1413" s="16">
        <f t="shared" si="276"/>
        <v>72.904993715277783</v>
      </c>
      <c r="Z1413" s="16">
        <f t="shared" si="277"/>
        <v>441.84844675925928</v>
      </c>
      <c r="AA1413" s="17">
        <f t="shared" si="278"/>
        <v>12960</v>
      </c>
      <c r="AB1413" s="10">
        <v>3240</v>
      </c>
      <c r="AC1413" s="18">
        <f t="shared" si="271"/>
        <v>236212.17963750003</v>
      </c>
      <c r="AD1413" s="12">
        <f t="shared" si="270"/>
        <v>12312</v>
      </c>
      <c r="AE1413" s="13">
        <f t="shared" si="279"/>
        <v>648</v>
      </c>
    </row>
    <row r="1414" spans="1:31">
      <c r="A1414" s="6">
        <v>13</v>
      </c>
      <c r="B1414" s="6">
        <f t="shared" si="268"/>
        <v>30</v>
      </c>
      <c r="C1414" s="6" t="str">
        <f t="shared" si="272"/>
        <v>630580800ALABEL, RAW MATERIAL, BLA K12 TPC BUCKLE5160585449362400000</v>
      </c>
      <c r="D1414" s="7" t="s">
        <v>372</v>
      </c>
      <c r="E1414" s="6" t="s">
        <v>71</v>
      </c>
      <c r="F1414" s="6"/>
      <c r="G1414" s="7" t="s">
        <v>31</v>
      </c>
      <c r="H1414" s="19"/>
      <c r="I1414" s="19"/>
      <c r="J1414" s="19"/>
      <c r="K1414" s="19"/>
      <c r="L1414" s="14">
        <v>5160585</v>
      </c>
      <c r="M1414" s="22">
        <v>44936</v>
      </c>
      <c r="N1414" s="19" t="s">
        <v>196</v>
      </c>
      <c r="O1414" s="19" t="s">
        <v>333</v>
      </c>
      <c r="P1414" s="15">
        <v>2400000</v>
      </c>
      <c r="Q1414" s="15">
        <v>86522.34</v>
      </c>
      <c r="R1414" s="15">
        <v>87082900</v>
      </c>
      <c r="S1414" s="15">
        <v>15</v>
      </c>
      <c r="T1414" s="19" t="s">
        <v>265</v>
      </c>
      <c r="U1414" s="19" t="s">
        <v>178</v>
      </c>
      <c r="V1414" s="16">
        <f t="shared" si="273"/>
        <v>12978.350999999999</v>
      </c>
      <c r="W1414" s="16">
        <f t="shared" si="274"/>
        <v>1297.8351</v>
      </c>
      <c r="X1414" s="16">
        <f t="shared" si="275"/>
        <v>14276.186099999999</v>
      </c>
      <c r="Y1414" s="16">
        <f t="shared" si="276"/>
        <v>5.9484108749999999E-3</v>
      </c>
      <c r="Z1414" s="16">
        <f t="shared" si="277"/>
        <v>3.6050974999999999E-2</v>
      </c>
      <c r="AA1414" s="17">
        <f t="shared" si="278"/>
        <v>2400000</v>
      </c>
      <c r="AB1414" s="10">
        <v>7452</v>
      </c>
      <c r="AC1414" s="18">
        <f t="shared" si="271"/>
        <v>44.327557840499999</v>
      </c>
      <c r="AD1414" s="12">
        <f t="shared" si="270"/>
        <v>548546</v>
      </c>
      <c r="AE1414" s="13">
        <f t="shared" si="279"/>
        <v>1851454</v>
      </c>
    </row>
    <row r="1415" spans="1:31">
      <c r="A1415" s="6">
        <v>13</v>
      </c>
      <c r="B1415" s="6">
        <f t="shared" si="268"/>
        <v>31</v>
      </c>
      <c r="C1415" s="6" t="str">
        <f t="shared" si="272"/>
        <v>560762022ALATCH, BUCKLE, K12 ROADM K12A/AT, SILVER, LATCH W54569304493980000</v>
      </c>
      <c r="D1415" s="7" t="s">
        <v>372</v>
      </c>
      <c r="E1415" s="6" t="s">
        <v>74</v>
      </c>
      <c r="F1415" s="6"/>
      <c r="G1415" s="7" t="s">
        <v>34</v>
      </c>
      <c r="H1415" s="19"/>
      <c r="I1415" s="19"/>
      <c r="J1415" s="19"/>
      <c r="K1415" s="19"/>
      <c r="L1415" s="14">
        <v>5456930</v>
      </c>
      <c r="M1415" s="22">
        <v>44939</v>
      </c>
      <c r="N1415" s="19" t="s">
        <v>185</v>
      </c>
      <c r="O1415" s="19" t="s">
        <v>332</v>
      </c>
      <c r="P1415" s="15">
        <v>80000</v>
      </c>
      <c r="Q1415" s="15">
        <v>680240</v>
      </c>
      <c r="R1415" s="15">
        <v>87082900</v>
      </c>
      <c r="S1415" s="15">
        <v>15</v>
      </c>
      <c r="T1415" s="19" t="s">
        <v>320</v>
      </c>
      <c r="U1415" s="19" t="s">
        <v>178</v>
      </c>
      <c r="V1415" s="16">
        <f t="shared" si="273"/>
        <v>102036</v>
      </c>
      <c r="W1415" s="16">
        <f t="shared" si="274"/>
        <v>10203.6</v>
      </c>
      <c r="X1415" s="16">
        <f t="shared" si="275"/>
        <v>112239.6</v>
      </c>
      <c r="Y1415" s="16">
        <f t="shared" si="276"/>
        <v>1.402995</v>
      </c>
      <c r="Z1415" s="16">
        <f t="shared" si="277"/>
        <v>8.5030000000000001</v>
      </c>
      <c r="AA1415" s="17">
        <f t="shared" si="278"/>
        <v>80000</v>
      </c>
      <c r="AB1415" s="10">
        <v>2592</v>
      </c>
      <c r="AC1415" s="18">
        <f t="shared" si="271"/>
        <v>3636.56304</v>
      </c>
      <c r="AD1415" s="12">
        <f t="shared" si="270"/>
        <v>74976</v>
      </c>
      <c r="AE1415" s="13">
        <f t="shared" si="279"/>
        <v>5024</v>
      </c>
    </row>
    <row r="1416" spans="1:31">
      <c r="A1416" s="6">
        <v>13</v>
      </c>
      <c r="B1416" s="6">
        <f t="shared" si="268"/>
        <v>32</v>
      </c>
      <c r="C1416" s="6" t="str">
        <f t="shared" si="272"/>
        <v>601472600ALATCH, RETRACTOR, R27, A ALL VERSIONS421598844951162000</v>
      </c>
      <c r="D1416" s="7" t="s">
        <v>372</v>
      </c>
      <c r="E1416" s="6" t="s">
        <v>63</v>
      </c>
      <c r="F1416" s="6"/>
      <c r="G1416" s="7" t="s">
        <v>23</v>
      </c>
      <c r="H1416" s="19"/>
      <c r="I1416" s="19"/>
      <c r="J1416" s="19"/>
      <c r="K1416" s="19"/>
      <c r="L1416" s="14">
        <v>4215988</v>
      </c>
      <c r="M1416" s="22">
        <v>44951</v>
      </c>
      <c r="N1416" s="19" t="s">
        <v>199</v>
      </c>
      <c r="O1416" s="19" t="s">
        <v>332</v>
      </c>
      <c r="P1416" s="15">
        <v>162000</v>
      </c>
      <c r="Q1416" s="15">
        <v>1167023.94</v>
      </c>
      <c r="R1416" s="15">
        <v>87082900</v>
      </c>
      <c r="S1416" s="15">
        <v>15</v>
      </c>
      <c r="T1416" s="19" t="s">
        <v>313</v>
      </c>
      <c r="U1416" s="19" t="s">
        <v>178</v>
      </c>
      <c r="V1416" s="16">
        <f t="shared" si="273"/>
        <v>175053.59099999999</v>
      </c>
      <c r="W1416" s="16">
        <f t="shared" si="274"/>
        <v>17505.359099999998</v>
      </c>
      <c r="X1416" s="16">
        <f t="shared" si="275"/>
        <v>192558.95009999999</v>
      </c>
      <c r="Y1416" s="16">
        <f t="shared" si="276"/>
        <v>1.1886354944444444</v>
      </c>
      <c r="Z1416" s="16">
        <f t="shared" si="277"/>
        <v>7.2038514814814816</v>
      </c>
      <c r="AA1416" s="17">
        <f t="shared" si="278"/>
        <v>162000</v>
      </c>
      <c r="AB1416" s="10">
        <v>3564</v>
      </c>
      <c r="AC1416" s="18">
        <f t="shared" si="271"/>
        <v>4236.2969021999997</v>
      </c>
      <c r="AD1416" s="12">
        <f t="shared" si="270"/>
        <v>86652</v>
      </c>
      <c r="AE1416" s="13">
        <f t="shared" si="279"/>
        <v>75348</v>
      </c>
    </row>
    <row r="1417" spans="1:31">
      <c r="A1417" s="6">
        <v>13</v>
      </c>
      <c r="B1417" s="6">
        <f t="shared" si="268"/>
        <v>33</v>
      </c>
      <c r="C1417" s="6" t="str">
        <f t="shared" si="272"/>
        <v>618472000BLEVER, CAR SENS, RETRACT ALL VERSIONS, NOISE REDU408531144933170000</v>
      </c>
      <c r="D1417" s="7" t="s">
        <v>372</v>
      </c>
      <c r="E1417" s="6" t="s">
        <v>69</v>
      </c>
      <c r="F1417" s="6"/>
      <c r="G1417" s="7" t="s">
        <v>29</v>
      </c>
      <c r="H1417" s="19"/>
      <c r="I1417" s="19"/>
      <c r="J1417" s="19"/>
      <c r="K1417" s="19"/>
      <c r="L1417" s="14">
        <v>4085311</v>
      </c>
      <c r="M1417" s="22">
        <v>44933</v>
      </c>
      <c r="N1417" s="19" t="s">
        <v>196</v>
      </c>
      <c r="O1417" s="19" t="s">
        <v>333</v>
      </c>
      <c r="P1417" s="15">
        <v>170000</v>
      </c>
      <c r="Q1417" s="15">
        <v>247799.42</v>
      </c>
      <c r="R1417" s="15">
        <v>87082900</v>
      </c>
      <c r="S1417" s="15">
        <v>15</v>
      </c>
      <c r="T1417" s="19" t="s">
        <v>316</v>
      </c>
      <c r="U1417" s="19" t="s">
        <v>178</v>
      </c>
      <c r="V1417" s="16">
        <f t="shared" si="273"/>
        <v>37169.913</v>
      </c>
      <c r="W1417" s="16">
        <f t="shared" si="274"/>
        <v>3716.9913000000001</v>
      </c>
      <c r="X1417" s="16">
        <f t="shared" si="275"/>
        <v>40886.904300000002</v>
      </c>
      <c r="Y1417" s="16">
        <f t="shared" si="276"/>
        <v>0.24051120176470589</v>
      </c>
      <c r="Z1417" s="16">
        <f t="shared" si="277"/>
        <v>1.4576436470588237</v>
      </c>
      <c r="AA1417" s="17">
        <f t="shared" si="278"/>
        <v>170000</v>
      </c>
      <c r="AB1417" s="10">
        <v>3564</v>
      </c>
      <c r="AC1417" s="18">
        <f t="shared" si="271"/>
        <v>857.18192308941184</v>
      </c>
      <c r="AD1417" s="12">
        <f t="shared" si="270"/>
        <v>86652</v>
      </c>
      <c r="AE1417" s="13">
        <f t="shared" si="279"/>
        <v>83348</v>
      </c>
    </row>
    <row r="1418" spans="1:31">
      <c r="A1418" s="6">
        <v>13</v>
      </c>
      <c r="B1418" s="6">
        <f t="shared" si="268"/>
        <v>34</v>
      </c>
      <c r="C1418" s="6" t="str">
        <f t="shared" si="272"/>
        <v>600188700BLEVER, WEB SENS, RETRACT ALL VERSIONS421599144956270000</v>
      </c>
      <c r="D1418" s="7" t="s">
        <v>372</v>
      </c>
      <c r="E1418" s="6" t="s">
        <v>60</v>
      </c>
      <c r="F1418" s="6"/>
      <c r="G1418" s="7" t="s">
        <v>20</v>
      </c>
      <c r="H1418" s="19"/>
      <c r="I1418" s="19"/>
      <c r="J1418" s="19"/>
      <c r="K1418" s="19"/>
      <c r="L1418" s="14">
        <v>4215991</v>
      </c>
      <c r="M1418" s="22">
        <v>44956</v>
      </c>
      <c r="N1418" s="19" t="s">
        <v>199</v>
      </c>
      <c r="O1418" s="19" t="s">
        <v>332</v>
      </c>
      <c r="P1418" s="15">
        <v>270000</v>
      </c>
      <c r="Q1418" s="15">
        <v>1513733.76</v>
      </c>
      <c r="R1418" s="15">
        <v>87082900</v>
      </c>
      <c r="S1418" s="15">
        <v>15</v>
      </c>
      <c r="T1418" s="19" t="s">
        <v>310</v>
      </c>
      <c r="U1418" s="19" t="s">
        <v>178</v>
      </c>
      <c r="V1418" s="16">
        <f t="shared" si="273"/>
        <v>227060.06399999998</v>
      </c>
      <c r="W1418" s="16">
        <f t="shared" si="274"/>
        <v>22706.006399999998</v>
      </c>
      <c r="X1418" s="16">
        <f t="shared" si="275"/>
        <v>249766.07039999997</v>
      </c>
      <c r="Y1418" s="16">
        <f t="shared" si="276"/>
        <v>0.92505951999999991</v>
      </c>
      <c r="Z1418" s="16">
        <f t="shared" si="277"/>
        <v>5.6064213333333335</v>
      </c>
      <c r="AA1418" s="17">
        <f t="shared" si="278"/>
        <v>270000</v>
      </c>
      <c r="AB1418" s="10">
        <v>3564</v>
      </c>
      <c r="AC1418" s="18">
        <f t="shared" si="271"/>
        <v>3296.9121292799996</v>
      </c>
      <c r="AD1418" s="12">
        <f t="shared" si="270"/>
        <v>86652</v>
      </c>
      <c r="AE1418" s="13">
        <f t="shared" si="279"/>
        <v>183348</v>
      </c>
    </row>
    <row r="1419" spans="1:31">
      <c r="A1419" s="6">
        <v>13</v>
      </c>
      <c r="B1419" s="6">
        <f t="shared" si="268"/>
        <v>35</v>
      </c>
      <c r="C1419" s="6" t="str">
        <f t="shared" si="272"/>
        <v>604213200ALOCKING BAR, BUCKLE, K12 K12A/AT, L=34.3, silver415111844909306000</v>
      </c>
      <c r="D1419" s="7" t="s">
        <v>372</v>
      </c>
      <c r="E1419" s="6" t="s">
        <v>75</v>
      </c>
      <c r="F1419" s="6"/>
      <c r="G1419" s="7" t="s">
        <v>35</v>
      </c>
      <c r="H1419" s="19"/>
      <c r="I1419" s="19"/>
      <c r="J1419" s="19"/>
      <c r="K1419" s="19"/>
      <c r="L1419" s="14">
        <v>4151118</v>
      </c>
      <c r="M1419" s="22">
        <v>44909</v>
      </c>
      <c r="N1419" s="19" t="s">
        <v>199</v>
      </c>
      <c r="O1419" s="19" t="s">
        <v>332</v>
      </c>
      <c r="P1419" s="15">
        <v>306000</v>
      </c>
      <c r="Q1419" s="15">
        <v>347494.89</v>
      </c>
      <c r="R1419" s="15">
        <v>87082900</v>
      </c>
      <c r="S1419" s="15">
        <v>15</v>
      </c>
      <c r="T1419" s="19" t="s">
        <v>319</v>
      </c>
      <c r="U1419" s="19" t="s">
        <v>178</v>
      </c>
      <c r="V1419" s="16">
        <f t="shared" si="273"/>
        <v>52124.233500000002</v>
      </c>
      <c r="W1419" s="16">
        <f t="shared" si="274"/>
        <v>5212.4233500000009</v>
      </c>
      <c r="X1419" s="16">
        <f t="shared" si="275"/>
        <v>57336.656849999999</v>
      </c>
      <c r="Y1419" s="16">
        <f t="shared" si="276"/>
        <v>0.1873746955882353</v>
      </c>
      <c r="Z1419" s="16">
        <f t="shared" si="277"/>
        <v>1.1356042156862745</v>
      </c>
      <c r="AA1419" s="17">
        <f t="shared" si="278"/>
        <v>306000</v>
      </c>
      <c r="AB1419" s="10">
        <v>2592</v>
      </c>
      <c r="AC1419" s="18">
        <f t="shared" si="271"/>
        <v>485.67521096470591</v>
      </c>
      <c r="AD1419" s="12">
        <f t="shared" si="270"/>
        <v>94048</v>
      </c>
      <c r="AE1419" s="13">
        <f t="shared" si="279"/>
        <v>211952</v>
      </c>
    </row>
    <row r="1420" spans="1:31">
      <c r="A1420" s="6">
        <v>13</v>
      </c>
      <c r="B1420" s="6">
        <f t="shared" si="268"/>
        <v>36</v>
      </c>
      <c r="C1420" s="6" t="str">
        <f t="shared" si="272"/>
        <v>618472300CMASS, CAR SENS, RETRACTO ALL VERSIONS, CAR 2-PIN406183045012209560</v>
      </c>
      <c r="D1420" s="7" t="s">
        <v>372</v>
      </c>
      <c r="E1420" s="6" t="s">
        <v>70</v>
      </c>
      <c r="F1420" s="6"/>
      <c r="G1420" s="7" t="s">
        <v>30</v>
      </c>
      <c r="H1420" s="19"/>
      <c r="I1420" s="19"/>
      <c r="J1420" s="19"/>
      <c r="K1420" s="19"/>
      <c r="L1420" s="14">
        <v>4061830</v>
      </c>
      <c r="M1420" s="22">
        <v>45012</v>
      </c>
      <c r="N1420" s="19" t="s">
        <v>196</v>
      </c>
      <c r="O1420" s="19" t="s">
        <v>333</v>
      </c>
      <c r="P1420" s="15">
        <v>209560</v>
      </c>
      <c r="Q1420" s="15">
        <v>786307.66</v>
      </c>
      <c r="R1420" s="15">
        <v>87082900</v>
      </c>
      <c r="S1420" s="15">
        <v>15</v>
      </c>
      <c r="T1420" s="19" t="s">
        <v>317</v>
      </c>
      <c r="U1420" s="19" t="s">
        <v>178</v>
      </c>
      <c r="V1420" s="16">
        <f t="shared" si="273"/>
        <v>117946.149</v>
      </c>
      <c r="W1420" s="16">
        <f t="shared" si="274"/>
        <v>11794.6149</v>
      </c>
      <c r="X1420" s="16">
        <f t="shared" si="275"/>
        <v>129740.76390000001</v>
      </c>
      <c r="Y1420" s="16">
        <f t="shared" si="276"/>
        <v>0.61911034500858941</v>
      </c>
      <c r="Z1420" s="16">
        <f t="shared" si="277"/>
        <v>3.7521839091429663</v>
      </c>
      <c r="AA1420" s="17">
        <f t="shared" si="278"/>
        <v>209560</v>
      </c>
      <c r="AB1420" s="10">
        <v>3564</v>
      </c>
      <c r="AC1420" s="18">
        <f t="shared" si="271"/>
        <v>2206.5092696106126</v>
      </c>
      <c r="AD1420" s="12">
        <f t="shared" si="270"/>
        <v>86652</v>
      </c>
      <c r="AE1420" s="13">
        <f t="shared" si="279"/>
        <v>122908</v>
      </c>
    </row>
    <row r="1421" spans="1:31">
      <c r="A1421" s="6">
        <v>13</v>
      </c>
      <c r="B1421" s="6">
        <f t="shared" si="268"/>
        <v>37</v>
      </c>
      <c r="C1421" s="6" t="str">
        <f t="shared" si="272"/>
        <v>570028800FNUT, ISO, M5, LOCK, THRE LOCK, THREE SIDED TAMPER393103644928624000</v>
      </c>
      <c r="D1421" s="7" t="s">
        <v>372</v>
      </c>
      <c r="E1421" s="6" t="s">
        <v>47</v>
      </c>
      <c r="F1421" s="6"/>
      <c r="G1421" s="7" t="s">
        <v>9</v>
      </c>
      <c r="H1421" s="19"/>
      <c r="I1421" s="19"/>
      <c r="J1421" s="19"/>
      <c r="K1421" s="19"/>
      <c r="L1421" s="14">
        <v>3931036</v>
      </c>
      <c r="M1421" s="22">
        <v>44928</v>
      </c>
      <c r="N1421" s="19" t="s">
        <v>185</v>
      </c>
      <c r="O1421" s="19" t="s">
        <v>332</v>
      </c>
      <c r="P1421" s="15">
        <v>624000</v>
      </c>
      <c r="Q1421" s="15">
        <v>1155867.1000000001</v>
      </c>
      <c r="R1421" s="15">
        <v>87089500</v>
      </c>
      <c r="S1421" s="15">
        <v>15</v>
      </c>
      <c r="T1421" s="19" t="s">
        <v>302</v>
      </c>
      <c r="U1421" s="19" t="s">
        <v>178</v>
      </c>
      <c r="V1421" s="16">
        <f t="shared" si="273"/>
        <v>173380.065</v>
      </c>
      <c r="W1421" s="16">
        <f t="shared" si="274"/>
        <v>17338.0065</v>
      </c>
      <c r="X1421" s="16">
        <f t="shared" si="275"/>
        <v>190718.07149999999</v>
      </c>
      <c r="Y1421" s="16">
        <f t="shared" si="276"/>
        <v>0.30563793509615383</v>
      </c>
      <c r="Z1421" s="16">
        <f t="shared" si="277"/>
        <v>1.852351121794872</v>
      </c>
      <c r="AA1421" s="17">
        <f t="shared" si="278"/>
        <v>624000</v>
      </c>
      <c r="AB1421" s="10">
        <v>12960</v>
      </c>
      <c r="AC1421" s="18">
        <f t="shared" si="271"/>
        <v>3961.0676388461538</v>
      </c>
      <c r="AD1421" s="12">
        <f t="shared" si="270"/>
        <v>227952</v>
      </c>
      <c r="AE1421" s="13">
        <f t="shared" si="279"/>
        <v>396048</v>
      </c>
    </row>
    <row r="1422" spans="1:31">
      <c r="A1422" s="6">
        <v>13</v>
      </c>
      <c r="B1422" s="6">
        <f t="shared" si="268"/>
        <v>38</v>
      </c>
      <c r="C1422" s="6" t="str">
        <f t="shared" si="272"/>
        <v>621343500CNUT, ISO, M5, NYLON INSE NYLON INSERT417070644928390000</v>
      </c>
      <c r="D1422" s="7" t="s">
        <v>372</v>
      </c>
      <c r="E1422" s="6" t="s">
        <v>45</v>
      </c>
      <c r="F1422" s="6"/>
      <c r="G1422" s="7" t="s">
        <v>7</v>
      </c>
      <c r="H1422" s="19"/>
      <c r="I1422" s="19"/>
      <c r="J1422" s="19"/>
      <c r="K1422" s="19"/>
      <c r="L1422" s="14">
        <v>4170706</v>
      </c>
      <c r="M1422" s="22">
        <v>44928</v>
      </c>
      <c r="N1422" s="19" t="s">
        <v>196</v>
      </c>
      <c r="O1422" s="19" t="s">
        <v>332</v>
      </c>
      <c r="P1422" s="15">
        <v>390000</v>
      </c>
      <c r="Q1422" s="15">
        <v>806536.88</v>
      </c>
      <c r="R1422" s="15">
        <v>87089500</v>
      </c>
      <c r="S1422" s="15">
        <v>15</v>
      </c>
      <c r="T1422" s="19" t="s">
        <v>301</v>
      </c>
      <c r="U1422" s="19" t="s">
        <v>178</v>
      </c>
      <c r="V1422" s="16">
        <f t="shared" si="273"/>
        <v>120980.53199999999</v>
      </c>
      <c r="W1422" s="16">
        <f t="shared" si="274"/>
        <v>12098.0532</v>
      </c>
      <c r="X1422" s="16">
        <f t="shared" si="275"/>
        <v>133078.5852</v>
      </c>
      <c r="Y1422" s="16">
        <f t="shared" si="276"/>
        <v>0.34122714153846156</v>
      </c>
      <c r="Z1422" s="16">
        <f t="shared" si="277"/>
        <v>2.0680432820512822</v>
      </c>
      <c r="AA1422" s="17">
        <f t="shared" si="278"/>
        <v>390000</v>
      </c>
      <c r="AB1422" s="10">
        <v>41400</v>
      </c>
      <c r="AC1422" s="18">
        <f t="shared" si="271"/>
        <v>14126.803659692308</v>
      </c>
      <c r="AD1422" s="12">
        <f t="shared" si="270"/>
        <v>385128</v>
      </c>
      <c r="AE1422" s="13">
        <f t="shared" si="279"/>
        <v>4872</v>
      </c>
    </row>
    <row r="1423" spans="1:31">
      <c r="A1423" s="6">
        <v>13</v>
      </c>
      <c r="B1423" s="6">
        <f t="shared" si="268"/>
        <v>39</v>
      </c>
      <c r="C1423" s="6" t="str">
        <f t="shared" si="272"/>
        <v>NPB10271-ZKSCREW, SELF-TAPPING, MET OTHER, HEXALOBULAR INTER406701444998150000</v>
      </c>
      <c r="D1423" s="7" t="s">
        <v>372</v>
      </c>
      <c r="E1423" s="6" t="s">
        <v>76</v>
      </c>
      <c r="F1423" s="6"/>
      <c r="G1423" s="7" t="s">
        <v>36</v>
      </c>
      <c r="H1423" s="19"/>
      <c r="I1423" s="19"/>
      <c r="J1423" s="19"/>
      <c r="K1423" s="19"/>
      <c r="L1423" s="14">
        <v>4067014</v>
      </c>
      <c r="M1423" s="22">
        <v>44998</v>
      </c>
      <c r="N1423" s="19" t="s">
        <v>196</v>
      </c>
      <c r="O1423" s="19" t="s">
        <v>333</v>
      </c>
      <c r="P1423" s="15">
        <v>150000</v>
      </c>
      <c r="Q1423" s="15">
        <v>146157.25</v>
      </c>
      <c r="R1423" s="15">
        <v>87082900</v>
      </c>
      <c r="S1423" s="15">
        <v>15</v>
      </c>
      <c r="T1423" s="19" t="s">
        <v>321</v>
      </c>
      <c r="U1423" s="19" t="s">
        <v>178</v>
      </c>
      <c r="V1423" s="16">
        <f t="shared" si="273"/>
        <v>21923.587499999998</v>
      </c>
      <c r="W1423" s="16">
        <f t="shared" si="274"/>
        <v>2192.3587499999999</v>
      </c>
      <c r="X1423" s="16">
        <f t="shared" si="275"/>
        <v>24115.946249999997</v>
      </c>
      <c r="Y1423" s="16">
        <f t="shared" si="276"/>
        <v>0.16077297499999998</v>
      </c>
      <c r="Z1423" s="16">
        <f t="shared" si="277"/>
        <v>0.9743816666666667</v>
      </c>
      <c r="AA1423" s="17">
        <f t="shared" si="278"/>
        <v>150000</v>
      </c>
      <c r="AB1423" s="10">
        <v>5184</v>
      </c>
      <c r="AC1423" s="18">
        <f t="shared" si="271"/>
        <v>833.44710239999995</v>
      </c>
      <c r="AD1423" s="12">
        <f t="shared" si="270"/>
        <v>149952</v>
      </c>
      <c r="AE1423" s="13">
        <f t="shared" si="279"/>
        <v>48</v>
      </c>
    </row>
    <row r="1424" spans="1:31">
      <c r="A1424" s="6">
        <v>13</v>
      </c>
      <c r="B1424" s="6">
        <f t="shared" ref="B1424:B1487" si="280">B1423+1</f>
        <v>40</v>
      </c>
      <c r="C1424" s="6" t="str">
        <f t="shared" si="272"/>
        <v>566305721BSPRING, SHEET, LEAF, RET ALL VERSIONS, WS ECE4742807449445000</v>
      </c>
      <c r="D1424" s="7" t="s">
        <v>372</v>
      </c>
      <c r="E1424" s="6" t="s">
        <v>59</v>
      </c>
      <c r="F1424" s="6"/>
      <c r="G1424" s="7" t="s">
        <v>19</v>
      </c>
      <c r="H1424" s="19"/>
      <c r="I1424" s="19"/>
      <c r="J1424" s="19"/>
      <c r="K1424" s="19"/>
      <c r="L1424" s="14">
        <v>4742807</v>
      </c>
      <c r="M1424" s="22">
        <v>44944</v>
      </c>
      <c r="N1424" s="19" t="s">
        <v>196</v>
      </c>
      <c r="O1424" s="19" t="s">
        <v>337</v>
      </c>
      <c r="P1424" s="15">
        <v>5000</v>
      </c>
      <c r="Q1424" s="15">
        <v>143362.42000000001</v>
      </c>
      <c r="R1424" s="15">
        <v>87082900</v>
      </c>
      <c r="S1424" s="15">
        <v>15</v>
      </c>
      <c r="T1424" s="19" t="s">
        <v>309</v>
      </c>
      <c r="U1424" s="19" t="s">
        <v>178</v>
      </c>
      <c r="V1424" s="16">
        <f t="shared" si="273"/>
        <v>21504.363000000001</v>
      </c>
      <c r="W1424" s="16">
        <f t="shared" si="274"/>
        <v>2150.4363000000003</v>
      </c>
      <c r="X1424" s="16">
        <f t="shared" si="275"/>
        <v>23654.799300000002</v>
      </c>
      <c r="Y1424" s="16">
        <f t="shared" si="276"/>
        <v>4.7309598600000005</v>
      </c>
      <c r="Z1424" s="16">
        <f t="shared" si="277"/>
        <v>28.672484000000004</v>
      </c>
      <c r="AA1424" s="17">
        <f t="shared" si="278"/>
        <v>5000</v>
      </c>
      <c r="AB1424" s="10">
        <v>66.096000000000004</v>
      </c>
      <c r="AC1424" s="18">
        <f t="shared" si="271"/>
        <v>312.69752290656004</v>
      </c>
      <c r="AD1424" s="12">
        <f t="shared" si="270"/>
        <v>1540.98</v>
      </c>
      <c r="AE1424" s="13">
        <v>0</v>
      </c>
    </row>
    <row r="1425" spans="1:31">
      <c r="A1425" s="6">
        <v>13</v>
      </c>
      <c r="B1425" s="6">
        <f t="shared" si="280"/>
        <v>41</v>
      </c>
      <c r="C1425" s="6" t="str">
        <f t="shared" si="272"/>
        <v>605151600ASPRING, SHEET, LEAF, RET ALL VERSIONS, WS US407852744933100000</v>
      </c>
      <c r="D1425" s="7" t="s">
        <v>372</v>
      </c>
      <c r="E1425" s="6" t="s">
        <v>65</v>
      </c>
      <c r="F1425" s="6"/>
      <c r="G1425" s="7" t="s">
        <v>25</v>
      </c>
      <c r="H1425" s="19"/>
      <c r="I1425" s="19"/>
      <c r="J1425" s="19"/>
      <c r="K1425" s="19"/>
      <c r="L1425" s="14">
        <v>4078527</v>
      </c>
      <c r="M1425" s="22">
        <v>44933</v>
      </c>
      <c r="N1425" s="19" t="s">
        <v>196</v>
      </c>
      <c r="O1425" s="19" t="s">
        <v>333</v>
      </c>
      <c r="P1425" s="15">
        <v>100000</v>
      </c>
      <c r="Q1425" s="15">
        <v>147318.03</v>
      </c>
      <c r="R1425" s="15">
        <v>87082900</v>
      </c>
      <c r="S1425" s="15">
        <v>15</v>
      </c>
      <c r="T1425" s="19" t="s">
        <v>314</v>
      </c>
      <c r="U1425" s="19" t="s">
        <v>178</v>
      </c>
      <c r="V1425" s="16">
        <f t="shared" si="273"/>
        <v>22097.7045</v>
      </c>
      <c r="W1425" s="16">
        <f t="shared" si="274"/>
        <v>2209.77045</v>
      </c>
      <c r="X1425" s="16">
        <f t="shared" si="275"/>
        <v>24307.47495</v>
      </c>
      <c r="Y1425" s="16">
        <f t="shared" si="276"/>
        <v>0.24307474949999999</v>
      </c>
      <c r="Z1425" s="16">
        <f t="shared" si="277"/>
        <v>1.4731802999999999</v>
      </c>
      <c r="AA1425" s="17">
        <f t="shared" si="278"/>
        <v>100000</v>
      </c>
      <c r="AB1425" s="10">
        <v>3564</v>
      </c>
      <c r="AC1425" s="18">
        <f t="shared" si="271"/>
        <v>866.31840721799995</v>
      </c>
      <c r="AD1425" s="12">
        <f t="shared" si="270"/>
        <v>86652</v>
      </c>
      <c r="AE1425" s="13">
        <f t="shared" si="279"/>
        <v>13348</v>
      </c>
    </row>
    <row r="1426" spans="1:31">
      <c r="A1426" s="6">
        <v>13</v>
      </c>
      <c r="B1426" s="6">
        <f t="shared" si="280"/>
        <v>42</v>
      </c>
      <c r="C1426" s="6" t="str">
        <f t="shared" si="272"/>
        <v>560130122ASPRING, WIRE, COMPRESSIO K12A/AT495151045028300000</v>
      </c>
      <c r="D1426" s="7" t="s">
        <v>372</v>
      </c>
      <c r="E1426" s="6" t="s">
        <v>73</v>
      </c>
      <c r="F1426" s="6"/>
      <c r="G1426" s="7" t="s">
        <v>33</v>
      </c>
      <c r="H1426" s="19"/>
      <c r="I1426" s="19"/>
      <c r="J1426" s="19"/>
      <c r="K1426" s="19"/>
      <c r="L1426" s="14">
        <v>4951510</v>
      </c>
      <c r="M1426" s="22">
        <v>45028</v>
      </c>
      <c r="N1426" s="19" t="s">
        <v>199</v>
      </c>
      <c r="O1426" s="19" t="s">
        <v>332</v>
      </c>
      <c r="P1426" s="15">
        <v>300000</v>
      </c>
      <c r="Q1426" s="15">
        <v>285155.93</v>
      </c>
      <c r="R1426" s="15">
        <v>87082900</v>
      </c>
      <c r="S1426" s="15">
        <v>15</v>
      </c>
      <c r="T1426" s="19" t="s">
        <v>319</v>
      </c>
      <c r="U1426" s="19" t="s">
        <v>178</v>
      </c>
      <c r="V1426" s="16">
        <f t="shared" si="273"/>
        <v>42773.389499999997</v>
      </c>
      <c r="W1426" s="16">
        <f t="shared" si="274"/>
        <v>4277.3389500000003</v>
      </c>
      <c r="X1426" s="16">
        <f t="shared" si="275"/>
        <v>47050.728449999995</v>
      </c>
      <c r="Y1426" s="16">
        <f t="shared" si="276"/>
        <v>0.15683576149999998</v>
      </c>
      <c r="Z1426" s="16">
        <f t="shared" si="277"/>
        <v>0.9505197666666666</v>
      </c>
      <c r="AA1426" s="17">
        <f t="shared" si="278"/>
        <v>300000</v>
      </c>
      <c r="AB1426" s="10">
        <v>2592</v>
      </c>
      <c r="AC1426" s="18">
        <f t="shared" si="271"/>
        <v>406.51829380799995</v>
      </c>
      <c r="AD1426" s="12">
        <f t="shared" si="270"/>
        <v>94048</v>
      </c>
      <c r="AE1426" s="13">
        <f t="shared" si="279"/>
        <v>205952</v>
      </c>
    </row>
    <row r="1427" spans="1:31">
      <c r="A1427" s="6">
        <v>13</v>
      </c>
      <c r="B1427" s="6">
        <f t="shared" si="280"/>
        <v>43</v>
      </c>
      <c r="C1427" s="6" t="str">
        <f t="shared" si="272"/>
        <v>605555507ESTEERING DISC NATURE WHITE717838944902100800</v>
      </c>
      <c r="D1427" s="7" t="s">
        <v>372</v>
      </c>
      <c r="E1427" s="6" t="s">
        <v>66</v>
      </c>
      <c r="F1427" s="6"/>
      <c r="G1427" s="7" t="s">
        <v>26</v>
      </c>
      <c r="H1427" s="19"/>
      <c r="I1427" s="19"/>
      <c r="J1427" s="19"/>
      <c r="K1427" s="19"/>
      <c r="L1427" s="14">
        <v>7178389</v>
      </c>
      <c r="M1427" s="22">
        <v>44902</v>
      </c>
      <c r="N1427" s="19" t="s">
        <v>185</v>
      </c>
      <c r="O1427" s="19" t="s">
        <v>332</v>
      </c>
      <c r="P1427" s="15">
        <v>100800</v>
      </c>
      <c r="Q1427" s="15">
        <v>397158.13</v>
      </c>
      <c r="R1427" s="15">
        <v>87082900</v>
      </c>
      <c r="S1427" s="15">
        <v>15</v>
      </c>
      <c r="T1427" s="19" t="s">
        <v>315</v>
      </c>
      <c r="U1427" s="19" t="s">
        <v>178</v>
      </c>
      <c r="V1427" s="16">
        <f t="shared" si="273"/>
        <v>59573.719499999999</v>
      </c>
      <c r="W1427" s="16">
        <f t="shared" si="274"/>
        <v>5957.3719500000007</v>
      </c>
      <c r="X1427" s="16">
        <f t="shared" si="275"/>
        <v>65531.09145</v>
      </c>
      <c r="Y1427" s="16">
        <f t="shared" si="276"/>
        <v>0.65011003422619051</v>
      </c>
      <c r="Z1427" s="16">
        <f t="shared" si="277"/>
        <v>3.9400608134920634</v>
      </c>
      <c r="AA1427" s="17">
        <f t="shared" si="278"/>
        <v>100800</v>
      </c>
      <c r="AB1427" s="10">
        <v>3564</v>
      </c>
      <c r="AC1427" s="18">
        <f t="shared" si="271"/>
        <v>2316.992161982143</v>
      </c>
      <c r="AD1427" s="12">
        <f t="shared" si="270"/>
        <v>80292</v>
      </c>
      <c r="AE1427" s="13">
        <f t="shared" si="279"/>
        <v>20508</v>
      </c>
    </row>
    <row r="1428" spans="1:31">
      <c r="A1428" s="6">
        <v>13</v>
      </c>
      <c r="B1428" s="6">
        <f t="shared" si="280"/>
        <v>44</v>
      </c>
      <c r="C1428" s="6" t="str">
        <f t="shared" si="272"/>
        <v>609183701ASTUD, M6 X 1.0, 16.036956764543984000</v>
      </c>
      <c r="D1428" s="7" t="s">
        <v>372</v>
      </c>
      <c r="E1428" s="6" t="s">
        <v>51</v>
      </c>
      <c r="F1428" s="6"/>
      <c r="G1428" s="7" t="s">
        <v>411</v>
      </c>
      <c r="H1428" s="19"/>
      <c r="I1428" s="19"/>
      <c r="J1428" s="19"/>
      <c r="K1428" s="19"/>
      <c r="L1428" s="14">
        <v>3695676</v>
      </c>
      <c r="M1428" s="22">
        <v>45439</v>
      </c>
      <c r="N1428" s="19" t="s">
        <v>185</v>
      </c>
      <c r="O1428" s="19" t="s">
        <v>332</v>
      </c>
      <c r="P1428" s="15">
        <v>84000</v>
      </c>
      <c r="Q1428" s="15">
        <v>238012.39</v>
      </c>
      <c r="R1428" s="15">
        <v>87089500</v>
      </c>
      <c r="S1428" s="15">
        <v>15</v>
      </c>
      <c r="T1428" s="19" t="s">
        <v>304</v>
      </c>
      <c r="U1428" s="19" t="s">
        <v>178</v>
      </c>
      <c r="V1428" s="16">
        <f t="shared" si="273"/>
        <v>35701.858500000002</v>
      </c>
      <c r="W1428" s="16">
        <f t="shared" si="274"/>
        <v>3570.1858500000003</v>
      </c>
      <c r="X1428" s="16">
        <f t="shared" si="275"/>
        <v>39272.044350000004</v>
      </c>
      <c r="Y1428" s="16">
        <f t="shared" si="276"/>
        <v>0.46752433750000005</v>
      </c>
      <c r="Z1428" s="16">
        <f t="shared" si="277"/>
        <v>2.8334808333333337</v>
      </c>
      <c r="AA1428" s="17">
        <f t="shared" si="278"/>
        <v>84000</v>
      </c>
      <c r="AB1428" s="10">
        <v>9984</v>
      </c>
      <c r="AC1428" s="18">
        <f t="shared" si="271"/>
        <v>4667.7629856000003</v>
      </c>
      <c r="AD1428" s="12">
        <f t="shared" si="270"/>
        <v>82196</v>
      </c>
      <c r="AE1428" s="13">
        <f t="shared" si="279"/>
        <v>1804</v>
      </c>
    </row>
    <row r="1429" spans="1:31">
      <c r="A1429" s="6">
        <v>13</v>
      </c>
      <c r="B1429" s="6">
        <f t="shared" si="280"/>
        <v>45</v>
      </c>
      <c r="C1429" s="6" t="str">
        <f t="shared" si="272"/>
        <v>566098600CWEBBING PIN, RETRACTOR, AGB, AGB-95POM FARBE:SCH432749644950120000</v>
      </c>
      <c r="D1429" s="7" t="s">
        <v>372</v>
      </c>
      <c r="E1429" s="6" t="s">
        <v>57</v>
      </c>
      <c r="F1429" s="6"/>
      <c r="G1429" s="7" t="s">
        <v>17</v>
      </c>
      <c r="H1429" s="19"/>
      <c r="I1429" s="19"/>
      <c r="J1429" s="19"/>
      <c r="K1429" s="19"/>
      <c r="L1429" s="14">
        <v>4327496</v>
      </c>
      <c r="M1429" s="22">
        <v>44950</v>
      </c>
      <c r="N1429" s="19" t="s">
        <v>199</v>
      </c>
      <c r="O1429" s="19" t="s">
        <v>332</v>
      </c>
      <c r="P1429" s="15">
        <v>120000</v>
      </c>
      <c r="Q1429" s="15">
        <v>117311.7</v>
      </c>
      <c r="R1429" s="15">
        <v>87082900</v>
      </c>
      <c r="S1429" s="15">
        <v>15</v>
      </c>
      <c r="T1429" s="19" t="s">
        <v>307</v>
      </c>
      <c r="U1429" s="19" t="s">
        <v>178</v>
      </c>
      <c r="V1429" s="16">
        <f t="shared" si="273"/>
        <v>17596.754999999997</v>
      </c>
      <c r="W1429" s="16">
        <f t="shared" si="274"/>
        <v>1759.6754999999998</v>
      </c>
      <c r="X1429" s="16">
        <f t="shared" si="275"/>
        <v>19356.430499999999</v>
      </c>
      <c r="Y1429" s="16">
        <f t="shared" si="276"/>
        <v>0.16130358749999998</v>
      </c>
      <c r="Z1429" s="16">
        <f t="shared" si="277"/>
        <v>0.97759750000000001</v>
      </c>
      <c r="AA1429" s="17">
        <f t="shared" si="278"/>
        <v>120000</v>
      </c>
      <c r="AB1429" s="10">
        <v>3564</v>
      </c>
      <c r="AC1429" s="18">
        <f t="shared" si="271"/>
        <v>574.88598585</v>
      </c>
      <c r="AD1429" s="12">
        <f t="shared" si="270"/>
        <v>86652</v>
      </c>
      <c r="AE1429" s="13">
        <f t="shared" si="279"/>
        <v>33348</v>
      </c>
    </row>
    <row r="1430" spans="1:31">
      <c r="A1430" s="6">
        <v>13</v>
      </c>
      <c r="B1430" s="6">
        <f t="shared" si="280"/>
        <v>46</v>
      </c>
      <c r="C1430" s="6" t="str">
        <f t="shared" si="272"/>
        <v>603171100BTAPE, ADHESIVE, TERAOKA TERAOKA NO.560S 283492694503640000</v>
      </c>
      <c r="D1430" s="7" t="s">
        <v>372</v>
      </c>
      <c r="E1430" s="6" t="s">
        <v>50</v>
      </c>
      <c r="F1430" s="6"/>
      <c r="G1430" s="7" t="s">
        <v>12</v>
      </c>
      <c r="H1430" s="19"/>
      <c r="I1430" s="19"/>
      <c r="J1430" s="19"/>
      <c r="K1430" s="19"/>
      <c r="L1430" s="14">
        <v>8349269</v>
      </c>
      <c r="M1430" s="22">
        <v>45036</v>
      </c>
      <c r="N1430" s="19" t="s">
        <v>180</v>
      </c>
      <c r="O1430" s="19" t="s">
        <v>333</v>
      </c>
      <c r="P1430" s="15">
        <v>40000</v>
      </c>
      <c r="Q1430" s="15">
        <v>180520.2</v>
      </c>
      <c r="R1430" s="15">
        <v>39199090</v>
      </c>
      <c r="S1430" s="15">
        <v>15</v>
      </c>
      <c r="T1430" s="19" t="s">
        <v>342</v>
      </c>
      <c r="U1430" s="19" t="s">
        <v>178</v>
      </c>
      <c r="V1430" s="16">
        <f t="shared" si="273"/>
        <v>27078.030000000002</v>
      </c>
      <c r="W1430" s="16">
        <f t="shared" si="274"/>
        <v>2707.8030000000003</v>
      </c>
      <c r="X1430" s="16">
        <f t="shared" si="275"/>
        <v>29785.833000000002</v>
      </c>
      <c r="Y1430" s="16">
        <f t="shared" si="276"/>
        <v>0.74464582500000009</v>
      </c>
      <c r="Z1430" s="16">
        <f t="shared" si="277"/>
        <v>4.5130050000000006</v>
      </c>
      <c r="AA1430" s="17">
        <f t="shared" si="278"/>
        <v>40000</v>
      </c>
      <c r="AB1430" s="10">
        <v>1497.6</v>
      </c>
      <c r="AC1430" s="18">
        <f t="shared" si="271"/>
        <v>1115.18158752</v>
      </c>
      <c r="AD1430" s="12">
        <f t="shared" si="270"/>
        <v>12498</v>
      </c>
      <c r="AE1430" s="13">
        <f t="shared" si="279"/>
        <v>27502</v>
      </c>
    </row>
    <row r="1431" spans="1:31">
      <c r="A1431" s="6">
        <v>14</v>
      </c>
      <c r="B1431" s="6">
        <v>1</v>
      </c>
      <c r="C1431" s="6" t="str">
        <f t="shared" si="272"/>
        <v>640294000AAB INFLATOR, ASP-2, GEN15,23468634535010368</v>
      </c>
      <c r="D1431" s="7" t="s">
        <v>379</v>
      </c>
      <c r="E1431" s="6" t="s">
        <v>475</v>
      </c>
      <c r="F1431" s="6"/>
      <c r="G1431" s="7" t="s">
        <v>244</v>
      </c>
      <c r="H1431" s="19"/>
      <c r="I1431" s="19"/>
      <c r="J1431" s="19"/>
      <c r="K1431" s="19"/>
      <c r="L1431" s="14">
        <v>2346863</v>
      </c>
      <c r="M1431" s="22">
        <v>45350</v>
      </c>
      <c r="N1431" s="19" t="s">
        <v>197</v>
      </c>
      <c r="O1431" s="19" t="s">
        <v>333</v>
      </c>
      <c r="P1431" s="15">
        <v>10368</v>
      </c>
      <c r="Q1431" s="15">
        <v>2687626.04</v>
      </c>
      <c r="R1431" s="15">
        <v>87089500</v>
      </c>
      <c r="S1431" s="15">
        <v>15</v>
      </c>
      <c r="T1431" s="19" t="s">
        <v>202</v>
      </c>
      <c r="U1431" s="19" t="s">
        <v>200</v>
      </c>
      <c r="V1431" s="16">
        <f t="shared" si="273"/>
        <v>403143.90600000002</v>
      </c>
      <c r="W1431" s="16">
        <f t="shared" si="274"/>
        <v>40314.390600000006</v>
      </c>
      <c r="X1431" s="16">
        <f t="shared" si="275"/>
        <v>443458.2966</v>
      </c>
      <c r="Y1431" s="16">
        <f t="shared" si="276"/>
        <v>42.771826446759256</v>
      </c>
      <c r="Z1431" s="16">
        <f t="shared" si="277"/>
        <v>259.22319058641978</v>
      </c>
      <c r="AA1431" s="17">
        <f t="shared" si="278"/>
        <v>10368</v>
      </c>
      <c r="AB1431" s="10">
        <v>1152</v>
      </c>
      <c r="AC1431" s="18">
        <f t="shared" si="271"/>
        <v>49273.14406666666</v>
      </c>
      <c r="AD1431" s="12">
        <f t="shared" si="270"/>
        <v>9872</v>
      </c>
      <c r="AE1431" s="13">
        <f t="shared" si="279"/>
        <v>496</v>
      </c>
    </row>
    <row r="1432" spans="1:31">
      <c r="A1432" s="6">
        <v>14</v>
      </c>
      <c r="B1432" s="6">
        <f t="shared" si="280"/>
        <v>2</v>
      </c>
      <c r="C1432" s="6" t="str">
        <f t="shared" si="272"/>
        <v>649421000AAB INFLATOR, ASP-5.1, P20, SRR, IMI, SERV, NO STUDS97125144530913824</v>
      </c>
      <c r="D1432" s="7" t="s">
        <v>379</v>
      </c>
      <c r="E1432" s="6" t="s">
        <v>56</v>
      </c>
      <c r="F1432" s="6"/>
      <c r="G1432" s="7" t="s">
        <v>245</v>
      </c>
      <c r="H1432" s="19"/>
      <c r="I1432" s="19"/>
      <c r="J1432" s="19"/>
      <c r="K1432" s="19"/>
      <c r="L1432" s="14">
        <v>9712514</v>
      </c>
      <c r="M1432" s="22">
        <v>45309</v>
      </c>
      <c r="N1432" s="19" t="s">
        <v>197</v>
      </c>
      <c r="O1432" s="19" t="s">
        <v>333</v>
      </c>
      <c r="P1432" s="15">
        <v>13824</v>
      </c>
      <c r="Q1432" s="15">
        <v>2091482.84</v>
      </c>
      <c r="R1432" s="15">
        <v>87089500</v>
      </c>
      <c r="S1432" s="15">
        <v>15</v>
      </c>
      <c r="T1432" s="19" t="s">
        <v>380</v>
      </c>
      <c r="U1432" s="19" t="s">
        <v>200</v>
      </c>
      <c r="V1432" s="16">
        <f t="shared" si="273"/>
        <v>313722.42599999998</v>
      </c>
      <c r="W1432" s="16">
        <f t="shared" si="274"/>
        <v>31372.242599999998</v>
      </c>
      <c r="X1432" s="16">
        <f t="shared" si="275"/>
        <v>345094.66859999998</v>
      </c>
      <c r="Y1432" s="16">
        <f t="shared" si="276"/>
        <v>24.963445355902778</v>
      </c>
      <c r="Z1432" s="16">
        <f t="shared" si="277"/>
        <v>151.29360821759261</v>
      </c>
      <c r="AA1432" s="17">
        <f t="shared" si="278"/>
        <v>13824</v>
      </c>
      <c r="AB1432" s="10">
        <v>576</v>
      </c>
      <c r="AC1432" s="18">
        <f t="shared" si="271"/>
        <v>14378.944524999999</v>
      </c>
      <c r="AD1432" s="12">
        <f t="shared" si="270"/>
        <v>11712</v>
      </c>
      <c r="AE1432" s="13">
        <f t="shared" si="279"/>
        <v>2112</v>
      </c>
    </row>
    <row r="1433" spans="1:31">
      <c r="A1433" s="6">
        <v>14</v>
      </c>
      <c r="B1433" s="6">
        <f t="shared" si="280"/>
        <v>3</v>
      </c>
      <c r="C1433" s="6" t="str">
        <f t="shared" si="272"/>
        <v>655226900AINFLATOR APP-4.6, 325KPA 1.8MOL, STANDARD MIB SQU2407773453558640</v>
      </c>
      <c r="D1433" s="7" t="s">
        <v>379</v>
      </c>
      <c r="E1433" s="6" t="s">
        <v>130</v>
      </c>
      <c r="F1433" s="6"/>
      <c r="G1433" s="7" t="s">
        <v>102</v>
      </c>
      <c r="H1433" s="19"/>
      <c r="I1433" s="19"/>
      <c r="J1433" s="19"/>
      <c r="K1433" s="19"/>
      <c r="L1433" s="14">
        <v>2407773</v>
      </c>
      <c r="M1433" s="22">
        <v>45355</v>
      </c>
      <c r="N1433" s="19" t="s">
        <v>197</v>
      </c>
      <c r="O1433" s="19" t="s">
        <v>333</v>
      </c>
      <c r="P1433" s="15">
        <v>8640</v>
      </c>
      <c r="Q1433" s="15">
        <v>3583311.25</v>
      </c>
      <c r="R1433" s="15">
        <v>87089500</v>
      </c>
      <c r="S1433" s="15">
        <v>15</v>
      </c>
      <c r="T1433" s="19" t="s">
        <v>381</v>
      </c>
      <c r="U1433" s="19" t="s">
        <v>200</v>
      </c>
      <c r="V1433" s="16">
        <f t="shared" si="273"/>
        <v>537496.6875</v>
      </c>
      <c r="W1433" s="16">
        <f t="shared" si="274"/>
        <v>53749.668750000004</v>
      </c>
      <c r="X1433" s="16">
        <f t="shared" si="275"/>
        <v>591246.35624999995</v>
      </c>
      <c r="Y1433" s="16">
        <f t="shared" si="276"/>
        <v>68.431291232638884</v>
      </c>
      <c r="Z1433" s="16">
        <f t="shared" si="277"/>
        <v>414.73509837962962</v>
      </c>
      <c r="AA1433" s="17">
        <f t="shared" si="278"/>
        <v>8640</v>
      </c>
      <c r="AB1433" s="10">
        <v>1512</v>
      </c>
      <c r="AC1433" s="18">
        <f t="shared" si="271"/>
        <v>103468.11234374999</v>
      </c>
      <c r="AD1433" s="12">
        <f t="shared" si="270"/>
        <v>7809</v>
      </c>
      <c r="AE1433" s="13">
        <f t="shared" si="279"/>
        <v>831</v>
      </c>
    </row>
    <row r="1434" spans="1:31">
      <c r="A1434" s="6">
        <v>14</v>
      </c>
      <c r="B1434" s="6">
        <f t="shared" si="280"/>
        <v>4</v>
      </c>
      <c r="C1434" s="6" t="str">
        <f t="shared" si="272"/>
        <v>655116100ALABEL, BLANK, 50.0, 25.0  LABEL, BLANK, 2PCS, 50X98316604531630000</v>
      </c>
      <c r="D1434" s="7" t="s">
        <v>379</v>
      </c>
      <c r="E1434" s="6" t="s">
        <v>49</v>
      </c>
      <c r="F1434" s="6"/>
      <c r="G1434" s="7" t="s">
        <v>11</v>
      </c>
      <c r="H1434" s="19"/>
      <c r="I1434" s="19"/>
      <c r="J1434" s="19"/>
      <c r="K1434" s="19"/>
      <c r="L1434" s="14">
        <v>9831660</v>
      </c>
      <c r="M1434" s="22">
        <v>45316</v>
      </c>
      <c r="N1434" s="19" t="s">
        <v>196</v>
      </c>
      <c r="O1434" s="19" t="s">
        <v>333</v>
      </c>
      <c r="P1434" s="15">
        <v>30000</v>
      </c>
      <c r="Q1434" s="15">
        <v>87652.89</v>
      </c>
      <c r="R1434" s="15">
        <v>87089500</v>
      </c>
      <c r="S1434" s="15">
        <v>15</v>
      </c>
      <c r="T1434" s="19" t="s">
        <v>303</v>
      </c>
      <c r="U1434" s="19" t="s">
        <v>178</v>
      </c>
      <c r="V1434" s="16">
        <f t="shared" si="273"/>
        <v>13147.933499999999</v>
      </c>
      <c r="W1434" s="16">
        <f t="shared" si="274"/>
        <v>1314.7933499999999</v>
      </c>
      <c r="X1434" s="16">
        <f t="shared" si="275"/>
        <v>14462.726849999999</v>
      </c>
      <c r="Y1434" s="16">
        <f t="shared" si="276"/>
        <v>0.48209089499999996</v>
      </c>
      <c r="Z1434" s="16">
        <f t="shared" si="277"/>
        <v>2.9217629999999999</v>
      </c>
      <c r="AA1434" s="17">
        <f t="shared" si="278"/>
        <v>30000</v>
      </c>
      <c r="AB1434" s="10">
        <v>3024</v>
      </c>
      <c r="AC1434" s="18">
        <f t="shared" si="271"/>
        <v>1457.8428664799999</v>
      </c>
      <c r="AD1434" s="12">
        <f t="shared" si="270"/>
        <v>24771</v>
      </c>
      <c r="AE1434" s="13">
        <f t="shared" si="279"/>
        <v>5229</v>
      </c>
    </row>
    <row r="1435" spans="1:31">
      <c r="A1435" s="6">
        <v>14</v>
      </c>
      <c r="B1435" s="6">
        <f t="shared" si="280"/>
        <v>5</v>
      </c>
      <c r="C1435" s="6" t="str">
        <f t="shared" si="272"/>
        <v>615795701BPILLAR LOOP, OVERMOULDED LIGHT GRAY, STD, WITH CA6882249451226000</v>
      </c>
      <c r="D1435" s="7" t="s">
        <v>379</v>
      </c>
      <c r="E1435" s="6" t="s">
        <v>67</v>
      </c>
      <c r="F1435" s="6"/>
      <c r="G1435" s="7" t="s">
        <v>27</v>
      </c>
      <c r="H1435" s="19"/>
      <c r="I1435" s="19"/>
      <c r="J1435" s="19"/>
      <c r="K1435" s="19"/>
      <c r="L1435" s="14">
        <v>6882249</v>
      </c>
      <c r="M1435" s="22">
        <v>45122</v>
      </c>
      <c r="N1435" s="19" t="s">
        <v>185</v>
      </c>
      <c r="O1435" s="19" t="s">
        <v>332</v>
      </c>
      <c r="P1435" s="15">
        <v>6000</v>
      </c>
      <c r="Q1435" s="15">
        <v>340829.36</v>
      </c>
      <c r="R1435" s="15">
        <v>87082900</v>
      </c>
      <c r="S1435" s="15">
        <v>15</v>
      </c>
      <c r="T1435" s="19" t="s">
        <v>198</v>
      </c>
      <c r="U1435" s="19" t="s">
        <v>178</v>
      </c>
      <c r="V1435" s="16">
        <f t="shared" si="273"/>
        <v>51124.403999999995</v>
      </c>
      <c r="W1435" s="16">
        <f t="shared" si="274"/>
        <v>5112.4403999999995</v>
      </c>
      <c r="X1435" s="16">
        <f t="shared" si="275"/>
        <v>56236.844399999994</v>
      </c>
      <c r="Y1435" s="16">
        <f t="shared" si="276"/>
        <v>9.3728073999999992</v>
      </c>
      <c r="Z1435" s="16">
        <f t="shared" si="277"/>
        <v>56.804893333333332</v>
      </c>
      <c r="AA1435" s="17">
        <f t="shared" si="278"/>
        <v>6000</v>
      </c>
      <c r="AB1435" s="10">
        <v>4356</v>
      </c>
      <c r="AC1435" s="18">
        <f t="shared" si="271"/>
        <v>40827.949034399993</v>
      </c>
      <c r="AD1435" s="12">
        <f t="shared" si="270"/>
        <v>5876</v>
      </c>
      <c r="AE1435" s="13">
        <f t="shared" si="279"/>
        <v>124</v>
      </c>
    </row>
    <row r="1436" spans="1:31">
      <c r="A1436" s="6">
        <v>14</v>
      </c>
      <c r="B1436" s="6">
        <f t="shared" si="280"/>
        <v>6</v>
      </c>
      <c r="C1436" s="6" t="str">
        <f t="shared" si="272"/>
        <v>654590700ASU2ID CUSHION COMPONENTS CVR NON-WOVEN LH STD2156837453374500</v>
      </c>
      <c r="D1436" s="7" t="s">
        <v>379</v>
      </c>
      <c r="E1436" s="6" t="s">
        <v>477</v>
      </c>
      <c r="F1436" s="6"/>
      <c r="G1436" s="7" t="s">
        <v>330</v>
      </c>
      <c r="H1436" s="19"/>
      <c r="I1436" s="19"/>
      <c r="J1436" s="19"/>
      <c r="K1436" s="19"/>
      <c r="L1436" s="14">
        <v>2156837</v>
      </c>
      <c r="M1436" s="22">
        <v>45337</v>
      </c>
      <c r="N1436" s="19" t="s">
        <v>185</v>
      </c>
      <c r="O1436" s="19" t="s">
        <v>333</v>
      </c>
      <c r="P1436" s="15">
        <v>4500</v>
      </c>
      <c r="Q1436" s="15">
        <v>54503.31</v>
      </c>
      <c r="R1436" s="15">
        <v>87089500</v>
      </c>
      <c r="S1436" s="15">
        <v>5</v>
      </c>
      <c r="T1436" s="19" t="s">
        <v>346</v>
      </c>
      <c r="U1436" s="19" t="s">
        <v>178</v>
      </c>
      <c r="V1436" s="16">
        <f t="shared" si="273"/>
        <v>2725.1655000000001</v>
      </c>
      <c r="W1436" s="16">
        <f t="shared" si="274"/>
        <v>272.51655</v>
      </c>
      <c r="X1436" s="16">
        <f t="shared" si="275"/>
        <v>2997.6820499999999</v>
      </c>
      <c r="Y1436" s="16">
        <f t="shared" si="276"/>
        <v>0.66615156666666664</v>
      </c>
      <c r="Z1436" s="16">
        <f t="shared" si="277"/>
        <v>12.111846666666667</v>
      </c>
      <c r="AA1436" s="17">
        <f t="shared" si="278"/>
        <v>4500</v>
      </c>
      <c r="AB1436" s="10">
        <v>1728</v>
      </c>
      <c r="AC1436" s="18">
        <f t="shared" si="271"/>
        <v>1151.1099072</v>
      </c>
      <c r="AD1436" s="12">
        <f t="shared" si="270"/>
        <v>4500</v>
      </c>
      <c r="AE1436" s="13">
        <f t="shared" si="279"/>
        <v>0</v>
      </c>
    </row>
    <row r="1437" spans="1:31">
      <c r="A1437" s="6">
        <v>14</v>
      </c>
      <c r="B1437" s="6">
        <f t="shared" si="280"/>
        <v>7</v>
      </c>
      <c r="C1437" s="6" t="str">
        <f t="shared" si="272"/>
        <v>640294200AINFLATOR, ASP-2, GEN15,5415152450233456</v>
      </c>
      <c r="D1437" s="7" t="s">
        <v>379</v>
      </c>
      <c r="E1437" s="6" t="s">
        <v>470</v>
      </c>
      <c r="F1437" s="6"/>
      <c r="G1437" s="7" t="s">
        <v>238</v>
      </c>
      <c r="H1437" s="19"/>
      <c r="I1437" s="19"/>
      <c r="J1437" s="19"/>
      <c r="K1437" s="19"/>
      <c r="L1437" s="14">
        <v>5415152</v>
      </c>
      <c r="M1437" s="22">
        <v>45023</v>
      </c>
      <c r="N1437" s="19" t="s">
        <v>197</v>
      </c>
      <c r="O1437" s="19" t="s">
        <v>333</v>
      </c>
      <c r="P1437" s="15">
        <v>3456</v>
      </c>
      <c r="Q1437" s="15">
        <v>930335.43</v>
      </c>
      <c r="R1437" s="15">
        <v>87089500</v>
      </c>
      <c r="S1437" s="15">
        <v>15</v>
      </c>
      <c r="T1437" s="19" t="s">
        <v>202</v>
      </c>
      <c r="U1437" s="19" t="s">
        <v>200</v>
      </c>
      <c r="V1437" s="16">
        <f t="shared" si="273"/>
        <v>139550.31450000001</v>
      </c>
      <c r="W1437" s="16">
        <f t="shared" si="274"/>
        <v>13955.031450000002</v>
      </c>
      <c r="X1437" s="16">
        <f t="shared" si="275"/>
        <v>153505.34595000002</v>
      </c>
      <c r="Y1437" s="16">
        <f t="shared" si="276"/>
        <v>44.417056119791674</v>
      </c>
      <c r="Z1437" s="16">
        <f t="shared" si="277"/>
        <v>269.19427951388889</v>
      </c>
      <c r="AA1437" s="17">
        <f t="shared" si="278"/>
        <v>3456</v>
      </c>
      <c r="AB1437" s="10">
        <v>1728</v>
      </c>
      <c r="AC1437" s="18">
        <f t="shared" si="271"/>
        <v>76752.672975000009</v>
      </c>
      <c r="AD1437" s="12">
        <f t="shared" si="270"/>
        <v>2592</v>
      </c>
      <c r="AE1437" s="13">
        <f t="shared" si="279"/>
        <v>864</v>
      </c>
    </row>
    <row r="1438" spans="1:31">
      <c r="A1438" s="6">
        <v>14</v>
      </c>
      <c r="B1438" s="6">
        <f t="shared" si="280"/>
        <v>8</v>
      </c>
      <c r="C1438" s="6" t="str">
        <f t="shared" si="272"/>
        <v>654590600ASU2ID STD CUSHION COMPON CVR NON-WOVEN RH2605037453675400</v>
      </c>
      <c r="D1438" s="7" t="s">
        <v>379</v>
      </c>
      <c r="E1438" s="6" t="s">
        <v>78</v>
      </c>
      <c r="F1438" s="6"/>
      <c r="G1438" s="7" t="s">
        <v>38</v>
      </c>
      <c r="H1438" s="19"/>
      <c r="I1438" s="19"/>
      <c r="J1438" s="19"/>
      <c r="K1438" s="19"/>
      <c r="L1438" s="14">
        <v>2605037</v>
      </c>
      <c r="M1438" s="22">
        <v>45367</v>
      </c>
      <c r="N1438" s="19" t="s">
        <v>185</v>
      </c>
      <c r="O1438" s="19" t="s">
        <v>332</v>
      </c>
      <c r="P1438" s="15">
        <v>5400</v>
      </c>
      <c r="Q1438" s="15">
        <v>65556.710000000006</v>
      </c>
      <c r="R1438" s="15">
        <v>87089400</v>
      </c>
      <c r="S1438" s="15">
        <v>5</v>
      </c>
      <c r="T1438" s="19" t="s">
        <v>347</v>
      </c>
      <c r="U1438" s="19" t="s">
        <v>178</v>
      </c>
      <c r="V1438" s="16">
        <f t="shared" si="273"/>
        <v>3277.8355000000006</v>
      </c>
      <c r="W1438" s="16">
        <f t="shared" si="274"/>
        <v>327.7835500000001</v>
      </c>
      <c r="X1438" s="16">
        <f t="shared" si="275"/>
        <v>3605.6190500000007</v>
      </c>
      <c r="Y1438" s="16">
        <f t="shared" si="276"/>
        <v>0.66770723148148159</v>
      </c>
      <c r="Z1438" s="16">
        <f t="shared" si="277"/>
        <v>12.140131481481482</v>
      </c>
      <c r="AA1438" s="17">
        <f t="shared" si="278"/>
        <v>5400</v>
      </c>
      <c r="AB1438" s="10">
        <v>1152</v>
      </c>
      <c r="AC1438" s="18">
        <f t="shared" si="271"/>
        <v>769.19873066666673</v>
      </c>
      <c r="AD1438" s="12">
        <v>5400</v>
      </c>
      <c r="AE1438" s="13">
        <f t="shared" si="279"/>
        <v>0</v>
      </c>
    </row>
    <row r="1439" spans="1:31">
      <c r="A1439" s="6">
        <v>14</v>
      </c>
      <c r="B1439" s="6">
        <f t="shared" si="280"/>
        <v>9</v>
      </c>
      <c r="C1439" s="6" t="str">
        <f t="shared" si="272"/>
        <v>609183701ASTUD, M6 X 1.0, 16.0561310344974140000</v>
      </c>
      <c r="D1439" s="7" t="s">
        <v>379</v>
      </c>
      <c r="E1439" s="6" t="s">
        <v>51</v>
      </c>
      <c r="F1439" s="6"/>
      <c r="G1439" s="7" t="s">
        <v>411</v>
      </c>
      <c r="H1439" s="19"/>
      <c r="I1439" s="19"/>
      <c r="J1439" s="19"/>
      <c r="K1439" s="19"/>
      <c r="L1439" s="14">
        <v>5613103</v>
      </c>
      <c r="M1439" s="22">
        <v>44974</v>
      </c>
      <c r="N1439" s="19" t="s">
        <v>185</v>
      </c>
      <c r="O1439" s="19" t="s">
        <v>332</v>
      </c>
      <c r="P1439" s="15">
        <v>140000</v>
      </c>
      <c r="Q1439" s="15">
        <v>402663.89</v>
      </c>
      <c r="R1439" s="15">
        <v>87082900</v>
      </c>
      <c r="S1439" s="15">
        <v>15</v>
      </c>
      <c r="T1439" s="19" t="s">
        <v>304</v>
      </c>
      <c r="U1439" s="19" t="s">
        <v>178</v>
      </c>
      <c r="V1439" s="16">
        <f t="shared" si="273"/>
        <v>60399.583500000001</v>
      </c>
      <c r="W1439" s="16">
        <f t="shared" si="274"/>
        <v>6039.9583500000008</v>
      </c>
      <c r="X1439" s="16">
        <f t="shared" si="275"/>
        <v>66439.541850000009</v>
      </c>
      <c r="Y1439" s="16">
        <f t="shared" si="276"/>
        <v>0.47456815607142866</v>
      </c>
      <c r="Z1439" s="16">
        <f t="shared" si="277"/>
        <v>2.8761706428571427</v>
      </c>
      <c r="AA1439" s="17">
        <f t="shared" si="278"/>
        <v>140000</v>
      </c>
      <c r="AB1439" s="10">
        <v>2304</v>
      </c>
      <c r="AC1439" s="18">
        <f t="shared" si="271"/>
        <v>1093.4050315885715</v>
      </c>
      <c r="AD1439" s="12">
        <f t="shared" ref="AD1439:AD1502" si="281">SUMIF($C$2:$C$2284,C1439,$AB$2:$AB$2284)</f>
        <v>140000</v>
      </c>
      <c r="AE1439" s="13">
        <f t="shared" si="279"/>
        <v>0</v>
      </c>
    </row>
    <row r="1440" spans="1:31">
      <c r="A1440" s="6">
        <v>14</v>
      </c>
      <c r="B1440" s="6">
        <f t="shared" si="280"/>
        <v>10</v>
      </c>
      <c r="C1440" s="6" t="str">
        <f t="shared" si="272"/>
        <v>632154400AADHESIVE, PAD 40785224493620000</v>
      </c>
      <c r="D1440" s="7" t="s">
        <v>379</v>
      </c>
      <c r="E1440" s="6" t="s">
        <v>79</v>
      </c>
      <c r="F1440" s="6"/>
      <c r="G1440" s="7" t="s">
        <v>39</v>
      </c>
      <c r="H1440" s="19"/>
      <c r="I1440" s="19"/>
      <c r="J1440" s="19"/>
      <c r="K1440" s="19"/>
      <c r="L1440" s="14">
        <v>4078522</v>
      </c>
      <c r="M1440" s="22">
        <v>44936</v>
      </c>
      <c r="N1440" s="19" t="s">
        <v>196</v>
      </c>
      <c r="O1440" s="19" t="s">
        <v>333</v>
      </c>
      <c r="P1440" s="15">
        <v>20000</v>
      </c>
      <c r="Q1440" s="15">
        <v>66978.789999999994</v>
      </c>
      <c r="R1440" s="15">
        <v>87082900</v>
      </c>
      <c r="S1440" s="15">
        <v>15</v>
      </c>
      <c r="T1440" s="19" t="s">
        <v>201</v>
      </c>
      <c r="U1440" s="19" t="s">
        <v>178</v>
      </c>
      <c r="V1440" s="16">
        <f t="shared" si="273"/>
        <v>10046.818499999999</v>
      </c>
      <c r="W1440" s="16">
        <f t="shared" si="274"/>
        <v>1004.6818499999999</v>
      </c>
      <c r="X1440" s="16">
        <f t="shared" si="275"/>
        <v>11051.500349999998</v>
      </c>
      <c r="Y1440" s="16">
        <f t="shared" si="276"/>
        <v>0.55257501749999993</v>
      </c>
      <c r="Z1440" s="16">
        <f t="shared" si="277"/>
        <v>3.3489394999999997</v>
      </c>
      <c r="AA1440" s="17">
        <f t="shared" si="278"/>
        <v>20000</v>
      </c>
      <c r="AB1440" s="10">
        <v>4356</v>
      </c>
      <c r="AC1440" s="18">
        <f t="shared" si="271"/>
        <v>2407.0167762299998</v>
      </c>
      <c r="AD1440" s="12">
        <f t="shared" si="281"/>
        <v>18136</v>
      </c>
      <c r="AE1440" s="13">
        <f t="shared" si="279"/>
        <v>1864</v>
      </c>
    </row>
    <row r="1441" spans="1:31">
      <c r="A1441" s="6">
        <v>14</v>
      </c>
      <c r="B1441" s="6">
        <f t="shared" si="280"/>
        <v>11</v>
      </c>
      <c r="C1441" s="6" t="str">
        <f t="shared" si="272"/>
        <v>632955901AINFLATORS, APP-4.6 39552714492417280</v>
      </c>
      <c r="D1441" s="7" t="s">
        <v>379</v>
      </c>
      <c r="E1441" s="6" t="s">
        <v>48</v>
      </c>
      <c r="F1441" s="6"/>
      <c r="G1441" s="7" t="s">
        <v>10</v>
      </c>
      <c r="H1441" s="19"/>
      <c r="I1441" s="19"/>
      <c r="J1441" s="19"/>
      <c r="K1441" s="19"/>
      <c r="L1441" s="14">
        <v>3955271</v>
      </c>
      <c r="M1441" s="22">
        <v>44924</v>
      </c>
      <c r="N1441" s="19" t="s">
        <v>199</v>
      </c>
      <c r="O1441" s="19" t="s">
        <v>333</v>
      </c>
      <c r="P1441" s="15">
        <v>17280</v>
      </c>
      <c r="Q1441" s="15">
        <v>6760871.4100000001</v>
      </c>
      <c r="R1441" s="15">
        <v>87089500</v>
      </c>
      <c r="S1441" s="15">
        <v>15</v>
      </c>
      <c r="T1441" s="19" t="s">
        <v>202</v>
      </c>
      <c r="U1441" s="19" t="s">
        <v>200</v>
      </c>
      <c r="V1441" s="16">
        <f t="shared" si="273"/>
        <v>1014130.7115</v>
      </c>
      <c r="W1441" s="16">
        <f t="shared" si="274"/>
        <v>101413.07115</v>
      </c>
      <c r="X1441" s="16">
        <f t="shared" si="275"/>
        <v>1115543.78265</v>
      </c>
      <c r="Y1441" s="16">
        <f t="shared" si="276"/>
        <v>64.556931866319445</v>
      </c>
      <c r="Z1441" s="16">
        <f t="shared" si="277"/>
        <v>391.25413252314814</v>
      </c>
      <c r="AA1441" s="17">
        <f t="shared" si="278"/>
        <v>17280</v>
      </c>
      <c r="AB1441" s="10">
        <v>1512</v>
      </c>
      <c r="AC1441" s="18">
        <f t="shared" si="271"/>
        <v>97610.080981874999</v>
      </c>
      <c r="AD1441" s="12">
        <f t="shared" si="281"/>
        <v>17028</v>
      </c>
      <c r="AE1441" s="13">
        <f t="shared" si="279"/>
        <v>252</v>
      </c>
    </row>
    <row r="1442" spans="1:31">
      <c r="A1442" s="6">
        <v>14</v>
      </c>
      <c r="B1442" s="6">
        <f t="shared" si="280"/>
        <v>12</v>
      </c>
      <c r="C1442" s="6" t="str">
        <f t="shared" si="272"/>
        <v>616531900ARING, CRIMP, CLAMP, BAND23159074534830000</v>
      </c>
      <c r="D1442" s="7" t="s">
        <v>379</v>
      </c>
      <c r="E1442" s="6" t="s">
        <v>52</v>
      </c>
      <c r="F1442" s="6"/>
      <c r="G1442" s="7" t="s">
        <v>410</v>
      </c>
      <c r="H1442" s="19"/>
      <c r="I1442" s="19"/>
      <c r="J1442" s="19"/>
      <c r="K1442" s="19"/>
      <c r="L1442" s="14">
        <v>2315907</v>
      </c>
      <c r="M1442" s="22">
        <v>45348</v>
      </c>
      <c r="N1442" s="19" t="s">
        <v>190</v>
      </c>
      <c r="O1442" s="19" t="s">
        <v>333</v>
      </c>
      <c r="P1442" s="15">
        <v>30000</v>
      </c>
      <c r="Q1442" s="15">
        <v>507892.96</v>
      </c>
      <c r="R1442" s="15">
        <v>87089500</v>
      </c>
      <c r="S1442" s="15">
        <v>15</v>
      </c>
      <c r="T1442" s="19" t="s">
        <v>353</v>
      </c>
      <c r="U1442" s="19" t="s">
        <v>178</v>
      </c>
      <c r="V1442" s="16">
        <f t="shared" si="273"/>
        <v>76183.944000000003</v>
      </c>
      <c r="W1442" s="16">
        <f t="shared" si="274"/>
        <v>7618.394400000001</v>
      </c>
      <c r="X1442" s="16">
        <f t="shared" si="275"/>
        <v>83802.338400000008</v>
      </c>
      <c r="Y1442" s="16">
        <f t="shared" si="276"/>
        <v>2.7934112800000004</v>
      </c>
      <c r="Z1442" s="16">
        <f t="shared" si="277"/>
        <v>16.929765333333336</v>
      </c>
      <c r="AA1442" s="17">
        <f t="shared" si="278"/>
        <v>30000</v>
      </c>
      <c r="AB1442" s="10">
        <v>1920</v>
      </c>
      <c r="AC1442" s="18">
        <f t="shared" si="271"/>
        <v>5363.3496576000007</v>
      </c>
      <c r="AD1442" s="12">
        <f t="shared" si="281"/>
        <v>27442</v>
      </c>
      <c r="AE1442" s="13">
        <f t="shared" si="279"/>
        <v>2558</v>
      </c>
    </row>
    <row r="1443" spans="1:31">
      <c r="A1443" s="6">
        <v>14</v>
      </c>
      <c r="B1443" s="6">
        <f t="shared" si="280"/>
        <v>13</v>
      </c>
      <c r="C1443" s="6" t="str">
        <f t="shared" si="272"/>
        <v>666041100AAB Cushion ICAB FI 2 Row C22875444534610000</v>
      </c>
      <c r="D1443" s="7" t="s">
        <v>379</v>
      </c>
      <c r="E1443" s="6" t="s">
        <v>476</v>
      </c>
      <c r="F1443" s="6"/>
      <c r="G1443" s="7" t="s">
        <v>246</v>
      </c>
      <c r="H1443" s="19"/>
      <c r="I1443" s="19"/>
      <c r="J1443" s="19"/>
      <c r="K1443" s="19"/>
      <c r="L1443" s="14">
        <v>2287544</v>
      </c>
      <c r="M1443" s="22">
        <v>45346</v>
      </c>
      <c r="N1443" s="19" t="s">
        <v>185</v>
      </c>
      <c r="O1443" s="19" t="s">
        <v>332</v>
      </c>
      <c r="P1443" s="15">
        <v>10000</v>
      </c>
      <c r="Q1443" s="15">
        <v>8462664.5199999996</v>
      </c>
      <c r="R1443" s="15">
        <v>87089500</v>
      </c>
      <c r="S1443" s="15">
        <v>5</v>
      </c>
      <c r="T1443" s="19" t="s">
        <v>350</v>
      </c>
      <c r="U1443" s="19" t="s">
        <v>178</v>
      </c>
      <c r="V1443" s="16">
        <f t="shared" si="273"/>
        <v>423133.22600000002</v>
      </c>
      <c r="W1443" s="16">
        <f t="shared" si="274"/>
        <v>42313.322600000007</v>
      </c>
      <c r="X1443" s="16">
        <f t="shared" si="275"/>
        <v>465446.54860000004</v>
      </c>
      <c r="Y1443" s="16">
        <f t="shared" si="276"/>
        <v>46.544654860000001</v>
      </c>
      <c r="Z1443" s="16">
        <f t="shared" si="277"/>
        <v>846.26645199999996</v>
      </c>
      <c r="AA1443" s="17">
        <f t="shared" si="278"/>
        <v>10000</v>
      </c>
      <c r="AB1443" s="10">
        <v>384</v>
      </c>
      <c r="AC1443" s="18">
        <f t="shared" si="271"/>
        <v>17873.14746624</v>
      </c>
      <c r="AD1443" s="12">
        <f t="shared" si="281"/>
        <v>9680</v>
      </c>
      <c r="AE1443" s="13">
        <f t="shared" si="279"/>
        <v>320</v>
      </c>
    </row>
    <row r="1444" spans="1:31">
      <c r="A1444" s="6">
        <v>14</v>
      </c>
      <c r="B1444" s="6">
        <f t="shared" si="280"/>
        <v>14</v>
      </c>
      <c r="C1444" s="6" t="str">
        <f t="shared" si="272"/>
        <v>656334900FAB Cushion ICAB FI 2 Row C KSID, ASP5.1, BUTTON HOL2169560447991980</v>
      </c>
      <c r="D1444" s="7" t="s">
        <v>379</v>
      </c>
      <c r="E1444" s="6" t="s">
        <v>474</v>
      </c>
      <c r="F1444" s="6"/>
      <c r="G1444" s="19" t="s">
        <v>243</v>
      </c>
      <c r="H1444" s="19"/>
      <c r="I1444" s="19"/>
      <c r="J1444" s="19"/>
      <c r="K1444" s="19"/>
      <c r="L1444" s="14">
        <v>2169560</v>
      </c>
      <c r="M1444" s="22">
        <v>44799</v>
      </c>
      <c r="N1444" s="19" t="s">
        <v>185</v>
      </c>
      <c r="O1444" s="19" t="s">
        <v>332</v>
      </c>
      <c r="P1444" s="15">
        <v>1980</v>
      </c>
      <c r="Q1444" s="15">
        <v>1782469.32</v>
      </c>
      <c r="R1444" s="15">
        <v>87089500</v>
      </c>
      <c r="S1444" s="15">
        <v>5</v>
      </c>
      <c r="T1444" s="19" t="s">
        <v>300</v>
      </c>
      <c r="U1444" s="19" t="s">
        <v>200</v>
      </c>
      <c r="V1444" s="16">
        <f t="shared" si="273"/>
        <v>89123.466000000015</v>
      </c>
      <c r="W1444" s="16">
        <f t="shared" si="274"/>
        <v>8912.3466000000026</v>
      </c>
      <c r="X1444" s="16">
        <f t="shared" si="275"/>
        <v>98035.812600000019</v>
      </c>
      <c r="Y1444" s="16">
        <f t="shared" si="276"/>
        <v>49.513036666666679</v>
      </c>
      <c r="Z1444" s="16">
        <f t="shared" si="277"/>
        <v>900.23703030303034</v>
      </c>
      <c r="AA1444" s="17">
        <f t="shared" si="278"/>
        <v>1980</v>
      </c>
      <c r="AB1444" s="10">
        <v>192</v>
      </c>
      <c r="AC1444" s="18">
        <f t="shared" si="271"/>
        <v>9506.5030400000032</v>
      </c>
      <c r="AD1444" s="12">
        <f t="shared" si="281"/>
        <v>1849</v>
      </c>
      <c r="AE1444" s="13">
        <f t="shared" si="279"/>
        <v>131</v>
      </c>
    </row>
    <row r="1445" spans="1:31">
      <c r="A1445" s="6">
        <v>14</v>
      </c>
      <c r="B1445" s="6">
        <f t="shared" si="280"/>
        <v>15</v>
      </c>
      <c r="C1445" s="6" t="str">
        <f t="shared" si="272"/>
        <v>666041200ACushion ICAB FI 2 Row C3571680454325000</v>
      </c>
      <c r="D1445" s="7" t="s">
        <v>379</v>
      </c>
      <c r="E1445" s="6" t="s">
        <v>472</v>
      </c>
      <c r="F1445" s="6"/>
      <c r="G1445" s="7" t="s">
        <v>237</v>
      </c>
      <c r="H1445" s="19"/>
      <c r="I1445" s="19"/>
      <c r="J1445" s="19"/>
      <c r="K1445" s="19"/>
      <c r="L1445" s="14">
        <v>3571680</v>
      </c>
      <c r="M1445" s="22">
        <v>45432</v>
      </c>
      <c r="N1445" s="19" t="s">
        <v>185</v>
      </c>
      <c r="O1445" s="19" t="s">
        <v>332</v>
      </c>
      <c r="P1445" s="15">
        <v>5000</v>
      </c>
      <c r="Q1445" s="15">
        <v>4260260</v>
      </c>
      <c r="R1445" s="15">
        <v>87089500</v>
      </c>
      <c r="S1445" s="15">
        <v>5</v>
      </c>
      <c r="T1445" s="19" t="s">
        <v>350</v>
      </c>
      <c r="U1445" s="19" t="s">
        <v>178</v>
      </c>
      <c r="V1445" s="16">
        <f t="shared" si="273"/>
        <v>213013</v>
      </c>
      <c r="W1445" s="16">
        <f t="shared" si="274"/>
        <v>21301.300000000003</v>
      </c>
      <c r="X1445" s="16">
        <f t="shared" si="275"/>
        <v>234314.3</v>
      </c>
      <c r="Y1445" s="16">
        <f t="shared" si="276"/>
        <v>46.862859999999998</v>
      </c>
      <c r="Z1445" s="16">
        <f t="shared" si="277"/>
        <v>852.05200000000002</v>
      </c>
      <c r="AA1445" s="17">
        <f t="shared" si="278"/>
        <v>5000</v>
      </c>
      <c r="AB1445" s="10">
        <v>384</v>
      </c>
      <c r="AC1445" s="18">
        <f t="shared" si="271"/>
        <v>17995.338239999997</v>
      </c>
      <c r="AD1445" s="12">
        <f t="shared" si="281"/>
        <v>4712</v>
      </c>
      <c r="AE1445" s="13">
        <f t="shared" si="279"/>
        <v>288</v>
      </c>
    </row>
    <row r="1446" spans="1:31">
      <c r="A1446" s="6">
        <v>14</v>
      </c>
      <c r="B1446" s="6">
        <f t="shared" si="280"/>
        <v>16</v>
      </c>
      <c r="C1446" s="6" t="str">
        <f t="shared" si="272"/>
        <v>6242999AABFELT, OTHER OTHER7901235451922400</v>
      </c>
      <c r="D1446" s="7" t="s">
        <v>379</v>
      </c>
      <c r="E1446" s="6" t="s">
        <v>127</v>
      </c>
      <c r="F1446" s="6"/>
      <c r="G1446" s="19" t="s">
        <v>105</v>
      </c>
      <c r="H1446" s="19"/>
      <c r="I1446" s="19"/>
      <c r="J1446" s="19"/>
      <c r="K1446" s="19"/>
      <c r="L1446" s="14">
        <v>7901235</v>
      </c>
      <c r="M1446" s="22">
        <v>45192</v>
      </c>
      <c r="N1446" s="19" t="s">
        <v>196</v>
      </c>
      <c r="O1446" s="19" t="s">
        <v>333</v>
      </c>
      <c r="P1446" s="15">
        <v>2400</v>
      </c>
      <c r="Q1446" s="15">
        <v>32673.27</v>
      </c>
      <c r="R1446" s="15">
        <v>87082900</v>
      </c>
      <c r="S1446" s="15">
        <v>15</v>
      </c>
      <c r="T1446" s="19" t="s">
        <v>343</v>
      </c>
      <c r="U1446" s="19" t="s">
        <v>178</v>
      </c>
      <c r="V1446" s="16">
        <f t="shared" si="273"/>
        <v>4900.9904999999999</v>
      </c>
      <c r="W1446" s="16">
        <f t="shared" si="274"/>
        <v>490.09905000000003</v>
      </c>
      <c r="X1446" s="16">
        <f t="shared" si="275"/>
        <v>5391.0895499999997</v>
      </c>
      <c r="Y1446" s="16">
        <f t="shared" si="276"/>
        <v>2.2462873124999998</v>
      </c>
      <c r="Z1446" s="16">
        <f t="shared" si="277"/>
        <v>13.6138625</v>
      </c>
      <c r="AA1446" s="17">
        <f t="shared" si="278"/>
        <v>2400</v>
      </c>
      <c r="AB1446" s="10">
        <v>192</v>
      </c>
      <c r="AC1446" s="18">
        <f t="shared" si="271"/>
        <v>431.28716399999996</v>
      </c>
      <c r="AD1446" s="12">
        <f t="shared" si="281"/>
        <v>2196.48</v>
      </c>
      <c r="AE1446" s="13">
        <f t="shared" si="279"/>
        <v>203.51999999999998</v>
      </c>
    </row>
    <row r="1447" spans="1:31">
      <c r="A1447" s="6">
        <v>14</v>
      </c>
      <c r="B1447" s="6">
        <f t="shared" si="280"/>
        <v>17</v>
      </c>
      <c r="C1447" s="6" t="str">
        <f t="shared" si="272"/>
        <v>625090202BTAPE, IC, CONTINUOUS, 13.0 MM., PET 3M 842196603534476311700</v>
      </c>
      <c r="D1447" s="7" t="s">
        <v>379</v>
      </c>
      <c r="E1447" s="6" t="s">
        <v>128</v>
      </c>
      <c r="F1447" s="6"/>
      <c r="G1447" s="19" t="s">
        <v>103</v>
      </c>
      <c r="H1447" s="19"/>
      <c r="I1447" s="19"/>
      <c r="J1447" s="19"/>
      <c r="K1447" s="19"/>
      <c r="L1447" s="14">
        <v>9660353</v>
      </c>
      <c r="M1447" s="22">
        <v>44763</v>
      </c>
      <c r="N1447" s="19" t="s">
        <v>196</v>
      </c>
      <c r="O1447" s="19" t="s">
        <v>333</v>
      </c>
      <c r="P1447" s="15">
        <v>11700</v>
      </c>
      <c r="Q1447" s="15">
        <v>147455.71</v>
      </c>
      <c r="R1447" s="15">
        <v>87089500</v>
      </c>
      <c r="S1447" s="15">
        <v>15</v>
      </c>
      <c r="T1447" s="19" t="s">
        <v>228</v>
      </c>
      <c r="U1447" s="19" t="s">
        <v>178</v>
      </c>
      <c r="V1447" s="16">
        <f t="shared" si="273"/>
        <v>22118.356499999998</v>
      </c>
      <c r="W1447" s="16">
        <f t="shared" si="274"/>
        <v>2211.83565</v>
      </c>
      <c r="X1447" s="16">
        <f t="shared" si="275"/>
        <v>24330.192149999999</v>
      </c>
      <c r="Y1447" s="16">
        <f t="shared" si="276"/>
        <v>2.0795036025641025</v>
      </c>
      <c r="Z1447" s="16">
        <f t="shared" si="277"/>
        <v>12.603052136752137</v>
      </c>
      <c r="AA1447" s="17">
        <f t="shared" si="278"/>
        <v>11700</v>
      </c>
      <c r="AB1447" s="10">
        <v>176.64000000000001</v>
      </c>
      <c r="AC1447" s="18">
        <f t="shared" si="271"/>
        <v>367.32351635692311</v>
      </c>
      <c r="AD1447" s="12">
        <f t="shared" si="281"/>
        <v>5418.24</v>
      </c>
      <c r="AE1447" s="13">
        <f t="shared" si="279"/>
        <v>6281.76</v>
      </c>
    </row>
    <row r="1448" spans="1:31">
      <c r="A1448" s="6">
        <v>14</v>
      </c>
      <c r="B1448" s="6">
        <f t="shared" si="280"/>
        <v>18</v>
      </c>
      <c r="C1448" s="6" t="str">
        <f t="shared" si="272"/>
        <v>643302000AINFLATOR, ADP-1.3B, MP, MIB, SQUARE, NO STUD94867304529219872</v>
      </c>
      <c r="D1448" s="7" t="s">
        <v>379</v>
      </c>
      <c r="E1448" s="6" t="s">
        <v>46</v>
      </c>
      <c r="F1448" s="6"/>
      <c r="G1448" s="7" t="s">
        <v>8</v>
      </c>
      <c r="H1448" s="19"/>
      <c r="I1448" s="19"/>
      <c r="J1448" s="19"/>
      <c r="K1448" s="19"/>
      <c r="L1448" s="14">
        <v>9486730</v>
      </c>
      <c r="M1448" s="22">
        <v>45292</v>
      </c>
      <c r="N1448" s="19" t="s">
        <v>197</v>
      </c>
      <c r="O1448" s="19" t="s">
        <v>333</v>
      </c>
      <c r="P1448" s="15">
        <v>19872</v>
      </c>
      <c r="Q1448" s="15">
        <v>5160310.24</v>
      </c>
      <c r="R1448" s="15">
        <v>87089500</v>
      </c>
      <c r="S1448" s="15">
        <v>15</v>
      </c>
      <c r="T1448" s="19" t="s">
        <v>202</v>
      </c>
      <c r="U1448" s="19" t="s">
        <v>178</v>
      </c>
      <c r="V1448" s="16">
        <f t="shared" si="273"/>
        <v>774046.53599999996</v>
      </c>
      <c r="W1448" s="16">
        <f t="shared" si="274"/>
        <v>77404.653600000005</v>
      </c>
      <c r="X1448" s="16">
        <f t="shared" si="275"/>
        <v>851451.18959999993</v>
      </c>
      <c r="Y1448" s="16">
        <f t="shared" si="276"/>
        <v>42.846778864734297</v>
      </c>
      <c r="Z1448" s="16">
        <f t="shared" si="277"/>
        <v>259.67744766505638</v>
      </c>
      <c r="AA1448" s="17">
        <f t="shared" si="278"/>
        <v>19872</v>
      </c>
      <c r="AB1448" s="10">
        <v>3888</v>
      </c>
      <c r="AC1448" s="18">
        <f t="shared" si="271"/>
        <v>166588.27622608695</v>
      </c>
      <c r="AD1448" s="12">
        <f t="shared" si="281"/>
        <v>19872</v>
      </c>
      <c r="AE1448" s="13">
        <f t="shared" si="279"/>
        <v>0</v>
      </c>
    </row>
    <row r="1449" spans="1:31">
      <c r="A1449" s="6">
        <v>14</v>
      </c>
      <c r="B1449" s="6">
        <f t="shared" si="280"/>
        <v>19</v>
      </c>
      <c r="C1449" s="6" t="str">
        <f t="shared" si="272"/>
        <v>642837500BLABEL, BLANK, BAR CODE953025945295100000</v>
      </c>
      <c r="D1449" s="7" t="s">
        <v>379</v>
      </c>
      <c r="E1449" s="6" t="s">
        <v>478</v>
      </c>
      <c r="F1449" s="6"/>
      <c r="G1449" s="7" t="s">
        <v>369</v>
      </c>
      <c r="H1449" s="19"/>
      <c r="I1449" s="19"/>
      <c r="J1449" s="19"/>
      <c r="K1449" s="19"/>
      <c r="L1449" s="14">
        <v>9530259</v>
      </c>
      <c r="M1449" s="22">
        <v>45295</v>
      </c>
      <c r="N1449" s="19" t="s">
        <v>196</v>
      </c>
      <c r="O1449" s="19" t="s">
        <v>333</v>
      </c>
      <c r="P1449" s="15">
        <v>100000</v>
      </c>
      <c r="Q1449" s="15">
        <v>17096.91</v>
      </c>
      <c r="R1449" s="15">
        <v>87082900</v>
      </c>
      <c r="S1449" s="15">
        <v>15</v>
      </c>
      <c r="T1449" s="19" t="s">
        <v>351</v>
      </c>
      <c r="U1449" s="19" t="s">
        <v>178</v>
      </c>
      <c r="V1449" s="16">
        <f t="shared" si="273"/>
        <v>2564.5364999999997</v>
      </c>
      <c r="W1449" s="16">
        <f t="shared" si="274"/>
        <v>256.45364999999998</v>
      </c>
      <c r="X1449" s="16">
        <f t="shared" si="275"/>
        <v>2820.9901499999996</v>
      </c>
      <c r="Y1449" s="16">
        <f t="shared" si="276"/>
        <v>2.8209901499999995E-2</v>
      </c>
      <c r="Z1449" s="16">
        <f t="shared" si="277"/>
        <v>0.17096909999999998</v>
      </c>
      <c r="AA1449" s="17">
        <f t="shared" si="278"/>
        <v>100000</v>
      </c>
      <c r="AB1449" s="10">
        <v>3024</v>
      </c>
      <c r="AC1449" s="18">
        <f t="shared" si="271"/>
        <v>85.306742135999983</v>
      </c>
      <c r="AD1449" s="12">
        <f t="shared" si="281"/>
        <v>100000</v>
      </c>
      <c r="AE1449" s="13">
        <f t="shared" si="279"/>
        <v>0</v>
      </c>
    </row>
    <row r="1450" spans="1:31">
      <c r="A1450" s="6">
        <v>14</v>
      </c>
      <c r="B1450" s="6">
        <f t="shared" si="280"/>
        <v>20</v>
      </c>
      <c r="C1450" s="6" t="str">
        <f t="shared" si="272"/>
        <v>601182600ASPINDLE, RETRACTOR, R27, STD98117254531517920</v>
      </c>
      <c r="D1450" s="7" t="s">
        <v>379</v>
      </c>
      <c r="E1450" s="6" t="s">
        <v>61</v>
      </c>
      <c r="F1450" s="6"/>
      <c r="G1450" s="7" t="s">
        <v>21</v>
      </c>
      <c r="H1450" s="19"/>
      <c r="I1450" s="19"/>
      <c r="J1450" s="19"/>
      <c r="K1450" s="19"/>
      <c r="L1450" s="14">
        <v>9811725</v>
      </c>
      <c r="M1450" s="22">
        <v>45315</v>
      </c>
      <c r="N1450" s="19" t="s">
        <v>185</v>
      </c>
      <c r="O1450" s="19" t="s">
        <v>332</v>
      </c>
      <c r="P1450" s="15">
        <v>17920</v>
      </c>
      <c r="Q1450" s="15">
        <v>781622.05</v>
      </c>
      <c r="R1450" s="15">
        <v>87082900</v>
      </c>
      <c r="S1450" s="15">
        <v>15</v>
      </c>
      <c r="T1450" s="19" t="s">
        <v>371</v>
      </c>
      <c r="U1450" s="19" t="s">
        <v>178</v>
      </c>
      <c r="V1450" s="16">
        <f t="shared" si="273"/>
        <v>117243.30750000001</v>
      </c>
      <c r="W1450" s="16">
        <f t="shared" si="274"/>
        <v>11724.330750000001</v>
      </c>
      <c r="X1450" s="16">
        <f t="shared" si="275"/>
        <v>128967.63825000002</v>
      </c>
      <c r="Y1450" s="16">
        <f t="shared" si="276"/>
        <v>7.196854813058037</v>
      </c>
      <c r="Z1450" s="16">
        <f t="shared" si="277"/>
        <v>43.617301897321433</v>
      </c>
      <c r="AA1450" s="17">
        <f t="shared" si="278"/>
        <v>17920</v>
      </c>
      <c r="AB1450" s="10">
        <v>4356</v>
      </c>
      <c r="AC1450" s="18">
        <f t="shared" si="271"/>
        <v>31349.49956568081</v>
      </c>
      <c r="AD1450" s="12">
        <f t="shared" si="281"/>
        <v>17676</v>
      </c>
      <c r="AE1450" s="13">
        <f t="shared" si="279"/>
        <v>244</v>
      </c>
    </row>
    <row r="1451" spans="1:31">
      <c r="A1451" s="6">
        <v>14</v>
      </c>
      <c r="B1451" s="6">
        <f t="shared" si="280"/>
        <v>21</v>
      </c>
      <c r="C1451" s="6" t="str">
        <f t="shared" si="272"/>
        <v>649421100AINFLATOR, ASP-5.1, P20, SRR, IMI, SERV, NO STUDS4830495449856912</v>
      </c>
      <c r="D1451" s="7" t="s">
        <v>379</v>
      </c>
      <c r="E1451" s="6" t="s">
        <v>469</v>
      </c>
      <c r="F1451" s="6"/>
      <c r="G1451" s="7" t="s">
        <v>16</v>
      </c>
      <c r="H1451" s="19"/>
      <c r="I1451" s="19"/>
      <c r="J1451" s="19"/>
      <c r="K1451" s="19"/>
      <c r="L1451" s="14">
        <v>4830495</v>
      </c>
      <c r="M1451" s="22">
        <v>44985</v>
      </c>
      <c r="N1451" s="19" t="s">
        <v>336</v>
      </c>
      <c r="O1451" s="19" t="s">
        <v>332</v>
      </c>
      <c r="P1451" s="15">
        <v>6912</v>
      </c>
      <c r="Q1451" s="15">
        <v>1473773.93</v>
      </c>
      <c r="R1451" s="15">
        <v>87089500</v>
      </c>
      <c r="S1451" s="15">
        <v>15</v>
      </c>
      <c r="T1451" s="19" t="s">
        <v>203</v>
      </c>
      <c r="U1451" s="19" t="s">
        <v>200</v>
      </c>
      <c r="V1451" s="16">
        <f t="shared" si="273"/>
        <v>221066.08949999997</v>
      </c>
      <c r="W1451" s="16">
        <f t="shared" si="274"/>
        <v>22106.608949999998</v>
      </c>
      <c r="X1451" s="16">
        <f t="shared" si="275"/>
        <v>243172.69844999997</v>
      </c>
      <c r="Y1451" s="16">
        <f t="shared" si="276"/>
        <v>35.181235308159721</v>
      </c>
      <c r="Z1451" s="16">
        <f t="shared" si="277"/>
        <v>213.21960792824072</v>
      </c>
      <c r="AA1451" s="17">
        <f t="shared" si="278"/>
        <v>6912</v>
      </c>
      <c r="AB1451" s="10">
        <v>384</v>
      </c>
      <c r="AC1451" s="18">
        <f t="shared" si="271"/>
        <v>13509.594358333332</v>
      </c>
      <c r="AD1451" s="12">
        <f t="shared" si="281"/>
        <v>6696</v>
      </c>
      <c r="AE1451" s="13">
        <f t="shared" si="279"/>
        <v>216</v>
      </c>
    </row>
    <row r="1452" spans="1:31">
      <c r="A1452" s="6">
        <v>14</v>
      </c>
      <c r="B1452" s="6">
        <f t="shared" si="280"/>
        <v>22</v>
      </c>
      <c r="C1452" s="6" t="str">
        <f t="shared" si="272"/>
        <v>PC47516-3810SNAP-IN-FASTENER, PUSH P PUSH PIN, BLACK43773094523742000</v>
      </c>
      <c r="D1452" s="7" t="s">
        <v>379</v>
      </c>
      <c r="E1452" s="6" t="s">
        <v>54</v>
      </c>
      <c r="F1452" s="6"/>
      <c r="G1452" s="7" t="s">
        <v>14</v>
      </c>
      <c r="H1452" s="19"/>
      <c r="I1452" s="19"/>
      <c r="J1452" s="19"/>
      <c r="K1452" s="19"/>
      <c r="L1452" s="14">
        <v>4377309</v>
      </c>
      <c r="M1452" s="22">
        <v>45237</v>
      </c>
      <c r="N1452" s="19" t="s">
        <v>196</v>
      </c>
      <c r="O1452" s="19" t="s">
        <v>333</v>
      </c>
      <c r="P1452" s="15">
        <v>42000</v>
      </c>
      <c r="Q1452" s="15">
        <v>48121.48</v>
      </c>
      <c r="R1452" s="15">
        <v>87089500</v>
      </c>
      <c r="S1452" s="15">
        <v>15</v>
      </c>
      <c r="T1452" s="19" t="s">
        <v>306</v>
      </c>
      <c r="U1452" s="19" t="s">
        <v>178</v>
      </c>
      <c r="V1452" s="16">
        <f t="shared" si="273"/>
        <v>7218.2220000000007</v>
      </c>
      <c r="W1452" s="16">
        <f t="shared" si="274"/>
        <v>721.82220000000007</v>
      </c>
      <c r="X1452" s="16">
        <f t="shared" si="275"/>
        <v>7940.0442000000003</v>
      </c>
      <c r="Y1452" s="16">
        <f t="shared" si="276"/>
        <v>0.18904867142857143</v>
      </c>
      <c r="Z1452" s="16">
        <f t="shared" si="277"/>
        <v>1.1457495238095239</v>
      </c>
      <c r="AA1452" s="17">
        <f t="shared" si="278"/>
        <v>42000</v>
      </c>
      <c r="AB1452" s="10">
        <v>768</v>
      </c>
      <c r="AC1452" s="18">
        <f t="shared" si="271"/>
        <v>145.18937965714287</v>
      </c>
      <c r="AD1452" s="12">
        <f t="shared" si="281"/>
        <v>41976</v>
      </c>
      <c r="AE1452" s="13">
        <f t="shared" si="279"/>
        <v>24</v>
      </c>
    </row>
    <row r="1453" spans="1:31">
      <c r="A1453" s="6">
        <v>14</v>
      </c>
      <c r="B1453" s="6">
        <f t="shared" si="280"/>
        <v>23</v>
      </c>
      <c r="C1453" s="6" t="str">
        <f t="shared" si="272"/>
        <v>NWB2834WASHER, WAVED 68542594512020000</v>
      </c>
      <c r="D1453" s="7" t="s">
        <v>379</v>
      </c>
      <c r="E1453" s="6" t="s">
        <v>77</v>
      </c>
      <c r="F1453" s="6"/>
      <c r="G1453" s="7" t="s">
        <v>37</v>
      </c>
      <c r="H1453" s="19"/>
      <c r="I1453" s="19"/>
      <c r="J1453" s="19"/>
      <c r="K1453" s="19"/>
      <c r="L1453" s="14">
        <v>6854259</v>
      </c>
      <c r="M1453" s="22">
        <v>45120</v>
      </c>
      <c r="N1453" s="19" t="s">
        <v>196</v>
      </c>
      <c r="O1453" s="19" t="s">
        <v>226</v>
      </c>
      <c r="P1453" s="15">
        <v>20000</v>
      </c>
      <c r="Q1453" s="15">
        <v>35281.85</v>
      </c>
      <c r="R1453" s="15">
        <v>87082900</v>
      </c>
      <c r="S1453" s="15">
        <v>15</v>
      </c>
      <c r="T1453" s="19" t="s">
        <v>207</v>
      </c>
      <c r="U1453" s="19" t="s">
        <v>178</v>
      </c>
      <c r="V1453" s="16">
        <f t="shared" si="273"/>
        <v>5292.2774999999992</v>
      </c>
      <c r="W1453" s="16">
        <f t="shared" si="274"/>
        <v>529.2277499999999</v>
      </c>
      <c r="X1453" s="16">
        <f t="shared" si="275"/>
        <v>5821.5052499999993</v>
      </c>
      <c r="Y1453" s="16">
        <f t="shared" si="276"/>
        <v>0.29107526249999999</v>
      </c>
      <c r="Z1453" s="16">
        <f t="shared" si="277"/>
        <v>1.7640924999999998</v>
      </c>
      <c r="AA1453" s="17">
        <f t="shared" si="278"/>
        <v>20000</v>
      </c>
      <c r="AB1453" s="10">
        <v>2560</v>
      </c>
      <c r="AC1453" s="18">
        <f t="shared" si="271"/>
        <v>745.15267199999994</v>
      </c>
      <c r="AD1453" s="12">
        <f t="shared" si="281"/>
        <v>18848</v>
      </c>
      <c r="AE1453" s="13">
        <f t="shared" si="279"/>
        <v>1152</v>
      </c>
    </row>
    <row r="1454" spans="1:31">
      <c r="A1454" s="6">
        <v>14</v>
      </c>
      <c r="B1454" s="6">
        <f t="shared" si="280"/>
        <v>24</v>
      </c>
      <c r="C1454" s="6" t="str">
        <f t="shared" si="272"/>
        <v>622408300ALABEL, BLANK, BAR CODE,964466545303100000</v>
      </c>
      <c r="D1454" s="7" t="s">
        <v>379</v>
      </c>
      <c r="E1454" s="6" t="s">
        <v>473</v>
      </c>
      <c r="F1454" s="6"/>
      <c r="G1454" s="7" t="s">
        <v>239</v>
      </c>
      <c r="H1454" s="19"/>
      <c r="I1454" s="19"/>
      <c r="J1454" s="19"/>
      <c r="K1454" s="19"/>
      <c r="L1454" s="14">
        <v>9644665</v>
      </c>
      <c r="M1454" s="22">
        <v>45303</v>
      </c>
      <c r="N1454" s="19" t="s">
        <v>196</v>
      </c>
      <c r="O1454" s="19" t="s">
        <v>333</v>
      </c>
      <c r="P1454" s="15">
        <v>100000</v>
      </c>
      <c r="Q1454" s="15">
        <v>69765.98</v>
      </c>
      <c r="R1454" s="15">
        <v>87089500</v>
      </c>
      <c r="S1454" s="15">
        <v>15</v>
      </c>
      <c r="T1454" s="19" t="s">
        <v>351</v>
      </c>
      <c r="U1454" s="19" t="s">
        <v>178</v>
      </c>
      <c r="V1454" s="16">
        <f t="shared" si="273"/>
        <v>10464.896999999999</v>
      </c>
      <c r="W1454" s="16">
        <f t="shared" si="274"/>
        <v>1046.4896999999999</v>
      </c>
      <c r="X1454" s="16">
        <f t="shared" si="275"/>
        <v>11511.386699999999</v>
      </c>
      <c r="Y1454" s="16">
        <f t="shared" si="276"/>
        <v>0.11511386699999999</v>
      </c>
      <c r="Z1454" s="16">
        <f t="shared" si="277"/>
        <v>0.69765979999999994</v>
      </c>
      <c r="AA1454" s="17">
        <f t="shared" si="278"/>
        <v>100000</v>
      </c>
      <c r="AB1454" s="10">
        <v>2880</v>
      </c>
      <c r="AC1454" s="18">
        <f t="shared" si="271"/>
        <v>331.52793695999998</v>
      </c>
      <c r="AD1454" s="12">
        <f t="shared" si="281"/>
        <v>98136</v>
      </c>
      <c r="AE1454" s="13">
        <f t="shared" si="279"/>
        <v>1864</v>
      </c>
    </row>
    <row r="1455" spans="1:31">
      <c r="A1455" s="6">
        <v>14</v>
      </c>
      <c r="B1455" s="6">
        <f t="shared" si="280"/>
        <v>25</v>
      </c>
      <c r="C1455" s="6" t="str">
        <f t="shared" si="272"/>
        <v>566253211EADAPTER, CAR SENS, RETRA ALL VERSIONS390969644984216000</v>
      </c>
      <c r="D1455" s="7" t="s">
        <v>379</v>
      </c>
      <c r="E1455" s="6" t="s">
        <v>58</v>
      </c>
      <c r="F1455" s="6"/>
      <c r="G1455" s="7" t="s">
        <v>18</v>
      </c>
      <c r="H1455" s="19"/>
      <c r="I1455" s="19"/>
      <c r="J1455" s="19"/>
      <c r="K1455" s="19"/>
      <c r="L1455" s="14">
        <v>3909696</v>
      </c>
      <c r="M1455" s="22">
        <v>44984</v>
      </c>
      <c r="N1455" s="19" t="s">
        <v>199</v>
      </c>
      <c r="O1455" s="19" t="s">
        <v>332</v>
      </c>
      <c r="P1455" s="15">
        <v>216000</v>
      </c>
      <c r="Q1455" s="15">
        <v>549354.86</v>
      </c>
      <c r="R1455" s="15">
        <v>87082900</v>
      </c>
      <c r="S1455" s="15">
        <v>15</v>
      </c>
      <c r="T1455" s="19" t="s">
        <v>308</v>
      </c>
      <c r="U1455" s="19" t="s">
        <v>178</v>
      </c>
      <c r="V1455" s="16">
        <f t="shared" si="273"/>
        <v>82403.228999999992</v>
      </c>
      <c r="W1455" s="16">
        <f t="shared" si="274"/>
        <v>8240.3228999999992</v>
      </c>
      <c r="X1455" s="16">
        <f t="shared" si="275"/>
        <v>90643.551899999991</v>
      </c>
      <c r="Y1455" s="16">
        <f t="shared" si="276"/>
        <v>0.41964607361111106</v>
      </c>
      <c r="Z1455" s="16">
        <f t="shared" si="277"/>
        <v>2.5433095370370369</v>
      </c>
      <c r="AA1455" s="17">
        <f t="shared" si="278"/>
        <v>216000</v>
      </c>
      <c r="AB1455" s="10">
        <v>4356</v>
      </c>
      <c r="AC1455" s="18">
        <f t="shared" si="271"/>
        <v>1827.9782966499997</v>
      </c>
      <c r="AD1455" s="12">
        <f t="shared" si="281"/>
        <v>86652</v>
      </c>
      <c r="AE1455" s="13">
        <f t="shared" si="279"/>
        <v>129348</v>
      </c>
    </row>
    <row r="1456" spans="1:31">
      <c r="A1456" s="6">
        <v>14</v>
      </c>
      <c r="B1456" s="6">
        <f t="shared" si="280"/>
        <v>26</v>
      </c>
      <c r="C1456" s="6" t="str">
        <f t="shared" si="272"/>
        <v>618470500EBEARING, CAR SENS, RETRA All Versions, Noise redu717838944902100800</v>
      </c>
      <c r="D1456" s="7" t="s">
        <v>379</v>
      </c>
      <c r="E1456" s="6" t="s">
        <v>68</v>
      </c>
      <c r="F1456" s="6"/>
      <c r="G1456" s="7" t="s">
        <v>28</v>
      </c>
      <c r="H1456" s="19"/>
      <c r="I1456" s="19"/>
      <c r="J1456" s="19"/>
      <c r="K1456" s="19"/>
      <c r="L1456" s="14">
        <v>7178389</v>
      </c>
      <c r="M1456" s="22">
        <v>44902</v>
      </c>
      <c r="N1456" s="19" t="s">
        <v>185</v>
      </c>
      <c r="O1456" s="19" t="s">
        <v>332</v>
      </c>
      <c r="P1456" s="15">
        <v>100800</v>
      </c>
      <c r="Q1456" s="15">
        <v>397158.13</v>
      </c>
      <c r="R1456" s="15">
        <v>87082900</v>
      </c>
      <c r="S1456" s="15">
        <v>15</v>
      </c>
      <c r="T1456" s="19" t="s">
        <v>315</v>
      </c>
      <c r="U1456" s="19" t="s">
        <v>178</v>
      </c>
      <c r="V1456" s="16">
        <f t="shared" si="273"/>
        <v>59573.719499999999</v>
      </c>
      <c r="W1456" s="16">
        <f t="shared" si="274"/>
        <v>5957.3719500000007</v>
      </c>
      <c r="X1456" s="16">
        <f t="shared" si="275"/>
        <v>65531.09145</v>
      </c>
      <c r="Y1456" s="16">
        <f t="shared" si="276"/>
        <v>0.65011003422619051</v>
      </c>
      <c r="Z1456" s="16">
        <f t="shared" si="277"/>
        <v>3.9400608134920634</v>
      </c>
      <c r="AA1456" s="17">
        <f t="shared" si="278"/>
        <v>100800</v>
      </c>
      <c r="AB1456" s="10">
        <v>4356</v>
      </c>
      <c r="AC1456" s="18">
        <f t="shared" si="271"/>
        <v>2831.8793090892859</v>
      </c>
      <c r="AD1456" s="12">
        <f t="shared" si="281"/>
        <v>31068</v>
      </c>
      <c r="AE1456" s="13">
        <f t="shared" si="279"/>
        <v>69732</v>
      </c>
    </row>
    <row r="1457" spans="1:31">
      <c r="A1457" s="6">
        <v>14</v>
      </c>
      <c r="B1457" s="6">
        <f t="shared" si="280"/>
        <v>27</v>
      </c>
      <c r="C1457" s="6" t="str">
        <f t="shared" si="272"/>
        <v>601256700GBUSH, RETRACTOR, R27, AL ALL VERSIONS405080544944160000</v>
      </c>
      <c r="D1457" s="7" t="s">
        <v>379</v>
      </c>
      <c r="E1457" s="6" t="s">
        <v>62</v>
      </c>
      <c r="F1457" s="6"/>
      <c r="G1457" s="7" t="s">
        <v>22</v>
      </c>
      <c r="H1457" s="19"/>
      <c r="I1457" s="19"/>
      <c r="J1457" s="19"/>
      <c r="K1457" s="19"/>
      <c r="L1457" s="14">
        <v>4050805</v>
      </c>
      <c r="M1457" s="22">
        <v>44944</v>
      </c>
      <c r="N1457" s="19" t="s">
        <v>196</v>
      </c>
      <c r="O1457" s="19" t="s">
        <v>333</v>
      </c>
      <c r="P1457" s="15">
        <v>160000</v>
      </c>
      <c r="Q1457" s="15">
        <v>278597.26</v>
      </c>
      <c r="R1457" s="15">
        <v>87082900</v>
      </c>
      <c r="S1457" s="15">
        <v>15</v>
      </c>
      <c r="T1457" s="19" t="s">
        <v>312</v>
      </c>
      <c r="U1457" s="19" t="s">
        <v>178</v>
      </c>
      <c r="V1457" s="16">
        <f t="shared" si="273"/>
        <v>41789.589</v>
      </c>
      <c r="W1457" s="16">
        <f t="shared" si="274"/>
        <v>4178.9589000000005</v>
      </c>
      <c r="X1457" s="16">
        <f t="shared" si="275"/>
        <v>45968.547899999998</v>
      </c>
      <c r="Y1457" s="16">
        <f t="shared" si="276"/>
        <v>0.287303424375</v>
      </c>
      <c r="Z1457" s="16">
        <f t="shared" si="277"/>
        <v>1.7412328750000001</v>
      </c>
      <c r="AA1457" s="17">
        <f t="shared" si="278"/>
        <v>160000</v>
      </c>
      <c r="AB1457" s="10">
        <v>4356</v>
      </c>
      <c r="AC1457" s="18">
        <f t="shared" si="271"/>
        <v>1251.4937165775</v>
      </c>
      <c r="AD1457" s="12">
        <f t="shared" si="281"/>
        <v>86652</v>
      </c>
      <c r="AE1457" s="13">
        <f t="shared" si="279"/>
        <v>73348</v>
      </c>
    </row>
    <row r="1458" spans="1:31">
      <c r="A1458" s="6">
        <v>14</v>
      </c>
      <c r="B1458" s="6">
        <f t="shared" si="280"/>
        <v>28</v>
      </c>
      <c r="C1458" s="6" t="str">
        <f t="shared" si="272"/>
        <v>560050622CCHANNEL, BUCKLE, K12 ROA K12A/AT, RIVET BUCKLE, S505596944994224000</v>
      </c>
      <c r="D1458" s="7" t="s">
        <v>379</v>
      </c>
      <c r="E1458" s="6" t="s">
        <v>72</v>
      </c>
      <c r="F1458" s="6"/>
      <c r="G1458" s="7" t="s">
        <v>32</v>
      </c>
      <c r="H1458" s="19"/>
      <c r="I1458" s="19"/>
      <c r="J1458" s="19"/>
      <c r="K1458" s="19"/>
      <c r="L1458" s="14">
        <v>5055969</v>
      </c>
      <c r="M1458" s="22">
        <v>44994</v>
      </c>
      <c r="N1458" s="19" t="s">
        <v>197</v>
      </c>
      <c r="O1458" s="19" t="s">
        <v>333</v>
      </c>
      <c r="P1458" s="15">
        <v>224000</v>
      </c>
      <c r="Q1458" s="15">
        <v>3980591.44</v>
      </c>
      <c r="R1458" s="15">
        <v>87082900</v>
      </c>
      <c r="S1458" s="15">
        <v>15</v>
      </c>
      <c r="T1458" s="19" t="s">
        <v>318</v>
      </c>
      <c r="U1458" s="19" t="s">
        <v>178</v>
      </c>
      <c r="V1458" s="16">
        <f t="shared" si="273"/>
        <v>597088.71600000001</v>
      </c>
      <c r="W1458" s="16">
        <f t="shared" si="274"/>
        <v>59708.871600000006</v>
      </c>
      <c r="X1458" s="16">
        <f t="shared" si="275"/>
        <v>656797.58759999997</v>
      </c>
      <c r="Y1458" s="16">
        <f t="shared" si="276"/>
        <v>2.9321320874999999</v>
      </c>
      <c r="Z1458" s="16">
        <f t="shared" si="277"/>
        <v>17.770497500000001</v>
      </c>
      <c r="AA1458" s="17">
        <f t="shared" si="278"/>
        <v>224000</v>
      </c>
      <c r="AB1458" s="10">
        <v>2560</v>
      </c>
      <c r="AC1458" s="18">
        <f t="shared" si="271"/>
        <v>7506.2581439999994</v>
      </c>
      <c r="AD1458" s="12">
        <f t="shared" si="281"/>
        <v>67232</v>
      </c>
      <c r="AE1458" s="13">
        <f t="shared" si="279"/>
        <v>156768</v>
      </c>
    </row>
    <row r="1459" spans="1:31">
      <c r="A1459" s="6">
        <v>14</v>
      </c>
      <c r="B1459" s="6">
        <f t="shared" si="280"/>
        <v>29</v>
      </c>
      <c r="C1459" s="6" t="str">
        <f t="shared" si="272"/>
        <v>601487200CCOVER, RETRACTOR, R27, S SYSTEMKAPPE DELRIN 100T43274964495048000</v>
      </c>
      <c r="D1459" s="7" t="s">
        <v>379</v>
      </c>
      <c r="E1459" s="6" t="s">
        <v>64</v>
      </c>
      <c r="F1459" s="6"/>
      <c r="G1459" s="7" t="s">
        <v>24</v>
      </c>
      <c r="H1459" s="19"/>
      <c r="I1459" s="19"/>
      <c r="J1459" s="19"/>
      <c r="K1459" s="19"/>
      <c r="L1459" s="14">
        <v>4327496</v>
      </c>
      <c r="M1459" s="22">
        <v>44950</v>
      </c>
      <c r="N1459" s="19" t="s">
        <v>199</v>
      </c>
      <c r="O1459" s="19" t="s">
        <v>332</v>
      </c>
      <c r="P1459" s="15">
        <v>48000</v>
      </c>
      <c r="Q1459" s="15">
        <v>514349.16</v>
      </c>
      <c r="R1459" s="15">
        <v>87082900</v>
      </c>
      <c r="S1459" s="15">
        <v>15</v>
      </c>
      <c r="T1459" s="19" t="s">
        <v>307</v>
      </c>
      <c r="U1459" s="19" t="s">
        <v>178</v>
      </c>
      <c r="V1459" s="16">
        <f t="shared" si="273"/>
        <v>77152.373999999996</v>
      </c>
      <c r="W1459" s="16">
        <f t="shared" si="274"/>
        <v>7715.2374</v>
      </c>
      <c r="X1459" s="16">
        <f t="shared" si="275"/>
        <v>84867.611399999994</v>
      </c>
      <c r="Y1459" s="16">
        <f t="shared" si="276"/>
        <v>1.7680752375</v>
      </c>
      <c r="Z1459" s="16">
        <f t="shared" si="277"/>
        <v>10.715607499999999</v>
      </c>
      <c r="AA1459" s="17">
        <f t="shared" si="278"/>
        <v>48000</v>
      </c>
      <c r="AB1459" s="10">
        <v>1944</v>
      </c>
      <c r="AC1459" s="18">
        <f t="shared" si="271"/>
        <v>3437.1382616999999</v>
      </c>
      <c r="AD1459" s="12">
        <f t="shared" si="281"/>
        <v>47964</v>
      </c>
      <c r="AE1459" s="13">
        <f t="shared" si="279"/>
        <v>36</v>
      </c>
    </row>
    <row r="1460" spans="1:31">
      <c r="A1460" s="6">
        <v>14</v>
      </c>
      <c r="B1460" s="6">
        <f t="shared" si="280"/>
        <v>30</v>
      </c>
      <c r="C1460" s="6" t="str">
        <f t="shared" si="272"/>
        <v>630580800ALABEL, RAW MATERIAL, BLA K12 TPC BUCKLE5160585449362400000</v>
      </c>
      <c r="D1460" s="7" t="s">
        <v>379</v>
      </c>
      <c r="E1460" s="6" t="s">
        <v>71</v>
      </c>
      <c r="F1460" s="6"/>
      <c r="G1460" s="7" t="s">
        <v>31</v>
      </c>
      <c r="H1460" s="19"/>
      <c r="I1460" s="19"/>
      <c r="J1460" s="19"/>
      <c r="K1460" s="19"/>
      <c r="L1460" s="14">
        <v>5160585</v>
      </c>
      <c r="M1460" s="22">
        <v>44936</v>
      </c>
      <c r="N1460" s="19" t="s">
        <v>196</v>
      </c>
      <c r="O1460" s="19" t="s">
        <v>333</v>
      </c>
      <c r="P1460" s="15">
        <v>2400000</v>
      </c>
      <c r="Q1460" s="15">
        <v>86522.34</v>
      </c>
      <c r="R1460" s="15">
        <v>87082900</v>
      </c>
      <c r="S1460" s="15">
        <v>15</v>
      </c>
      <c r="T1460" s="19" t="s">
        <v>265</v>
      </c>
      <c r="U1460" s="19" t="s">
        <v>178</v>
      </c>
      <c r="V1460" s="16">
        <f t="shared" si="273"/>
        <v>12978.350999999999</v>
      </c>
      <c r="W1460" s="16">
        <f t="shared" si="274"/>
        <v>1297.8351</v>
      </c>
      <c r="X1460" s="16">
        <f t="shared" si="275"/>
        <v>14276.186099999999</v>
      </c>
      <c r="Y1460" s="16">
        <f t="shared" si="276"/>
        <v>5.9484108749999999E-3</v>
      </c>
      <c r="Z1460" s="16">
        <f t="shared" si="277"/>
        <v>3.6050974999999999E-2</v>
      </c>
      <c r="AA1460" s="17">
        <f t="shared" si="278"/>
        <v>2400000</v>
      </c>
      <c r="AB1460" s="10">
        <v>8196</v>
      </c>
      <c r="AC1460" s="18">
        <f t="shared" si="271"/>
        <v>48.753175531499998</v>
      </c>
      <c r="AD1460" s="12">
        <f t="shared" si="281"/>
        <v>548546</v>
      </c>
      <c r="AE1460" s="13">
        <f t="shared" si="279"/>
        <v>1851454</v>
      </c>
    </row>
    <row r="1461" spans="1:31">
      <c r="A1461" s="6">
        <v>14</v>
      </c>
      <c r="B1461" s="6">
        <f t="shared" si="280"/>
        <v>31</v>
      </c>
      <c r="C1461" s="6" t="str">
        <f t="shared" si="272"/>
        <v>560762022ALATCH, BUCKLE, K12 ROADM K12A/AT, SILVER, LATCH W54569304493980000</v>
      </c>
      <c r="D1461" s="7" t="s">
        <v>379</v>
      </c>
      <c r="E1461" s="6" t="s">
        <v>74</v>
      </c>
      <c r="F1461" s="6"/>
      <c r="G1461" s="7" t="s">
        <v>34</v>
      </c>
      <c r="H1461" s="19"/>
      <c r="I1461" s="19"/>
      <c r="J1461" s="19"/>
      <c r="K1461" s="19"/>
      <c r="L1461" s="14">
        <v>5456930</v>
      </c>
      <c r="M1461" s="22">
        <v>44939</v>
      </c>
      <c r="N1461" s="19" t="s">
        <v>185</v>
      </c>
      <c r="O1461" s="19" t="s">
        <v>332</v>
      </c>
      <c r="P1461" s="15">
        <v>80000</v>
      </c>
      <c r="Q1461" s="15">
        <v>680240</v>
      </c>
      <c r="R1461" s="15">
        <v>87082900</v>
      </c>
      <c r="S1461" s="15">
        <v>15</v>
      </c>
      <c r="T1461" s="19" t="s">
        <v>320</v>
      </c>
      <c r="U1461" s="19" t="s">
        <v>178</v>
      </c>
      <c r="V1461" s="16">
        <f t="shared" si="273"/>
        <v>102036</v>
      </c>
      <c r="W1461" s="16">
        <f t="shared" si="274"/>
        <v>10203.6</v>
      </c>
      <c r="X1461" s="16">
        <f t="shared" si="275"/>
        <v>112239.6</v>
      </c>
      <c r="Y1461" s="16">
        <f t="shared" si="276"/>
        <v>1.402995</v>
      </c>
      <c r="Z1461" s="16">
        <f t="shared" si="277"/>
        <v>8.5030000000000001</v>
      </c>
      <c r="AA1461" s="17">
        <f t="shared" si="278"/>
        <v>80000</v>
      </c>
      <c r="AB1461" s="10">
        <v>2560</v>
      </c>
      <c r="AC1461" s="18">
        <f t="shared" si="271"/>
        <v>3591.6671999999999</v>
      </c>
      <c r="AD1461" s="12">
        <f t="shared" si="281"/>
        <v>74976</v>
      </c>
      <c r="AE1461" s="13">
        <f t="shared" si="279"/>
        <v>5024</v>
      </c>
    </row>
    <row r="1462" spans="1:31">
      <c r="A1462" s="6">
        <v>14</v>
      </c>
      <c r="B1462" s="6">
        <f t="shared" si="280"/>
        <v>32</v>
      </c>
      <c r="C1462" s="6" t="str">
        <f t="shared" si="272"/>
        <v>601472600ALATCH, RETRACTOR, R27, A ALL VERSIONS421598844951162000</v>
      </c>
      <c r="D1462" s="7" t="s">
        <v>379</v>
      </c>
      <c r="E1462" s="6" t="s">
        <v>63</v>
      </c>
      <c r="F1462" s="6"/>
      <c r="G1462" s="7" t="s">
        <v>23</v>
      </c>
      <c r="H1462" s="19"/>
      <c r="I1462" s="19"/>
      <c r="J1462" s="19"/>
      <c r="K1462" s="19"/>
      <c r="L1462" s="14">
        <v>4215988</v>
      </c>
      <c r="M1462" s="22">
        <v>44951</v>
      </c>
      <c r="N1462" s="19" t="s">
        <v>199</v>
      </c>
      <c r="O1462" s="19" t="s">
        <v>332</v>
      </c>
      <c r="P1462" s="15">
        <v>162000</v>
      </c>
      <c r="Q1462" s="15">
        <v>1167023.94</v>
      </c>
      <c r="R1462" s="15">
        <v>87082900</v>
      </c>
      <c r="S1462" s="15">
        <v>15</v>
      </c>
      <c r="T1462" s="19" t="s">
        <v>313</v>
      </c>
      <c r="U1462" s="19" t="s">
        <v>178</v>
      </c>
      <c r="V1462" s="16">
        <f t="shared" si="273"/>
        <v>175053.59099999999</v>
      </c>
      <c r="W1462" s="16">
        <f t="shared" si="274"/>
        <v>17505.359099999998</v>
      </c>
      <c r="X1462" s="16">
        <f t="shared" si="275"/>
        <v>192558.95009999999</v>
      </c>
      <c r="Y1462" s="16">
        <f t="shared" si="276"/>
        <v>1.1886354944444444</v>
      </c>
      <c r="Z1462" s="16">
        <f t="shared" si="277"/>
        <v>7.2038514814814816</v>
      </c>
      <c r="AA1462" s="17">
        <f t="shared" si="278"/>
        <v>162000</v>
      </c>
      <c r="AB1462" s="10">
        <v>4356</v>
      </c>
      <c r="AC1462" s="18">
        <f t="shared" si="271"/>
        <v>5177.6962137999999</v>
      </c>
      <c r="AD1462" s="12">
        <f t="shared" si="281"/>
        <v>86652</v>
      </c>
      <c r="AE1462" s="13">
        <f t="shared" si="279"/>
        <v>75348</v>
      </c>
    </row>
    <row r="1463" spans="1:31">
      <c r="A1463" s="6">
        <v>14</v>
      </c>
      <c r="B1463" s="6">
        <f t="shared" si="280"/>
        <v>33</v>
      </c>
      <c r="C1463" s="6" t="str">
        <f t="shared" si="272"/>
        <v>618472000BLEVER, CAR SENS, RETRACT ALL VERSIONS, NOISE REDU408531144933170000</v>
      </c>
      <c r="D1463" s="7" t="s">
        <v>379</v>
      </c>
      <c r="E1463" s="6" t="s">
        <v>69</v>
      </c>
      <c r="F1463" s="6"/>
      <c r="G1463" s="7" t="s">
        <v>29</v>
      </c>
      <c r="H1463" s="19"/>
      <c r="I1463" s="19"/>
      <c r="J1463" s="19"/>
      <c r="K1463" s="19"/>
      <c r="L1463" s="14">
        <v>4085311</v>
      </c>
      <c r="M1463" s="22">
        <v>44933</v>
      </c>
      <c r="N1463" s="19" t="s">
        <v>196</v>
      </c>
      <c r="O1463" s="19" t="s">
        <v>333</v>
      </c>
      <c r="P1463" s="15">
        <v>170000</v>
      </c>
      <c r="Q1463" s="15">
        <v>247799.42</v>
      </c>
      <c r="R1463" s="15">
        <v>87082900</v>
      </c>
      <c r="S1463" s="15">
        <v>15</v>
      </c>
      <c r="T1463" s="19" t="s">
        <v>316</v>
      </c>
      <c r="U1463" s="19" t="s">
        <v>178</v>
      </c>
      <c r="V1463" s="16">
        <f t="shared" si="273"/>
        <v>37169.913</v>
      </c>
      <c r="W1463" s="16">
        <f t="shared" si="274"/>
        <v>3716.9913000000001</v>
      </c>
      <c r="X1463" s="16">
        <f t="shared" si="275"/>
        <v>40886.904300000002</v>
      </c>
      <c r="Y1463" s="16">
        <f t="shared" si="276"/>
        <v>0.24051120176470589</v>
      </c>
      <c r="Z1463" s="16">
        <f t="shared" si="277"/>
        <v>1.4576436470588237</v>
      </c>
      <c r="AA1463" s="17">
        <f t="shared" si="278"/>
        <v>170000</v>
      </c>
      <c r="AB1463" s="10">
        <v>4356</v>
      </c>
      <c r="AC1463" s="18">
        <f t="shared" ref="AC1463:AC1526" si="282">AB1463*Y1463</f>
        <v>1047.6667948870588</v>
      </c>
      <c r="AD1463" s="12">
        <f t="shared" si="281"/>
        <v>86652</v>
      </c>
      <c r="AE1463" s="13">
        <f t="shared" si="279"/>
        <v>83348</v>
      </c>
    </row>
    <row r="1464" spans="1:31">
      <c r="A1464" s="6">
        <v>14</v>
      </c>
      <c r="B1464" s="6">
        <f t="shared" si="280"/>
        <v>34</v>
      </c>
      <c r="C1464" s="6" t="str">
        <f t="shared" si="272"/>
        <v>600188700BLEVER, WEB SENS, RETRACT ALL VERSIONS421599144956270000</v>
      </c>
      <c r="D1464" s="7" t="s">
        <v>379</v>
      </c>
      <c r="E1464" s="6" t="s">
        <v>60</v>
      </c>
      <c r="F1464" s="6"/>
      <c r="G1464" s="7" t="s">
        <v>20</v>
      </c>
      <c r="H1464" s="19"/>
      <c r="I1464" s="19"/>
      <c r="J1464" s="19"/>
      <c r="K1464" s="19"/>
      <c r="L1464" s="14">
        <v>4215991</v>
      </c>
      <c r="M1464" s="22">
        <v>44956</v>
      </c>
      <c r="N1464" s="19" t="s">
        <v>199</v>
      </c>
      <c r="O1464" s="19" t="s">
        <v>332</v>
      </c>
      <c r="P1464" s="15">
        <v>270000</v>
      </c>
      <c r="Q1464" s="15">
        <v>1513733.76</v>
      </c>
      <c r="R1464" s="15">
        <v>87082900</v>
      </c>
      <c r="S1464" s="15">
        <v>15</v>
      </c>
      <c r="T1464" s="19" t="s">
        <v>310</v>
      </c>
      <c r="U1464" s="19" t="s">
        <v>178</v>
      </c>
      <c r="V1464" s="16">
        <f t="shared" si="273"/>
        <v>227060.06399999998</v>
      </c>
      <c r="W1464" s="16">
        <f t="shared" si="274"/>
        <v>22706.006399999998</v>
      </c>
      <c r="X1464" s="16">
        <f t="shared" si="275"/>
        <v>249766.07039999997</v>
      </c>
      <c r="Y1464" s="16">
        <f t="shared" si="276"/>
        <v>0.92505951999999991</v>
      </c>
      <c r="Z1464" s="16">
        <f t="shared" si="277"/>
        <v>5.6064213333333335</v>
      </c>
      <c r="AA1464" s="17">
        <f t="shared" si="278"/>
        <v>270000</v>
      </c>
      <c r="AB1464" s="10">
        <v>4356</v>
      </c>
      <c r="AC1464" s="18">
        <f t="shared" si="282"/>
        <v>4029.5592691199995</v>
      </c>
      <c r="AD1464" s="12">
        <f t="shared" si="281"/>
        <v>86652</v>
      </c>
      <c r="AE1464" s="13">
        <f t="shared" si="279"/>
        <v>183348</v>
      </c>
    </row>
    <row r="1465" spans="1:31">
      <c r="A1465" s="6">
        <v>14</v>
      </c>
      <c r="B1465" s="6">
        <f t="shared" si="280"/>
        <v>35</v>
      </c>
      <c r="C1465" s="6" t="str">
        <f t="shared" si="272"/>
        <v>604213200ALOCKING BAR, BUCKLE, K12 K12A/AT, L=34.3, silver415111844909306000</v>
      </c>
      <c r="D1465" s="7" t="s">
        <v>379</v>
      </c>
      <c r="E1465" s="6" t="s">
        <v>75</v>
      </c>
      <c r="F1465" s="6"/>
      <c r="G1465" s="7" t="s">
        <v>35</v>
      </c>
      <c r="H1465" s="19"/>
      <c r="I1465" s="19"/>
      <c r="J1465" s="19"/>
      <c r="K1465" s="19"/>
      <c r="L1465" s="14">
        <v>4151118</v>
      </c>
      <c r="M1465" s="22">
        <v>44909</v>
      </c>
      <c r="N1465" s="19" t="s">
        <v>199</v>
      </c>
      <c r="O1465" s="19" t="s">
        <v>332</v>
      </c>
      <c r="P1465" s="15">
        <v>306000</v>
      </c>
      <c r="Q1465" s="15">
        <v>347494.89</v>
      </c>
      <c r="R1465" s="15">
        <v>87082900</v>
      </c>
      <c r="S1465" s="15">
        <v>15</v>
      </c>
      <c r="T1465" s="19" t="s">
        <v>319</v>
      </c>
      <c r="U1465" s="19" t="s">
        <v>178</v>
      </c>
      <c r="V1465" s="16">
        <f t="shared" si="273"/>
        <v>52124.233500000002</v>
      </c>
      <c r="W1465" s="16">
        <f t="shared" si="274"/>
        <v>5212.4233500000009</v>
      </c>
      <c r="X1465" s="16">
        <f t="shared" si="275"/>
        <v>57336.656849999999</v>
      </c>
      <c r="Y1465" s="16">
        <f t="shared" si="276"/>
        <v>0.1873746955882353</v>
      </c>
      <c r="Z1465" s="16">
        <f t="shared" si="277"/>
        <v>1.1356042156862745</v>
      </c>
      <c r="AA1465" s="17">
        <f t="shared" si="278"/>
        <v>306000</v>
      </c>
      <c r="AB1465" s="10">
        <v>2560</v>
      </c>
      <c r="AC1465" s="18">
        <f t="shared" si="282"/>
        <v>479.67922070588236</v>
      </c>
      <c r="AD1465" s="12">
        <f t="shared" si="281"/>
        <v>94048</v>
      </c>
      <c r="AE1465" s="13">
        <f t="shared" si="279"/>
        <v>211952</v>
      </c>
    </row>
    <row r="1466" spans="1:31">
      <c r="A1466" s="6">
        <v>14</v>
      </c>
      <c r="B1466" s="6">
        <f t="shared" si="280"/>
        <v>36</v>
      </c>
      <c r="C1466" s="6" t="str">
        <f t="shared" si="272"/>
        <v>618472300CMASS, CAR SENS, RETRACTO ALL VERSIONS, CAR 2-PIN406183045012209560</v>
      </c>
      <c r="D1466" s="7" t="s">
        <v>379</v>
      </c>
      <c r="E1466" s="6" t="s">
        <v>70</v>
      </c>
      <c r="F1466" s="6"/>
      <c r="G1466" s="7" t="s">
        <v>30</v>
      </c>
      <c r="H1466" s="19"/>
      <c r="I1466" s="19"/>
      <c r="J1466" s="19"/>
      <c r="K1466" s="19"/>
      <c r="L1466" s="14">
        <v>4061830</v>
      </c>
      <c r="M1466" s="22">
        <v>45012</v>
      </c>
      <c r="N1466" s="19" t="s">
        <v>196</v>
      </c>
      <c r="O1466" s="19" t="s">
        <v>333</v>
      </c>
      <c r="P1466" s="15">
        <v>209560</v>
      </c>
      <c r="Q1466" s="15">
        <v>786307.66</v>
      </c>
      <c r="R1466" s="15">
        <v>87082900</v>
      </c>
      <c r="S1466" s="15">
        <v>15</v>
      </c>
      <c r="T1466" s="19" t="s">
        <v>317</v>
      </c>
      <c r="U1466" s="19" t="s">
        <v>178</v>
      </c>
      <c r="V1466" s="16">
        <f t="shared" si="273"/>
        <v>117946.149</v>
      </c>
      <c r="W1466" s="16">
        <f t="shared" si="274"/>
        <v>11794.6149</v>
      </c>
      <c r="X1466" s="16">
        <f t="shared" si="275"/>
        <v>129740.76390000001</v>
      </c>
      <c r="Y1466" s="16">
        <f t="shared" si="276"/>
        <v>0.61911034500858941</v>
      </c>
      <c r="Z1466" s="16">
        <f t="shared" si="277"/>
        <v>3.7521839091429663</v>
      </c>
      <c r="AA1466" s="17">
        <f t="shared" si="278"/>
        <v>209560</v>
      </c>
      <c r="AB1466" s="10">
        <v>4356</v>
      </c>
      <c r="AC1466" s="18">
        <f t="shared" si="282"/>
        <v>2696.8446628574156</v>
      </c>
      <c r="AD1466" s="12">
        <f t="shared" si="281"/>
        <v>86652</v>
      </c>
      <c r="AE1466" s="13">
        <f t="shared" si="279"/>
        <v>122908</v>
      </c>
    </row>
    <row r="1467" spans="1:31">
      <c r="A1467" s="6">
        <v>14</v>
      </c>
      <c r="B1467" s="6">
        <f t="shared" si="280"/>
        <v>37</v>
      </c>
      <c r="C1467" s="6" t="str">
        <f t="shared" si="272"/>
        <v>570028800FNUT, ISO, M5, LOCK, THRE LOCK, THREE SIDED TAMPER393103644928624000</v>
      </c>
      <c r="D1467" s="7" t="s">
        <v>379</v>
      </c>
      <c r="E1467" s="6" t="s">
        <v>47</v>
      </c>
      <c r="F1467" s="6"/>
      <c r="G1467" s="7" t="s">
        <v>9</v>
      </c>
      <c r="H1467" s="19"/>
      <c r="I1467" s="19"/>
      <c r="J1467" s="19"/>
      <c r="K1467" s="19"/>
      <c r="L1467" s="14">
        <v>3931036</v>
      </c>
      <c r="M1467" s="22">
        <v>44928</v>
      </c>
      <c r="N1467" s="19" t="s">
        <v>185</v>
      </c>
      <c r="O1467" s="19" t="s">
        <v>332</v>
      </c>
      <c r="P1467" s="15">
        <v>624000</v>
      </c>
      <c r="Q1467" s="15">
        <v>1155867.1000000001</v>
      </c>
      <c r="R1467" s="15">
        <v>87089500</v>
      </c>
      <c r="S1467" s="15">
        <v>15</v>
      </c>
      <c r="T1467" s="19" t="s">
        <v>302</v>
      </c>
      <c r="U1467" s="19" t="s">
        <v>178</v>
      </c>
      <c r="V1467" s="16">
        <f t="shared" si="273"/>
        <v>173380.065</v>
      </c>
      <c r="W1467" s="16">
        <f t="shared" si="274"/>
        <v>17338.0065</v>
      </c>
      <c r="X1467" s="16">
        <f t="shared" si="275"/>
        <v>190718.07149999999</v>
      </c>
      <c r="Y1467" s="16">
        <f t="shared" si="276"/>
        <v>0.30563793509615383</v>
      </c>
      <c r="Z1467" s="16">
        <f t="shared" si="277"/>
        <v>1.852351121794872</v>
      </c>
      <c r="AA1467" s="17">
        <f t="shared" si="278"/>
        <v>624000</v>
      </c>
      <c r="AB1467" s="10">
        <v>6048</v>
      </c>
      <c r="AC1467" s="18">
        <f t="shared" si="282"/>
        <v>1848.4982314615384</v>
      </c>
      <c r="AD1467" s="12">
        <f t="shared" si="281"/>
        <v>227952</v>
      </c>
      <c r="AE1467" s="13">
        <f t="shared" si="279"/>
        <v>396048</v>
      </c>
    </row>
    <row r="1468" spans="1:31">
      <c r="A1468" s="6">
        <v>14</v>
      </c>
      <c r="B1468" s="6">
        <f t="shared" si="280"/>
        <v>38</v>
      </c>
      <c r="C1468" s="6" t="str">
        <f t="shared" si="272"/>
        <v>621343500CNUT, ISO, M5, NYLON INSE NYLON INSERT417070644928390000</v>
      </c>
      <c r="D1468" s="7" t="s">
        <v>379</v>
      </c>
      <c r="E1468" s="6" t="s">
        <v>45</v>
      </c>
      <c r="F1468" s="6"/>
      <c r="G1468" s="7" t="s">
        <v>7</v>
      </c>
      <c r="H1468" s="19"/>
      <c r="I1468" s="19"/>
      <c r="J1468" s="19"/>
      <c r="K1468" s="19"/>
      <c r="L1468" s="14">
        <v>4170706</v>
      </c>
      <c r="M1468" s="22">
        <v>44928</v>
      </c>
      <c r="N1468" s="19" t="s">
        <v>196</v>
      </c>
      <c r="O1468" s="19" t="s">
        <v>332</v>
      </c>
      <c r="P1468" s="15">
        <v>390000</v>
      </c>
      <c r="Q1468" s="15">
        <v>806536.88</v>
      </c>
      <c r="R1468" s="15">
        <v>87089500</v>
      </c>
      <c r="S1468" s="15">
        <v>15</v>
      </c>
      <c r="T1468" s="19" t="s">
        <v>301</v>
      </c>
      <c r="U1468" s="19" t="s">
        <v>178</v>
      </c>
      <c r="V1468" s="16">
        <f t="shared" si="273"/>
        <v>120980.53199999999</v>
      </c>
      <c r="W1468" s="16">
        <f t="shared" si="274"/>
        <v>12098.0532</v>
      </c>
      <c r="X1468" s="16">
        <f t="shared" si="275"/>
        <v>133078.5852</v>
      </c>
      <c r="Y1468" s="16">
        <f t="shared" si="276"/>
        <v>0.34122714153846156</v>
      </c>
      <c r="Z1468" s="16">
        <f t="shared" si="277"/>
        <v>2.0680432820512822</v>
      </c>
      <c r="AA1468" s="17">
        <f t="shared" si="278"/>
        <v>390000</v>
      </c>
      <c r="AB1468" s="10">
        <v>21600</v>
      </c>
      <c r="AC1468" s="18">
        <f t="shared" si="282"/>
        <v>7370.5062572307697</v>
      </c>
      <c r="AD1468" s="12">
        <f t="shared" si="281"/>
        <v>385128</v>
      </c>
      <c r="AE1468" s="13">
        <f t="shared" si="279"/>
        <v>4872</v>
      </c>
    </row>
    <row r="1469" spans="1:31">
      <c r="A1469" s="6">
        <v>14</v>
      </c>
      <c r="B1469" s="6">
        <f t="shared" si="280"/>
        <v>39</v>
      </c>
      <c r="C1469" s="6" t="str">
        <f t="shared" si="272"/>
        <v>NPB10271-ZKSCREW, SELF-TAPPING, MET OTHER, HEXALOBULAR INTER406701444998150000</v>
      </c>
      <c r="D1469" s="7" t="s">
        <v>379</v>
      </c>
      <c r="E1469" s="6" t="s">
        <v>76</v>
      </c>
      <c r="F1469" s="6"/>
      <c r="G1469" s="7" t="s">
        <v>36</v>
      </c>
      <c r="H1469" s="19"/>
      <c r="I1469" s="19"/>
      <c r="J1469" s="19"/>
      <c r="K1469" s="19"/>
      <c r="L1469" s="14">
        <v>4067014</v>
      </c>
      <c r="M1469" s="22">
        <v>44998</v>
      </c>
      <c r="N1469" s="19" t="s">
        <v>196</v>
      </c>
      <c r="O1469" s="19" t="s">
        <v>333</v>
      </c>
      <c r="P1469" s="15">
        <v>150000</v>
      </c>
      <c r="Q1469" s="15">
        <v>146157.25</v>
      </c>
      <c r="R1469" s="15">
        <v>87082900</v>
      </c>
      <c r="S1469" s="15">
        <v>15</v>
      </c>
      <c r="T1469" s="19" t="s">
        <v>321</v>
      </c>
      <c r="U1469" s="19" t="s">
        <v>178</v>
      </c>
      <c r="V1469" s="16">
        <f t="shared" si="273"/>
        <v>21923.587499999998</v>
      </c>
      <c r="W1469" s="16">
        <f t="shared" si="274"/>
        <v>2192.3587499999999</v>
      </c>
      <c r="X1469" s="16">
        <f t="shared" si="275"/>
        <v>24115.946249999997</v>
      </c>
      <c r="Y1469" s="16">
        <f t="shared" si="276"/>
        <v>0.16077297499999998</v>
      </c>
      <c r="Z1469" s="16">
        <f t="shared" si="277"/>
        <v>0.9743816666666667</v>
      </c>
      <c r="AA1469" s="17">
        <f t="shared" si="278"/>
        <v>150000</v>
      </c>
      <c r="AB1469" s="10">
        <v>5120</v>
      </c>
      <c r="AC1469" s="18">
        <f t="shared" si="282"/>
        <v>823.15763199999992</v>
      </c>
      <c r="AD1469" s="12">
        <f t="shared" si="281"/>
        <v>149952</v>
      </c>
      <c r="AE1469" s="13">
        <f t="shared" si="279"/>
        <v>48</v>
      </c>
    </row>
    <row r="1470" spans="1:31">
      <c r="A1470" s="6">
        <v>14</v>
      </c>
      <c r="B1470" s="6">
        <f t="shared" si="280"/>
        <v>40</v>
      </c>
      <c r="C1470" s="6" t="str">
        <f t="shared" si="272"/>
        <v>566305721BSPRING, SHEET, LEAF, RET ALL VERSIONS, WS ECE4742807449445000</v>
      </c>
      <c r="D1470" s="7" t="s">
        <v>379</v>
      </c>
      <c r="E1470" s="6" t="s">
        <v>59</v>
      </c>
      <c r="F1470" s="6"/>
      <c r="G1470" s="7" t="s">
        <v>19</v>
      </c>
      <c r="H1470" s="19"/>
      <c r="I1470" s="19"/>
      <c r="J1470" s="19"/>
      <c r="K1470" s="19"/>
      <c r="L1470" s="14">
        <v>4742807</v>
      </c>
      <c r="M1470" s="22">
        <v>44944</v>
      </c>
      <c r="N1470" s="19" t="s">
        <v>196</v>
      </c>
      <c r="O1470" s="19" t="s">
        <v>337</v>
      </c>
      <c r="P1470" s="15">
        <v>5000</v>
      </c>
      <c r="Q1470" s="15">
        <v>143362.42000000001</v>
      </c>
      <c r="R1470" s="15">
        <v>87082900</v>
      </c>
      <c r="S1470" s="15">
        <v>15</v>
      </c>
      <c r="T1470" s="19" t="s">
        <v>309</v>
      </c>
      <c r="U1470" s="19" t="s">
        <v>178</v>
      </c>
      <c r="V1470" s="16">
        <f t="shared" si="273"/>
        <v>21504.363000000001</v>
      </c>
      <c r="W1470" s="16">
        <f t="shared" si="274"/>
        <v>2150.4363000000003</v>
      </c>
      <c r="X1470" s="16">
        <f t="shared" si="275"/>
        <v>23654.799300000002</v>
      </c>
      <c r="Y1470" s="16">
        <f t="shared" si="276"/>
        <v>4.7309598600000005</v>
      </c>
      <c r="Z1470" s="16">
        <f t="shared" si="277"/>
        <v>28.672484000000004</v>
      </c>
      <c r="AA1470" s="17">
        <f t="shared" si="278"/>
        <v>5000</v>
      </c>
      <c r="AB1470" s="10">
        <v>81.288000000000011</v>
      </c>
      <c r="AC1470" s="18">
        <f t="shared" si="282"/>
        <v>384.57026509968011</v>
      </c>
      <c r="AD1470" s="12">
        <f t="shared" si="281"/>
        <v>1540.98</v>
      </c>
      <c r="AE1470" s="13">
        <v>0</v>
      </c>
    </row>
    <row r="1471" spans="1:31">
      <c r="A1471" s="6">
        <v>14</v>
      </c>
      <c r="B1471" s="6">
        <f t="shared" si="280"/>
        <v>41</v>
      </c>
      <c r="C1471" s="6" t="str">
        <f t="shared" si="272"/>
        <v>605151600ASPRING, SHEET, LEAF, RET ALL VERSIONS, WS US407852744933100000</v>
      </c>
      <c r="D1471" s="7" t="s">
        <v>379</v>
      </c>
      <c r="E1471" s="6" t="s">
        <v>65</v>
      </c>
      <c r="F1471" s="6"/>
      <c r="G1471" s="7" t="s">
        <v>25</v>
      </c>
      <c r="H1471" s="19"/>
      <c r="I1471" s="19"/>
      <c r="J1471" s="19"/>
      <c r="K1471" s="19"/>
      <c r="L1471" s="14">
        <v>4078527</v>
      </c>
      <c r="M1471" s="22">
        <v>44933</v>
      </c>
      <c r="N1471" s="19" t="s">
        <v>196</v>
      </c>
      <c r="O1471" s="19" t="s">
        <v>333</v>
      </c>
      <c r="P1471" s="15">
        <v>100000</v>
      </c>
      <c r="Q1471" s="15">
        <v>147318.03</v>
      </c>
      <c r="R1471" s="15">
        <v>87082900</v>
      </c>
      <c r="S1471" s="15">
        <v>15</v>
      </c>
      <c r="T1471" s="19" t="s">
        <v>314</v>
      </c>
      <c r="U1471" s="19" t="s">
        <v>178</v>
      </c>
      <c r="V1471" s="16">
        <f t="shared" si="273"/>
        <v>22097.7045</v>
      </c>
      <c r="W1471" s="16">
        <f t="shared" si="274"/>
        <v>2209.77045</v>
      </c>
      <c r="X1471" s="16">
        <f t="shared" si="275"/>
        <v>24307.47495</v>
      </c>
      <c r="Y1471" s="16">
        <f t="shared" si="276"/>
        <v>0.24307474949999999</v>
      </c>
      <c r="Z1471" s="16">
        <f t="shared" si="277"/>
        <v>1.4731802999999999</v>
      </c>
      <c r="AA1471" s="17">
        <f t="shared" si="278"/>
        <v>100000</v>
      </c>
      <c r="AB1471" s="10">
        <v>4356</v>
      </c>
      <c r="AC1471" s="18">
        <f t="shared" si="282"/>
        <v>1058.8336088219999</v>
      </c>
      <c r="AD1471" s="12">
        <f t="shared" si="281"/>
        <v>86652</v>
      </c>
      <c r="AE1471" s="13">
        <f t="shared" si="279"/>
        <v>13348</v>
      </c>
    </row>
    <row r="1472" spans="1:31">
      <c r="A1472" s="6">
        <v>14</v>
      </c>
      <c r="B1472" s="6">
        <f t="shared" si="280"/>
        <v>42</v>
      </c>
      <c r="C1472" s="6" t="str">
        <f t="shared" si="272"/>
        <v>560130122ASPRING, WIRE, COMPRESSIO K12A/AT495151045028300000</v>
      </c>
      <c r="D1472" s="7" t="s">
        <v>379</v>
      </c>
      <c r="E1472" s="6" t="s">
        <v>73</v>
      </c>
      <c r="F1472" s="6"/>
      <c r="G1472" s="7" t="s">
        <v>33</v>
      </c>
      <c r="H1472" s="19"/>
      <c r="I1472" s="19"/>
      <c r="J1472" s="19"/>
      <c r="K1472" s="19"/>
      <c r="L1472" s="14">
        <v>4951510</v>
      </c>
      <c r="M1472" s="22">
        <v>45028</v>
      </c>
      <c r="N1472" s="19" t="s">
        <v>199</v>
      </c>
      <c r="O1472" s="19" t="s">
        <v>332</v>
      </c>
      <c r="P1472" s="15">
        <v>300000</v>
      </c>
      <c r="Q1472" s="15">
        <v>285155.93</v>
      </c>
      <c r="R1472" s="15">
        <v>87082900</v>
      </c>
      <c r="S1472" s="15">
        <v>15</v>
      </c>
      <c r="T1472" s="19" t="s">
        <v>319</v>
      </c>
      <c r="U1472" s="19" t="s">
        <v>178</v>
      </c>
      <c r="V1472" s="16">
        <f t="shared" si="273"/>
        <v>42773.389499999997</v>
      </c>
      <c r="W1472" s="16">
        <f t="shared" si="274"/>
        <v>4277.3389500000003</v>
      </c>
      <c r="X1472" s="16">
        <f t="shared" si="275"/>
        <v>47050.728449999995</v>
      </c>
      <c r="Y1472" s="16">
        <f t="shared" si="276"/>
        <v>0.15683576149999998</v>
      </c>
      <c r="Z1472" s="16">
        <f t="shared" si="277"/>
        <v>0.9505197666666666</v>
      </c>
      <c r="AA1472" s="17">
        <f t="shared" si="278"/>
        <v>300000</v>
      </c>
      <c r="AB1472" s="10">
        <v>2560</v>
      </c>
      <c r="AC1472" s="18">
        <f t="shared" si="282"/>
        <v>401.49954943999995</v>
      </c>
      <c r="AD1472" s="12">
        <f t="shared" si="281"/>
        <v>94048</v>
      </c>
      <c r="AE1472" s="13">
        <f t="shared" si="279"/>
        <v>205952</v>
      </c>
    </row>
    <row r="1473" spans="1:31">
      <c r="A1473" s="6">
        <v>14</v>
      </c>
      <c r="B1473" s="6">
        <f t="shared" si="280"/>
        <v>43</v>
      </c>
      <c r="C1473" s="6" t="str">
        <f t="shared" si="272"/>
        <v>605555507ESTEERING DISC NATURE WHITE717838944902100800</v>
      </c>
      <c r="D1473" s="7" t="s">
        <v>379</v>
      </c>
      <c r="E1473" s="6" t="s">
        <v>66</v>
      </c>
      <c r="F1473" s="6"/>
      <c r="G1473" s="7" t="s">
        <v>26</v>
      </c>
      <c r="H1473" s="19"/>
      <c r="I1473" s="19"/>
      <c r="J1473" s="19"/>
      <c r="K1473" s="19"/>
      <c r="L1473" s="14">
        <v>7178389</v>
      </c>
      <c r="M1473" s="22">
        <v>44902</v>
      </c>
      <c r="N1473" s="19" t="s">
        <v>185</v>
      </c>
      <c r="O1473" s="19" t="s">
        <v>332</v>
      </c>
      <c r="P1473" s="15">
        <v>100800</v>
      </c>
      <c r="Q1473" s="15">
        <v>397158.13</v>
      </c>
      <c r="R1473" s="15">
        <v>87082900</v>
      </c>
      <c r="S1473" s="15">
        <v>15</v>
      </c>
      <c r="T1473" s="19" t="s">
        <v>315</v>
      </c>
      <c r="U1473" s="19" t="s">
        <v>178</v>
      </c>
      <c r="V1473" s="16">
        <f t="shared" si="273"/>
        <v>59573.719499999999</v>
      </c>
      <c r="W1473" s="16">
        <f t="shared" si="274"/>
        <v>5957.3719500000007</v>
      </c>
      <c r="X1473" s="16">
        <f t="shared" si="275"/>
        <v>65531.09145</v>
      </c>
      <c r="Y1473" s="16">
        <f t="shared" si="276"/>
        <v>0.65011003422619051</v>
      </c>
      <c r="Z1473" s="16">
        <f t="shared" si="277"/>
        <v>3.9400608134920634</v>
      </c>
      <c r="AA1473" s="17">
        <f t="shared" si="278"/>
        <v>100800</v>
      </c>
      <c r="AB1473" s="10">
        <v>4356</v>
      </c>
      <c r="AC1473" s="18">
        <f t="shared" si="282"/>
        <v>2831.8793090892859</v>
      </c>
      <c r="AD1473" s="12">
        <f t="shared" si="281"/>
        <v>80292</v>
      </c>
      <c r="AE1473" s="13">
        <f t="shared" si="279"/>
        <v>20508</v>
      </c>
    </row>
    <row r="1474" spans="1:31">
      <c r="A1474" s="6">
        <v>14</v>
      </c>
      <c r="B1474" s="6">
        <f t="shared" si="280"/>
        <v>44</v>
      </c>
      <c r="C1474" s="6" t="str">
        <f t="shared" ref="C1474:C1537" si="283">E1474&amp;G1474&amp;L1474&amp;M1474&amp;P1474</f>
        <v>566098600CWEBBING PIN, RETRACTOR, AGB, AGB-95POM FARBE:SCH432749644950120000</v>
      </c>
      <c r="D1474" s="7" t="s">
        <v>379</v>
      </c>
      <c r="E1474" s="6" t="s">
        <v>57</v>
      </c>
      <c r="F1474" s="6"/>
      <c r="G1474" s="7" t="s">
        <v>17</v>
      </c>
      <c r="H1474" s="19"/>
      <c r="I1474" s="19"/>
      <c r="J1474" s="19"/>
      <c r="K1474" s="19"/>
      <c r="L1474" s="14">
        <v>4327496</v>
      </c>
      <c r="M1474" s="22">
        <v>44950</v>
      </c>
      <c r="N1474" s="19" t="s">
        <v>199</v>
      </c>
      <c r="O1474" s="19" t="s">
        <v>332</v>
      </c>
      <c r="P1474" s="15">
        <v>120000</v>
      </c>
      <c r="Q1474" s="15">
        <v>117311.7</v>
      </c>
      <c r="R1474" s="15">
        <v>87082900</v>
      </c>
      <c r="S1474" s="15">
        <v>15</v>
      </c>
      <c r="T1474" s="19" t="s">
        <v>307</v>
      </c>
      <c r="U1474" s="19" t="s">
        <v>178</v>
      </c>
      <c r="V1474" s="16">
        <f t="shared" si="273"/>
        <v>17596.754999999997</v>
      </c>
      <c r="W1474" s="16">
        <f t="shared" si="274"/>
        <v>1759.6754999999998</v>
      </c>
      <c r="X1474" s="16">
        <f t="shared" si="275"/>
        <v>19356.430499999999</v>
      </c>
      <c r="Y1474" s="16">
        <f t="shared" si="276"/>
        <v>0.16130358749999998</v>
      </c>
      <c r="Z1474" s="16">
        <f t="shared" si="277"/>
        <v>0.97759750000000001</v>
      </c>
      <c r="AA1474" s="17">
        <f t="shared" si="278"/>
        <v>120000</v>
      </c>
      <c r="AB1474" s="10">
        <v>4356</v>
      </c>
      <c r="AC1474" s="18">
        <f t="shared" si="282"/>
        <v>702.63842714999998</v>
      </c>
      <c r="AD1474" s="12">
        <f t="shared" si="281"/>
        <v>86652</v>
      </c>
      <c r="AE1474" s="13">
        <f t="shared" si="279"/>
        <v>33348</v>
      </c>
    </row>
    <row r="1475" spans="1:31">
      <c r="A1475" s="6">
        <v>14</v>
      </c>
      <c r="B1475" s="6">
        <f t="shared" si="280"/>
        <v>45</v>
      </c>
      <c r="C1475" s="6" t="str">
        <f t="shared" si="283"/>
        <v>603171100BTAPE, ADHESIVE, TERAOKA TERAOKA NO.560S 283492694503640000</v>
      </c>
      <c r="D1475" s="7" t="s">
        <v>379</v>
      </c>
      <c r="E1475" s="6" t="s">
        <v>50</v>
      </c>
      <c r="F1475" s="6"/>
      <c r="G1475" s="7" t="s">
        <v>12</v>
      </c>
      <c r="H1475" s="19"/>
      <c r="I1475" s="19"/>
      <c r="J1475" s="19"/>
      <c r="K1475" s="19"/>
      <c r="L1475" s="14">
        <v>8349269</v>
      </c>
      <c r="M1475" s="22">
        <v>45036</v>
      </c>
      <c r="N1475" s="19" t="s">
        <v>180</v>
      </c>
      <c r="O1475" s="19" t="s">
        <v>333</v>
      </c>
      <c r="P1475" s="15">
        <v>40000</v>
      </c>
      <c r="Q1475" s="15">
        <v>180520.2</v>
      </c>
      <c r="R1475" s="15">
        <v>39199090</v>
      </c>
      <c r="S1475" s="15">
        <v>15</v>
      </c>
      <c r="T1475" s="19" t="s">
        <v>342</v>
      </c>
      <c r="U1475" s="19" t="s">
        <v>178</v>
      </c>
      <c r="V1475" s="16">
        <f t="shared" si="273"/>
        <v>27078.030000000002</v>
      </c>
      <c r="W1475" s="16">
        <f t="shared" si="274"/>
        <v>2707.8030000000003</v>
      </c>
      <c r="X1475" s="16">
        <f t="shared" si="275"/>
        <v>29785.833000000002</v>
      </c>
      <c r="Y1475" s="16">
        <f t="shared" si="276"/>
        <v>0.74464582500000009</v>
      </c>
      <c r="Z1475" s="16">
        <f t="shared" si="277"/>
        <v>4.5130050000000006</v>
      </c>
      <c r="AA1475" s="17">
        <f t="shared" si="278"/>
        <v>40000</v>
      </c>
      <c r="AB1475" s="10">
        <v>230.39999999999998</v>
      </c>
      <c r="AC1475" s="18">
        <f t="shared" si="282"/>
        <v>171.56639808</v>
      </c>
      <c r="AD1475" s="12">
        <f t="shared" si="281"/>
        <v>12498</v>
      </c>
      <c r="AE1475" s="13">
        <f t="shared" si="279"/>
        <v>27502</v>
      </c>
    </row>
    <row r="1476" spans="1:31">
      <c r="A1476" s="6">
        <v>15</v>
      </c>
      <c r="B1476" s="6">
        <v>1</v>
      </c>
      <c r="C1476" s="6" t="str">
        <f t="shared" si="283"/>
        <v>666041100AAB Cushion ICAB FI 2 Row C6482292456005000</v>
      </c>
      <c r="D1476" s="7" t="s">
        <v>394</v>
      </c>
      <c r="E1476" s="6" t="s">
        <v>476</v>
      </c>
      <c r="F1476" s="6"/>
      <c r="G1476" s="7" t="s">
        <v>246</v>
      </c>
      <c r="H1476" s="19"/>
      <c r="I1476" s="19"/>
      <c r="J1476" s="19"/>
      <c r="K1476" s="19"/>
      <c r="L1476" s="14">
        <v>6482292</v>
      </c>
      <c r="M1476" s="22">
        <v>45600</v>
      </c>
      <c r="N1476" s="19" t="s">
        <v>185</v>
      </c>
      <c r="O1476" s="19" t="s">
        <v>332</v>
      </c>
      <c r="P1476" s="15">
        <v>5000</v>
      </c>
      <c r="Q1476" s="15">
        <v>4336185.33</v>
      </c>
      <c r="R1476" s="15">
        <v>87089500</v>
      </c>
      <c r="S1476" s="15">
        <v>5</v>
      </c>
      <c r="T1476" s="19" t="s">
        <v>397</v>
      </c>
      <c r="U1476" s="19" t="s">
        <v>178</v>
      </c>
      <c r="V1476" s="16">
        <f t="shared" ref="V1476:V1539" si="284">Q1476*S1476%</f>
        <v>216809.26650000003</v>
      </c>
      <c r="W1476" s="16">
        <f t="shared" ref="W1476:W1539" si="285">V1476*0.1</f>
        <v>21680.926650000005</v>
      </c>
      <c r="X1476" s="16">
        <f t="shared" ref="X1476:X1539" si="286">V1476+W1476</f>
        <v>238490.19315000004</v>
      </c>
      <c r="Y1476" s="16">
        <f t="shared" ref="Y1476:Y1539" si="287">X1476/P1476</f>
        <v>47.698038630000006</v>
      </c>
      <c r="Z1476" s="16">
        <f t="shared" ref="Z1476:Z1539" si="288">Q1476/P1476</f>
        <v>867.23706600000003</v>
      </c>
      <c r="AA1476" s="17">
        <f t="shared" ref="AA1476:AA1539" si="289">P1476</f>
        <v>5000</v>
      </c>
      <c r="AB1476" s="10">
        <v>3264</v>
      </c>
      <c r="AC1476" s="18">
        <f t="shared" si="282"/>
        <v>155686.39808832001</v>
      </c>
      <c r="AD1476" s="12">
        <f t="shared" si="281"/>
        <v>5000</v>
      </c>
      <c r="AE1476" s="13">
        <f t="shared" ref="AE1476:AE1539" si="290">AA1476-AD1476</f>
        <v>0</v>
      </c>
    </row>
    <row r="1477" spans="1:31">
      <c r="A1477" s="6">
        <v>15</v>
      </c>
      <c r="B1477" s="6">
        <f t="shared" si="280"/>
        <v>2</v>
      </c>
      <c r="C1477" s="6" t="str">
        <f t="shared" si="283"/>
        <v>666041200ACushion ICAB FI 2 Row C6482292456005000</v>
      </c>
      <c r="D1477" s="7" t="s">
        <v>394</v>
      </c>
      <c r="E1477" s="6" t="s">
        <v>472</v>
      </c>
      <c r="F1477" s="6"/>
      <c r="G1477" s="7" t="s">
        <v>237</v>
      </c>
      <c r="H1477" s="19"/>
      <c r="I1477" s="19"/>
      <c r="J1477" s="19"/>
      <c r="K1477" s="19"/>
      <c r="L1477" s="14">
        <v>6482292</v>
      </c>
      <c r="M1477" s="22">
        <v>45600</v>
      </c>
      <c r="N1477" s="19" t="s">
        <v>185</v>
      </c>
      <c r="O1477" s="19" t="s">
        <v>332</v>
      </c>
      <c r="P1477" s="15">
        <v>5000</v>
      </c>
      <c r="Q1477" s="15">
        <v>4336185.33</v>
      </c>
      <c r="R1477" s="15">
        <v>87089500</v>
      </c>
      <c r="S1477" s="15">
        <v>5</v>
      </c>
      <c r="T1477" s="19" t="s">
        <v>397</v>
      </c>
      <c r="U1477" s="19" t="s">
        <v>178</v>
      </c>
      <c r="V1477" s="16">
        <f t="shared" si="284"/>
        <v>216809.26650000003</v>
      </c>
      <c r="W1477" s="16">
        <f t="shared" si="285"/>
        <v>21680.926650000005</v>
      </c>
      <c r="X1477" s="16">
        <f t="shared" si="286"/>
        <v>238490.19315000004</v>
      </c>
      <c r="Y1477" s="16">
        <f t="shared" si="287"/>
        <v>47.698038630000006</v>
      </c>
      <c r="Z1477" s="16">
        <f t="shared" si="288"/>
        <v>867.23706600000003</v>
      </c>
      <c r="AA1477" s="17">
        <f t="shared" si="289"/>
        <v>5000</v>
      </c>
      <c r="AB1477" s="10">
        <v>3264</v>
      </c>
      <c r="AC1477" s="18">
        <f t="shared" si="282"/>
        <v>155686.39808832001</v>
      </c>
      <c r="AD1477" s="12">
        <f t="shared" si="281"/>
        <v>5000</v>
      </c>
      <c r="AE1477" s="13">
        <f t="shared" si="290"/>
        <v>0</v>
      </c>
    </row>
    <row r="1478" spans="1:31">
      <c r="A1478" s="6">
        <v>15</v>
      </c>
      <c r="B1478" s="6">
        <f t="shared" si="280"/>
        <v>3</v>
      </c>
      <c r="C1478" s="6" t="str">
        <f t="shared" si="283"/>
        <v>640294200AINFLATOR, ASP-2, GEN15,65265414560213824</v>
      </c>
      <c r="D1478" s="7" t="s">
        <v>394</v>
      </c>
      <c r="E1478" s="6" t="s">
        <v>470</v>
      </c>
      <c r="F1478" s="6"/>
      <c r="G1478" s="7" t="s">
        <v>238</v>
      </c>
      <c r="H1478" s="19"/>
      <c r="I1478" s="19"/>
      <c r="J1478" s="19"/>
      <c r="K1478" s="19"/>
      <c r="L1478" s="14">
        <v>6526541</v>
      </c>
      <c r="M1478" s="22">
        <v>45602</v>
      </c>
      <c r="N1478" s="19" t="s">
        <v>185</v>
      </c>
      <c r="O1478" s="19" t="s">
        <v>332</v>
      </c>
      <c r="P1478" s="15">
        <v>13824</v>
      </c>
      <c r="Q1478" s="15">
        <v>3568768.29</v>
      </c>
      <c r="R1478" s="15">
        <v>87089500</v>
      </c>
      <c r="S1478" s="15">
        <v>15</v>
      </c>
      <c r="T1478" s="19" t="s">
        <v>388</v>
      </c>
      <c r="U1478" s="19" t="s">
        <v>178</v>
      </c>
      <c r="V1478" s="16">
        <f t="shared" si="284"/>
        <v>535315.24349999998</v>
      </c>
      <c r="W1478" s="16">
        <f t="shared" si="285"/>
        <v>53531.52435</v>
      </c>
      <c r="X1478" s="16">
        <f t="shared" si="286"/>
        <v>588846.76784999995</v>
      </c>
      <c r="Y1478" s="16">
        <f t="shared" si="287"/>
        <v>42.595975683593743</v>
      </c>
      <c r="Z1478" s="16">
        <f t="shared" si="288"/>
        <v>258.15742838541667</v>
      </c>
      <c r="AA1478" s="17">
        <f t="shared" si="289"/>
        <v>13824</v>
      </c>
      <c r="AB1478" s="10">
        <v>4920</v>
      </c>
      <c r="AC1478" s="18">
        <f t="shared" si="282"/>
        <v>209572.20036328121</v>
      </c>
      <c r="AD1478" s="12">
        <f t="shared" si="281"/>
        <v>12904</v>
      </c>
      <c r="AE1478" s="13">
        <f t="shared" si="290"/>
        <v>920</v>
      </c>
    </row>
    <row r="1479" spans="1:31">
      <c r="A1479" s="6">
        <v>15</v>
      </c>
      <c r="B1479" s="6">
        <f t="shared" si="280"/>
        <v>4</v>
      </c>
      <c r="C1479" s="6" t="str">
        <f t="shared" si="283"/>
        <v>649421100AINFLATOR, ASP-5.1, P20, SRR, IMI, SERV, NO STUDS65265414560212096</v>
      </c>
      <c r="D1479" s="7" t="s">
        <v>394</v>
      </c>
      <c r="E1479" s="6" t="s">
        <v>469</v>
      </c>
      <c r="F1479" s="6"/>
      <c r="G1479" s="7" t="s">
        <v>16</v>
      </c>
      <c r="H1479" s="19"/>
      <c r="I1479" s="19"/>
      <c r="J1479" s="19"/>
      <c r="K1479" s="19"/>
      <c r="L1479" s="14">
        <v>6526541</v>
      </c>
      <c r="M1479" s="22">
        <v>45602</v>
      </c>
      <c r="N1479" s="19" t="s">
        <v>185</v>
      </c>
      <c r="O1479" s="19" t="s">
        <v>332</v>
      </c>
      <c r="P1479" s="15">
        <v>12096</v>
      </c>
      <c r="Q1479" s="15">
        <v>2275845.88</v>
      </c>
      <c r="R1479" s="15">
        <v>87089500</v>
      </c>
      <c r="S1479" s="15">
        <v>15</v>
      </c>
      <c r="T1479" s="19" t="s">
        <v>388</v>
      </c>
      <c r="U1479" s="19" t="s">
        <v>178</v>
      </c>
      <c r="V1479" s="16">
        <f t="shared" si="284"/>
        <v>341376.88199999998</v>
      </c>
      <c r="W1479" s="16">
        <f t="shared" si="285"/>
        <v>34137.688199999997</v>
      </c>
      <c r="X1479" s="16">
        <f t="shared" si="286"/>
        <v>375514.57019999996</v>
      </c>
      <c r="Y1479" s="16">
        <f t="shared" si="287"/>
        <v>31.044524652777774</v>
      </c>
      <c r="Z1479" s="16">
        <f t="shared" si="288"/>
        <v>188.14863425925924</v>
      </c>
      <c r="AA1479" s="17">
        <f t="shared" si="289"/>
        <v>12096</v>
      </c>
      <c r="AB1479" s="10">
        <v>3264</v>
      </c>
      <c r="AC1479" s="18">
        <f t="shared" si="282"/>
        <v>101329.32846666666</v>
      </c>
      <c r="AD1479" s="12">
        <f t="shared" si="281"/>
        <v>11424</v>
      </c>
      <c r="AE1479" s="13">
        <f t="shared" si="290"/>
        <v>672</v>
      </c>
    </row>
    <row r="1480" spans="1:31">
      <c r="A1480" s="6">
        <v>15</v>
      </c>
      <c r="B1480" s="6">
        <f t="shared" si="280"/>
        <v>5</v>
      </c>
      <c r="C1480" s="6" t="str">
        <f t="shared" si="283"/>
        <v>632955901AINFLATORS, APP-4.6 65354374560216416</v>
      </c>
      <c r="D1480" s="7" t="s">
        <v>394</v>
      </c>
      <c r="E1480" s="6" t="s">
        <v>48</v>
      </c>
      <c r="F1480" s="6"/>
      <c r="G1480" s="7" t="s">
        <v>10</v>
      </c>
      <c r="H1480" s="19"/>
      <c r="I1480" s="19"/>
      <c r="J1480" s="19"/>
      <c r="K1480" s="19"/>
      <c r="L1480" s="14">
        <v>6535437</v>
      </c>
      <c r="M1480" s="22">
        <v>45602</v>
      </c>
      <c r="N1480" s="19" t="s">
        <v>185</v>
      </c>
      <c r="O1480" s="19" t="s">
        <v>332</v>
      </c>
      <c r="P1480" s="15">
        <v>16416</v>
      </c>
      <c r="Q1480" s="15">
        <v>6769583.6699999999</v>
      </c>
      <c r="R1480" s="15">
        <v>87089500</v>
      </c>
      <c r="S1480" s="15">
        <v>15</v>
      </c>
      <c r="T1480" s="19" t="s">
        <v>388</v>
      </c>
      <c r="U1480" s="19" t="s">
        <v>178</v>
      </c>
      <c r="V1480" s="16">
        <f t="shared" si="284"/>
        <v>1015437.5504999999</v>
      </c>
      <c r="W1480" s="16">
        <f t="shared" si="285"/>
        <v>101543.75504999999</v>
      </c>
      <c r="X1480" s="16">
        <f t="shared" si="286"/>
        <v>1116981.3055499999</v>
      </c>
      <c r="Y1480" s="16">
        <f t="shared" si="287"/>
        <v>68.042233525219288</v>
      </c>
      <c r="Z1480" s="16">
        <f t="shared" si="288"/>
        <v>412.37717288011697</v>
      </c>
      <c r="AA1480" s="17">
        <f t="shared" si="289"/>
        <v>16416</v>
      </c>
      <c r="AB1480" s="10">
        <v>1344</v>
      </c>
      <c r="AC1480" s="18">
        <f t="shared" si="282"/>
        <v>91448.761857894729</v>
      </c>
      <c r="AD1480" s="12">
        <f t="shared" si="281"/>
        <v>1584</v>
      </c>
      <c r="AE1480" s="13">
        <f t="shared" si="290"/>
        <v>14832</v>
      </c>
    </row>
    <row r="1481" spans="1:31">
      <c r="A1481" s="6">
        <v>15</v>
      </c>
      <c r="B1481" s="6">
        <f t="shared" si="280"/>
        <v>6</v>
      </c>
      <c r="C1481" s="6" t="str">
        <f t="shared" si="283"/>
        <v>661147800BMetal Emblem, HMC,64468564559712960</v>
      </c>
      <c r="D1481" s="7" t="s">
        <v>394</v>
      </c>
      <c r="E1481" s="6" t="s">
        <v>479</v>
      </c>
      <c r="F1481" s="6"/>
      <c r="G1481" s="7" t="s">
        <v>395</v>
      </c>
      <c r="H1481" s="19"/>
      <c r="I1481" s="19"/>
      <c r="J1481" s="19"/>
      <c r="K1481" s="19"/>
      <c r="L1481" s="14">
        <v>6446856</v>
      </c>
      <c r="M1481" s="22">
        <v>45597</v>
      </c>
      <c r="N1481" s="19" t="s">
        <v>196</v>
      </c>
      <c r="O1481" s="19" t="s">
        <v>333</v>
      </c>
      <c r="P1481" s="15">
        <v>12960</v>
      </c>
      <c r="Q1481" s="15">
        <v>4105628.64</v>
      </c>
      <c r="R1481" s="15">
        <v>87089500</v>
      </c>
      <c r="S1481" s="15">
        <v>15</v>
      </c>
      <c r="T1481" s="19" t="s">
        <v>398</v>
      </c>
      <c r="U1481" s="19" t="s">
        <v>178</v>
      </c>
      <c r="V1481" s="16">
        <f t="shared" si="284"/>
        <v>615844.29599999997</v>
      </c>
      <c r="W1481" s="16">
        <f t="shared" si="285"/>
        <v>61584.429600000003</v>
      </c>
      <c r="X1481" s="16">
        <f t="shared" si="286"/>
        <v>677428.72560000001</v>
      </c>
      <c r="Y1481" s="16">
        <f t="shared" si="287"/>
        <v>52.270735000000002</v>
      </c>
      <c r="Z1481" s="16">
        <f t="shared" si="288"/>
        <v>316.79233333333332</v>
      </c>
      <c r="AA1481" s="17">
        <f t="shared" si="289"/>
        <v>12960</v>
      </c>
      <c r="AB1481" s="10">
        <v>3096</v>
      </c>
      <c r="AC1481" s="18">
        <f t="shared" si="282"/>
        <v>161830.19555999999</v>
      </c>
      <c r="AD1481" s="12">
        <f t="shared" si="281"/>
        <v>10453</v>
      </c>
      <c r="AE1481" s="13">
        <f t="shared" si="290"/>
        <v>2507</v>
      </c>
    </row>
    <row r="1482" spans="1:31">
      <c r="A1482" s="6">
        <v>15</v>
      </c>
      <c r="B1482" s="6">
        <f t="shared" si="280"/>
        <v>7</v>
      </c>
      <c r="C1482" s="6" t="str">
        <f t="shared" si="283"/>
        <v>615795701BPILLAR LOOP, OVERMOULDED LIGHT GRAY, STD, WITH CA6338676455905000</v>
      </c>
      <c r="D1482" s="7" t="s">
        <v>394</v>
      </c>
      <c r="E1482" s="6" t="s">
        <v>67</v>
      </c>
      <c r="F1482" s="6"/>
      <c r="G1482" s="7" t="s">
        <v>27</v>
      </c>
      <c r="H1482" s="19"/>
      <c r="I1482" s="19"/>
      <c r="J1482" s="19"/>
      <c r="K1482" s="19"/>
      <c r="L1482" s="14">
        <v>6338676</v>
      </c>
      <c r="M1482" s="22">
        <v>45590</v>
      </c>
      <c r="N1482" s="19" t="s">
        <v>185</v>
      </c>
      <c r="O1482" s="19" t="s">
        <v>332</v>
      </c>
      <c r="P1482" s="15">
        <v>5000</v>
      </c>
      <c r="Q1482" s="15">
        <v>293227.37</v>
      </c>
      <c r="R1482" s="15">
        <v>87082900</v>
      </c>
      <c r="S1482" s="15">
        <v>15</v>
      </c>
      <c r="T1482" s="19" t="s">
        <v>198</v>
      </c>
      <c r="U1482" s="19" t="s">
        <v>178</v>
      </c>
      <c r="V1482" s="16">
        <f t="shared" si="284"/>
        <v>43984.105499999998</v>
      </c>
      <c r="W1482" s="16">
        <f t="shared" si="285"/>
        <v>4398.4105499999996</v>
      </c>
      <c r="X1482" s="16">
        <f t="shared" si="286"/>
        <v>48382.516049999998</v>
      </c>
      <c r="Y1482" s="16">
        <f t="shared" si="287"/>
        <v>9.6765032099999999</v>
      </c>
      <c r="Z1482" s="16">
        <f t="shared" si="288"/>
        <v>58.645474</v>
      </c>
      <c r="AA1482" s="17">
        <f t="shared" si="289"/>
        <v>5000</v>
      </c>
      <c r="AB1482" s="10">
        <v>3552</v>
      </c>
      <c r="AC1482" s="18">
        <f t="shared" si="282"/>
        <v>34370.939401919997</v>
      </c>
      <c r="AD1482" s="12">
        <f t="shared" si="281"/>
        <v>3552</v>
      </c>
      <c r="AE1482" s="13">
        <f t="shared" si="290"/>
        <v>1448</v>
      </c>
    </row>
    <row r="1483" spans="1:31">
      <c r="A1483" s="6">
        <v>15</v>
      </c>
      <c r="B1483" s="6">
        <f t="shared" si="280"/>
        <v>8</v>
      </c>
      <c r="C1483" s="6" t="str">
        <f t="shared" si="283"/>
        <v>640294000AAB INFLATOR, ASP-2, GEN15,23468634535010368</v>
      </c>
      <c r="D1483" s="7" t="s">
        <v>394</v>
      </c>
      <c r="E1483" s="6" t="s">
        <v>475</v>
      </c>
      <c r="F1483" s="6"/>
      <c r="G1483" s="7" t="s">
        <v>244</v>
      </c>
      <c r="H1483" s="19"/>
      <c r="I1483" s="19"/>
      <c r="J1483" s="19"/>
      <c r="K1483" s="19"/>
      <c r="L1483" s="14">
        <v>2346863</v>
      </c>
      <c r="M1483" s="22">
        <v>45350</v>
      </c>
      <c r="N1483" s="19" t="s">
        <v>197</v>
      </c>
      <c r="O1483" s="19" t="s">
        <v>333</v>
      </c>
      <c r="P1483" s="15">
        <v>10368</v>
      </c>
      <c r="Q1483" s="15">
        <v>2687626.04</v>
      </c>
      <c r="R1483" s="15">
        <v>87089500</v>
      </c>
      <c r="S1483" s="15">
        <v>15</v>
      </c>
      <c r="T1483" s="19" t="s">
        <v>202</v>
      </c>
      <c r="U1483" s="19" t="s">
        <v>200</v>
      </c>
      <c r="V1483" s="16">
        <f t="shared" si="284"/>
        <v>403143.90600000002</v>
      </c>
      <c r="W1483" s="16">
        <f t="shared" si="285"/>
        <v>40314.390600000006</v>
      </c>
      <c r="X1483" s="16">
        <f t="shared" si="286"/>
        <v>443458.2966</v>
      </c>
      <c r="Y1483" s="16">
        <f t="shared" si="287"/>
        <v>42.771826446759256</v>
      </c>
      <c r="Z1483" s="16">
        <f t="shared" si="288"/>
        <v>259.22319058641978</v>
      </c>
      <c r="AA1483" s="17">
        <f t="shared" si="289"/>
        <v>10368</v>
      </c>
      <c r="AB1483" s="10">
        <v>4936</v>
      </c>
      <c r="AC1483" s="18">
        <f t="shared" si="282"/>
        <v>211121.73534120369</v>
      </c>
      <c r="AD1483" s="12">
        <f t="shared" si="281"/>
        <v>9872</v>
      </c>
      <c r="AE1483" s="13">
        <f t="shared" si="290"/>
        <v>496</v>
      </c>
    </row>
    <row r="1484" spans="1:31">
      <c r="A1484" s="6">
        <v>15</v>
      </c>
      <c r="B1484" s="6">
        <f t="shared" si="280"/>
        <v>9</v>
      </c>
      <c r="C1484" s="6" t="str">
        <f t="shared" si="283"/>
        <v>649421000AAB INFLATOR, ASP-5.1, P20, SRR, IMI, SERV, NO STUDS97125144530913824</v>
      </c>
      <c r="D1484" s="7" t="s">
        <v>394</v>
      </c>
      <c r="E1484" s="6" t="s">
        <v>56</v>
      </c>
      <c r="F1484" s="6"/>
      <c r="G1484" s="7" t="s">
        <v>245</v>
      </c>
      <c r="H1484" s="19"/>
      <c r="I1484" s="19"/>
      <c r="J1484" s="19"/>
      <c r="K1484" s="19"/>
      <c r="L1484" s="14">
        <v>9712514</v>
      </c>
      <c r="M1484" s="22">
        <v>45309</v>
      </c>
      <c r="N1484" s="19" t="s">
        <v>197</v>
      </c>
      <c r="O1484" s="19" t="s">
        <v>333</v>
      </c>
      <c r="P1484" s="15">
        <v>13824</v>
      </c>
      <c r="Q1484" s="15">
        <v>2091482.84</v>
      </c>
      <c r="R1484" s="15">
        <v>87089500</v>
      </c>
      <c r="S1484" s="15">
        <v>15</v>
      </c>
      <c r="T1484" s="19" t="s">
        <v>380</v>
      </c>
      <c r="U1484" s="19" t="s">
        <v>200</v>
      </c>
      <c r="V1484" s="16">
        <f t="shared" si="284"/>
        <v>313722.42599999998</v>
      </c>
      <c r="W1484" s="16">
        <f t="shared" si="285"/>
        <v>31372.242599999998</v>
      </c>
      <c r="X1484" s="16">
        <f t="shared" si="286"/>
        <v>345094.66859999998</v>
      </c>
      <c r="Y1484" s="16">
        <f t="shared" si="287"/>
        <v>24.963445355902778</v>
      </c>
      <c r="Z1484" s="16">
        <f t="shared" si="288"/>
        <v>151.29360821759261</v>
      </c>
      <c r="AA1484" s="17">
        <f t="shared" si="289"/>
        <v>13824</v>
      </c>
      <c r="AB1484" s="10">
        <v>3264</v>
      </c>
      <c r="AC1484" s="18">
        <f t="shared" si="282"/>
        <v>81480.685641666671</v>
      </c>
      <c r="AD1484" s="12">
        <f t="shared" si="281"/>
        <v>11712</v>
      </c>
      <c r="AE1484" s="13">
        <f t="shared" si="290"/>
        <v>2112</v>
      </c>
    </row>
    <row r="1485" spans="1:31">
      <c r="A1485" s="6">
        <v>15</v>
      </c>
      <c r="B1485" s="6">
        <f t="shared" si="280"/>
        <v>10</v>
      </c>
      <c r="C1485" s="6" t="str">
        <f t="shared" si="283"/>
        <v>566253211EADAPTER, CAR SENS, RETRA ALL VERSIONS390969644984216000</v>
      </c>
      <c r="D1485" s="7" t="s">
        <v>394</v>
      </c>
      <c r="E1485" s="6" t="s">
        <v>58</v>
      </c>
      <c r="F1485" s="6"/>
      <c r="G1485" s="7" t="s">
        <v>18</v>
      </c>
      <c r="H1485" s="19"/>
      <c r="I1485" s="19"/>
      <c r="J1485" s="19"/>
      <c r="K1485" s="19"/>
      <c r="L1485" s="14">
        <v>3909696</v>
      </c>
      <c r="M1485" s="22">
        <v>44984</v>
      </c>
      <c r="N1485" s="19" t="s">
        <v>199</v>
      </c>
      <c r="O1485" s="19" t="s">
        <v>332</v>
      </c>
      <c r="P1485" s="15">
        <v>216000</v>
      </c>
      <c r="Q1485" s="15">
        <v>549354.86</v>
      </c>
      <c r="R1485" s="15">
        <v>87082900</v>
      </c>
      <c r="S1485" s="15">
        <v>15</v>
      </c>
      <c r="T1485" s="19" t="s">
        <v>308</v>
      </c>
      <c r="U1485" s="19" t="s">
        <v>178</v>
      </c>
      <c r="V1485" s="16">
        <f t="shared" si="284"/>
        <v>82403.228999999992</v>
      </c>
      <c r="W1485" s="16">
        <f t="shared" si="285"/>
        <v>8240.3228999999992</v>
      </c>
      <c r="X1485" s="16">
        <f t="shared" si="286"/>
        <v>90643.551899999991</v>
      </c>
      <c r="Y1485" s="16">
        <f t="shared" si="287"/>
        <v>0.41964607361111106</v>
      </c>
      <c r="Z1485" s="16">
        <f t="shared" si="288"/>
        <v>2.5433095370370369</v>
      </c>
      <c r="AA1485" s="17">
        <f t="shared" si="289"/>
        <v>216000</v>
      </c>
      <c r="AB1485" s="10">
        <v>3552</v>
      </c>
      <c r="AC1485" s="18">
        <f t="shared" si="282"/>
        <v>1490.5828534666664</v>
      </c>
      <c r="AD1485" s="12">
        <f t="shared" si="281"/>
        <v>86652</v>
      </c>
      <c r="AE1485" s="13">
        <f t="shared" si="290"/>
        <v>129348</v>
      </c>
    </row>
    <row r="1486" spans="1:31">
      <c r="A1486" s="6">
        <v>15</v>
      </c>
      <c r="B1486" s="6">
        <f t="shared" si="280"/>
        <v>11</v>
      </c>
      <c r="C1486" s="6" t="str">
        <f t="shared" si="283"/>
        <v>632154400AADHESIVE, PAD 40785224493620000</v>
      </c>
      <c r="D1486" s="7" t="s">
        <v>394</v>
      </c>
      <c r="E1486" s="6" t="s">
        <v>79</v>
      </c>
      <c r="F1486" s="6"/>
      <c r="G1486" s="7" t="s">
        <v>39</v>
      </c>
      <c r="H1486" s="19"/>
      <c r="I1486" s="19"/>
      <c r="J1486" s="19"/>
      <c r="K1486" s="19"/>
      <c r="L1486" s="14">
        <v>4078522</v>
      </c>
      <c r="M1486" s="22">
        <v>44936</v>
      </c>
      <c r="N1486" s="19" t="s">
        <v>196</v>
      </c>
      <c r="O1486" s="19" t="s">
        <v>333</v>
      </c>
      <c r="P1486" s="15">
        <v>20000</v>
      </c>
      <c r="Q1486" s="15">
        <v>66978.789999999994</v>
      </c>
      <c r="R1486" s="15">
        <v>87082900</v>
      </c>
      <c r="S1486" s="15">
        <v>15</v>
      </c>
      <c r="T1486" s="19" t="s">
        <v>201</v>
      </c>
      <c r="U1486" s="19" t="s">
        <v>178</v>
      </c>
      <c r="V1486" s="16">
        <f t="shared" si="284"/>
        <v>10046.818499999999</v>
      </c>
      <c r="W1486" s="16">
        <f t="shared" si="285"/>
        <v>1004.6818499999999</v>
      </c>
      <c r="X1486" s="16">
        <f t="shared" si="286"/>
        <v>11051.500349999998</v>
      </c>
      <c r="Y1486" s="16">
        <f t="shared" si="287"/>
        <v>0.55257501749999993</v>
      </c>
      <c r="Z1486" s="16">
        <f t="shared" si="288"/>
        <v>3.3489394999999997</v>
      </c>
      <c r="AA1486" s="17">
        <f t="shared" si="289"/>
        <v>20000</v>
      </c>
      <c r="AB1486" s="10">
        <v>3552</v>
      </c>
      <c r="AC1486" s="18">
        <f t="shared" si="282"/>
        <v>1962.7464621599997</v>
      </c>
      <c r="AD1486" s="12">
        <f t="shared" si="281"/>
        <v>18136</v>
      </c>
      <c r="AE1486" s="13">
        <f t="shared" si="290"/>
        <v>1864</v>
      </c>
    </row>
    <row r="1487" spans="1:31">
      <c r="A1487" s="6">
        <v>15</v>
      </c>
      <c r="B1487" s="6">
        <f t="shared" si="280"/>
        <v>12</v>
      </c>
      <c r="C1487" s="6" t="str">
        <f t="shared" si="283"/>
        <v>618470500EBEARING, CAR SENS, RETRA All Versions, Noise redu717838944902100800</v>
      </c>
      <c r="D1487" s="7" t="s">
        <v>394</v>
      </c>
      <c r="E1487" s="6" t="s">
        <v>68</v>
      </c>
      <c r="F1487" s="6"/>
      <c r="G1487" s="7" t="s">
        <v>28</v>
      </c>
      <c r="H1487" s="19"/>
      <c r="I1487" s="19"/>
      <c r="J1487" s="19"/>
      <c r="K1487" s="19"/>
      <c r="L1487" s="14">
        <v>7178389</v>
      </c>
      <c r="M1487" s="22">
        <v>44902</v>
      </c>
      <c r="N1487" s="19" t="s">
        <v>185</v>
      </c>
      <c r="O1487" s="19" t="s">
        <v>332</v>
      </c>
      <c r="P1487" s="15">
        <v>100800</v>
      </c>
      <c r="Q1487" s="15">
        <v>397158.13</v>
      </c>
      <c r="R1487" s="15">
        <v>87082900</v>
      </c>
      <c r="S1487" s="15">
        <v>15</v>
      </c>
      <c r="T1487" s="19" t="s">
        <v>315</v>
      </c>
      <c r="U1487" s="19" t="s">
        <v>178</v>
      </c>
      <c r="V1487" s="16">
        <f t="shared" si="284"/>
        <v>59573.719499999999</v>
      </c>
      <c r="W1487" s="16">
        <f t="shared" si="285"/>
        <v>5957.3719500000007</v>
      </c>
      <c r="X1487" s="16">
        <f t="shared" si="286"/>
        <v>65531.09145</v>
      </c>
      <c r="Y1487" s="16">
        <f t="shared" si="287"/>
        <v>0.65011003422619051</v>
      </c>
      <c r="Z1487" s="16">
        <f t="shared" si="288"/>
        <v>3.9400608134920634</v>
      </c>
      <c r="AA1487" s="17">
        <f t="shared" si="289"/>
        <v>100800</v>
      </c>
      <c r="AB1487" s="10">
        <v>3552</v>
      </c>
      <c r="AC1487" s="18">
        <f t="shared" si="282"/>
        <v>2309.1908415714288</v>
      </c>
      <c r="AD1487" s="12">
        <f t="shared" si="281"/>
        <v>31068</v>
      </c>
      <c r="AE1487" s="13">
        <f t="shared" si="290"/>
        <v>69732</v>
      </c>
    </row>
    <row r="1488" spans="1:31">
      <c r="A1488" s="6">
        <v>15</v>
      </c>
      <c r="B1488" s="6">
        <f t="shared" ref="B1488:B1551" si="291">B1487+1</f>
        <v>13</v>
      </c>
      <c r="C1488" s="6" t="str">
        <f t="shared" si="283"/>
        <v>601256700GBUSH, RETRACTOR, R27, AL ALL VERSIONS405080544944160000</v>
      </c>
      <c r="D1488" s="7" t="s">
        <v>394</v>
      </c>
      <c r="E1488" s="6" t="s">
        <v>62</v>
      </c>
      <c r="F1488" s="6"/>
      <c r="G1488" s="7" t="s">
        <v>22</v>
      </c>
      <c r="H1488" s="19"/>
      <c r="I1488" s="19"/>
      <c r="J1488" s="19"/>
      <c r="K1488" s="19"/>
      <c r="L1488" s="14">
        <v>4050805</v>
      </c>
      <c r="M1488" s="22">
        <v>44944</v>
      </c>
      <c r="N1488" s="19" t="s">
        <v>196</v>
      </c>
      <c r="O1488" s="19" t="s">
        <v>333</v>
      </c>
      <c r="P1488" s="15">
        <v>160000</v>
      </c>
      <c r="Q1488" s="15">
        <v>278597.26</v>
      </c>
      <c r="R1488" s="15">
        <v>87082900</v>
      </c>
      <c r="S1488" s="15">
        <v>15</v>
      </c>
      <c r="T1488" s="19" t="s">
        <v>312</v>
      </c>
      <c r="U1488" s="19" t="s">
        <v>178</v>
      </c>
      <c r="V1488" s="16">
        <f t="shared" si="284"/>
        <v>41789.589</v>
      </c>
      <c r="W1488" s="16">
        <f t="shared" si="285"/>
        <v>4178.9589000000005</v>
      </c>
      <c r="X1488" s="16">
        <f t="shared" si="286"/>
        <v>45968.547899999998</v>
      </c>
      <c r="Y1488" s="16">
        <f t="shared" si="287"/>
        <v>0.287303424375</v>
      </c>
      <c r="Z1488" s="16">
        <f t="shared" si="288"/>
        <v>1.7412328750000001</v>
      </c>
      <c r="AA1488" s="17">
        <f t="shared" si="289"/>
        <v>160000</v>
      </c>
      <c r="AB1488" s="10">
        <v>3552</v>
      </c>
      <c r="AC1488" s="18">
        <f t="shared" si="282"/>
        <v>1020.5017633800001</v>
      </c>
      <c r="AD1488" s="12">
        <f t="shared" si="281"/>
        <v>86652</v>
      </c>
      <c r="AE1488" s="13">
        <f t="shared" si="290"/>
        <v>73348</v>
      </c>
    </row>
    <row r="1489" spans="1:31">
      <c r="A1489" s="6">
        <v>15</v>
      </c>
      <c r="B1489" s="6">
        <f t="shared" si="291"/>
        <v>14</v>
      </c>
      <c r="C1489" s="6" t="str">
        <f t="shared" si="283"/>
        <v>560050622CCHANNEL, BUCKLE, K12 ROA K12A/AT, RIVET BUCKLE, S505596944994224000</v>
      </c>
      <c r="D1489" s="7" t="s">
        <v>394</v>
      </c>
      <c r="E1489" s="6" t="s">
        <v>72</v>
      </c>
      <c r="F1489" s="6"/>
      <c r="G1489" s="7" t="s">
        <v>32</v>
      </c>
      <c r="H1489" s="19"/>
      <c r="I1489" s="19"/>
      <c r="J1489" s="19"/>
      <c r="K1489" s="19"/>
      <c r="L1489" s="14">
        <v>5055969</v>
      </c>
      <c r="M1489" s="22">
        <v>44994</v>
      </c>
      <c r="N1489" s="19" t="s">
        <v>197</v>
      </c>
      <c r="O1489" s="19" t="s">
        <v>333</v>
      </c>
      <c r="P1489" s="15">
        <v>224000</v>
      </c>
      <c r="Q1489" s="15">
        <v>3980591.44</v>
      </c>
      <c r="R1489" s="15">
        <v>87082900</v>
      </c>
      <c r="S1489" s="15">
        <v>15</v>
      </c>
      <c r="T1489" s="19" t="s">
        <v>318</v>
      </c>
      <c r="U1489" s="19" t="s">
        <v>178</v>
      </c>
      <c r="V1489" s="16">
        <f t="shared" si="284"/>
        <v>597088.71600000001</v>
      </c>
      <c r="W1489" s="16">
        <f t="shared" si="285"/>
        <v>59708.871600000006</v>
      </c>
      <c r="X1489" s="16">
        <f t="shared" si="286"/>
        <v>656797.58759999997</v>
      </c>
      <c r="Y1489" s="16">
        <f t="shared" si="287"/>
        <v>2.9321320874999999</v>
      </c>
      <c r="Z1489" s="16">
        <f t="shared" si="288"/>
        <v>17.770497500000001</v>
      </c>
      <c r="AA1489" s="17">
        <f t="shared" si="289"/>
        <v>224000</v>
      </c>
      <c r="AB1489" s="10">
        <v>3360</v>
      </c>
      <c r="AC1489" s="18">
        <f t="shared" si="282"/>
        <v>9851.9638139999988</v>
      </c>
      <c r="AD1489" s="12">
        <f t="shared" si="281"/>
        <v>67232</v>
      </c>
      <c r="AE1489" s="13">
        <f t="shared" si="290"/>
        <v>156768</v>
      </c>
    </row>
    <row r="1490" spans="1:31">
      <c r="A1490" s="6">
        <v>15</v>
      </c>
      <c r="B1490" s="6">
        <f t="shared" si="291"/>
        <v>15</v>
      </c>
      <c r="C1490" s="6" t="str">
        <f t="shared" si="283"/>
        <v>601487200CCOVER, RETRACTOR, R27, S SYSTEMKAPPE DELRIN 100T43274964495048000</v>
      </c>
      <c r="D1490" s="7" t="s">
        <v>394</v>
      </c>
      <c r="E1490" s="6" t="s">
        <v>64</v>
      </c>
      <c r="F1490" s="6"/>
      <c r="G1490" s="7" t="s">
        <v>24</v>
      </c>
      <c r="H1490" s="19"/>
      <c r="I1490" s="19"/>
      <c r="J1490" s="19"/>
      <c r="K1490" s="19"/>
      <c r="L1490" s="14">
        <v>4327496</v>
      </c>
      <c r="M1490" s="22">
        <v>44950</v>
      </c>
      <c r="N1490" s="19" t="s">
        <v>199</v>
      </c>
      <c r="O1490" s="19" t="s">
        <v>332</v>
      </c>
      <c r="P1490" s="15">
        <v>48000</v>
      </c>
      <c r="Q1490" s="15">
        <v>514349.16</v>
      </c>
      <c r="R1490" s="15">
        <v>87082900</v>
      </c>
      <c r="S1490" s="15">
        <v>15</v>
      </c>
      <c r="T1490" s="19" t="s">
        <v>307</v>
      </c>
      <c r="U1490" s="19" t="s">
        <v>178</v>
      </c>
      <c r="V1490" s="16">
        <f t="shared" si="284"/>
        <v>77152.373999999996</v>
      </c>
      <c r="W1490" s="16">
        <f t="shared" si="285"/>
        <v>7715.2374</v>
      </c>
      <c r="X1490" s="16">
        <f t="shared" si="286"/>
        <v>84867.611399999994</v>
      </c>
      <c r="Y1490" s="16">
        <f t="shared" si="287"/>
        <v>1.7680752375</v>
      </c>
      <c r="Z1490" s="16">
        <f t="shared" si="288"/>
        <v>10.715607499999999</v>
      </c>
      <c r="AA1490" s="17">
        <f t="shared" si="289"/>
        <v>48000</v>
      </c>
      <c r="AB1490" s="10">
        <v>1980</v>
      </c>
      <c r="AC1490" s="18">
        <f t="shared" si="282"/>
        <v>3500.7889702499997</v>
      </c>
      <c r="AD1490" s="12">
        <f t="shared" si="281"/>
        <v>47964</v>
      </c>
      <c r="AE1490" s="13">
        <f t="shared" si="290"/>
        <v>36</v>
      </c>
    </row>
    <row r="1491" spans="1:31">
      <c r="A1491" s="6">
        <v>15</v>
      </c>
      <c r="B1491" s="6">
        <f t="shared" si="291"/>
        <v>16</v>
      </c>
      <c r="C1491" s="6" t="str">
        <f t="shared" si="283"/>
        <v>654590900ACUSHION COMPONENTS405087744931900</v>
      </c>
      <c r="D1491" s="7" t="s">
        <v>394</v>
      </c>
      <c r="E1491" s="6" t="s">
        <v>471</v>
      </c>
      <c r="F1491" s="6"/>
      <c r="G1491" s="7" t="s">
        <v>236</v>
      </c>
      <c r="H1491" s="19"/>
      <c r="I1491" s="19"/>
      <c r="J1491" s="19"/>
      <c r="K1491" s="19"/>
      <c r="L1491" s="14">
        <v>4050877</v>
      </c>
      <c r="M1491" s="22">
        <v>44931</v>
      </c>
      <c r="N1491" s="19" t="s">
        <v>196</v>
      </c>
      <c r="O1491" s="19" t="s">
        <v>333</v>
      </c>
      <c r="P1491" s="15">
        <v>900</v>
      </c>
      <c r="Q1491" s="15">
        <v>12480.19</v>
      </c>
      <c r="R1491" s="15">
        <v>87089500</v>
      </c>
      <c r="S1491" s="15">
        <v>15</v>
      </c>
      <c r="T1491" s="19" t="s">
        <v>338</v>
      </c>
      <c r="U1491" s="19" t="s">
        <v>178</v>
      </c>
      <c r="V1491" s="16">
        <f t="shared" si="284"/>
        <v>1872.0284999999999</v>
      </c>
      <c r="W1491" s="16">
        <f t="shared" si="285"/>
        <v>187.20285000000001</v>
      </c>
      <c r="X1491" s="16">
        <f t="shared" si="286"/>
        <v>2059.23135</v>
      </c>
      <c r="Y1491" s="16">
        <f t="shared" si="287"/>
        <v>2.2880348333333336</v>
      </c>
      <c r="Z1491" s="16">
        <f t="shared" si="288"/>
        <v>13.866877777777779</v>
      </c>
      <c r="AA1491" s="17">
        <f t="shared" si="289"/>
        <v>900</v>
      </c>
      <c r="AB1491" s="10">
        <v>240</v>
      </c>
      <c r="AC1491" s="18">
        <f t="shared" si="282"/>
        <v>549.12836000000004</v>
      </c>
      <c r="AD1491" s="12">
        <f t="shared" si="281"/>
        <v>816</v>
      </c>
      <c r="AE1491" s="13">
        <f t="shared" si="290"/>
        <v>84</v>
      </c>
    </row>
    <row r="1492" spans="1:31">
      <c r="A1492" s="6">
        <v>15</v>
      </c>
      <c r="B1492" s="6">
        <f t="shared" si="291"/>
        <v>17</v>
      </c>
      <c r="C1492" s="6" t="str">
        <f t="shared" si="283"/>
        <v>654590800ACUSHION COMPONENTS CVR NON-WOVEN RH SU2ID9128565447273600</v>
      </c>
      <c r="D1492" s="7" t="s">
        <v>394</v>
      </c>
      <c r="E1492" s="6" t="s">
        <v>480</v>
      </c>
      <c r="F1492" s="6"/>
      <c r="G1492" s="7" t="s">
        <v>396</v>
      </c>
      <c r="H1492" s="19"/>
      <c r="I1492" s="19"/>
      <c r="J1492" s="19"/>
      <c r="K1492" s="19"/>
      <c r="L1492" s="14">
        <v>9128565</v>
      </c>
      <c r="M1492" s="22">
        <v>44727</v>
      </c>
      <c r="N1492" s="19" t="s">
        <v>196</v>
      </c>
      <c r="O1492" s="19" t="s">
        <v>333</v>
      </c>
      <c r="P1492" s="15">
        <v>3600</v>
      </c>
      <c r="Q1492" s="15">
        <v>51213.09</v>
      </c>
      <c r="R1492" s="15">
        <v>87089500</v>
      </c>
      <c r="S1492" s="15">
        <v>15</v>
      </c>
      <c r="T1492" s="19" t="s">
        <v>347</v>
      </c>
      <c r="U1492" s="19" t="s">
        <v>178</v>
      </c>
      <c r="V1492" s="16">
        <f t="shared" si="284"/>
        <v>7681.9634999999989</v>
      </c>
      <c r="W1492" s="16">
        <f t="shared" si="285"/>
        <v>768.19634999999994</v>
      </c>
      <c r="X1492" s="16">
        <f t="shared" si="286"/>
        <v>8450.1598499999982</v>
      </c>
      <c r="Y1492" s="16">
        <f t="shared" si="287"/>
        <v>2.3472666249999996</v>
      </c>
      <c r="Z1492" s="16">
        <f t="shared" si="288"/>
        <v>14.225858333333333</v>
      </c>
      <c r="AA1492" s="17">
        <f t="shared" si="289"/>
        <v>3600</v>
      </c>
      <c r="AB1492" s="10">
        <v>1344</v>
      </c>
      <c r="AC1492" s="18">
        <f t="shared" si="282"/>
        <v>3154.7263439999997</v>
      </c>
      <c r="AD1492" s="12">
        <f t="shared" si="281"/>
        <v>3160</v>
      </c>
      <c r="AE1492" s="13">
        <f t="shared" si="290"/>
        <v>440</v>
      </c>
    </row>
    <row r="1493" spans="1:31">
      <c r="A1493" s="6">
        <v>15</v>
      </c>
      <c r="B1493" s="6">
        <f t="shared" si="291"/>
        <v>18</v>
      </c>
      <c r="C1493" s="6" t="str">
        <f t="shared" si="283"/>
        <v>655226900AINFLATOR APP-4.6, 325KPA 1.8MOL, STANDARD MIB SQU2407773453558640</v>
      </c>
      <c r="D1493" s="7" t="s">
        <v>394</v>
      </c>
      <c r="E1493" s="6" t="s">
        <v>130</v>
      </c>
      <c r="F1493" s="6"/>
      <c r="G1493" s="7" t="s">
        <v>102</v>
      </c>
      <c r="H1493" s="19"/>
      <c r="I1493" s="19"/>
      <c r="J1493" s="19"/>
      <c r="K1493" s="19"/>
      <c r="L1493" s="14">
        <v>2407773</v>
      </c>
      <c r="M1493" s="22">
        <v>45355</v>
      </c>
      <c r="N1493" s="19" t="s">
        <v>197</v>
      </c>
      <c r="O1493" s="19" t="s">
        <v>333</v>
      </c>
      <c r="P1493" s="15">
        <v>8640</v>
      </c>
      <c r="Q1493" s="15">
        <v>3583311.25</v>
      </c>
      <c r="R1493" s="15">
        <v>87089500</v>
      </c>
      <c r="S1493" s="15">
        <v>15</v>
      </c>
      <c r="T1493" s="19" t="s">
        <v>381</v>
      </c>
      <c r="U1493" s="19" t="s">
        <v>200</v>
      </c>
      <c r="V1493" s="16">
        <f t="shared" si="284"/>
        <v>537496.6875</v>
      </c>
      <c r="W1493" s="16">
        <f t="shared" si="285"/>
        <v>53749.668750000004</v>
      </c>
      <c r="X1493" s="16">
        <f t="shared" si="286"/>
        <v>591246.35624999995</v>
      </c>
      <c r="Y1493" s="16">
        <f t="shared" si="287"/>
        <v>68.431291232638884</v>
      </c>
      <c r="Z1493" s="16">
        <f t="shared" si="288"/>
        <v>414.73509837962962</v>
      </c>
      <c r="AA1493" s="17">
        <f t="shared" si="289"/>
        <v>8640</v>
      </c>
      <c r="AB1493" s="10">
        <v>4857</v>
      </c>
      <c r="AC1493" s="18">
        <f t="shared" si="282"/>
        <v>332370.78151692706</v>
      </c>
      <c r="AD1493" s="12">
        <f t="shared" si="281"/>
        <v>7809</v>
      </c>
      <c r="AE1493" s="13">
        <f t="shared" si="290"/>
        <v>831</v>
      </c>
    </row>
    <row r="1494" spans="1:31">
      <c r="A1494" s="6">
        <v>15</v>
      </c>
      <c r="B1494" s="6">
        <f t="shared" si="291"/>
        <v>19</v>
      </c>
      <c r="C1494" s="6" t="str">
        <f t="shared" si="283"/>
        <v>643302000AINFLATOR, ADP-1.3B, MP, MIB, SQUARE, NO STUD94867304529219872</v>
      </c>
      <c r="D1494" s="7" t="s">
        <v>394</v>
      </c>
      <c r="E1494" s="6" t="s">
        <v>46</v>
      </c>
      <c r="F1494" s="6"/>
      <c r="G1494" s="7" t="s">
        <v>8</v>
      </c>
      <c r="H1494" s="19"/>
      <c r="I1494" s="19"/>
      <c r="J1494" s="19"/>
      <c r="K1494" s="19"/>
      <c r="L1494" s="14">
        <v>9486730</v>
      </c>
      <c r="M1494" s="22">
        <v>45292</v>
      </c>
      <c r="N1494" s="19" t="s">
        <v>197</v>
      </c>
      <c r="O1494" s="19" t="s">
        <v>333</v>
      </c>
      <c r="P1494" s="15">
        <v>19872</v>
      </c>
      <c r="Q1494" s="15">
        <v>5160310.24</v>
      </c>
      <c r="R1494" s="15">
        <v>87089500</v>
      </c>
      <c r="S1494" s="15">
        <v>15</v>
      </c>
      <c r="T1494" s="19" t="s">
        <v>202</v>
      </c>
      <c r="U1494" s="19" t="s">
        <v>178</v>
      </c>
      <c r="V1494" s="16">
        <f t="shared" si="284"/>
        <v>774046.53599999996</v>
      </c>
      <c r="W1494" s="16">
        <f t="shared" si="285"/>
        <v>77404.653600000005</v>
      </c>
      <c r="X1494" s="16">
        <f t="shared" si="286"/>
        <v>851451.18959999993</v>
      </c>
      <c r="Y1494" s="16">
        <f t="shared" si="287"/>
        <v>42.846778864734297</v>
      </c>
      <c r="Z1494" s="16">
        <f t="shared" si="288"/>
        <v>259.67744766505638</v>
      </c>
      <c r="AA1494" s="17">
        <f t="shared" si="289"/>
        <v>19872</v>
      </c>
      <c r="AB1494" s="10">
        <v>5280</v>
      </c>
      <c r="AC1494" s="18">
        <f t="shared" si="282"/>
        <v>226230.99240579709</v>
      </c>
      <c r="AD1494" s="12">
        <f t="shared" si="281"/>
        <v>19872</v>
      </c>
      <c r="AE1494" s="13">
        <f t="shared" si="290"/>
        <v>0</v>
      </c>
    </row>
    <row r="1495" spans="1:31">
      <c r="A1495" s="6">
        <v>15</v>
      </c>
      <c r="B1495" s="6">
        <f t="shared" si="291"/>
        <v>20</v>
      </c>
      <c r="C1495" s="6" t="str">
        <f t="shared" si="283"/>
        <v>655116100ALABEL, BLANK, 50.0, 25.0  LABEL, BLANK, 2PCS, 50X98316604531630000</v>
      </c>
      <c r="D1495" s="7" t="s">
        <v>394</v>
      </c>
      <c r="E1495" s="6" t="s">
        <v>49</v>
      </c>
      <c r="F1495" s="6"/>
      <c r="G1495" s="7" t="s">
        <v>11</v>
      </c>
      <c r="H1495" s="19"/>
      <c r="I1495" s="19"/>
      <c r="J1495" s="19"/>
      <c r="K1495" s="19"/>
      <c r="L1495" s="14">
        <v>9831660</v>
      </c>
      <c r="M1495" s="22">
        <v>45316</v>
      </c>
      <c r="N1495" s="19" t="s">
        <v>196</v>
      </c>
      <c r="O1495" s="19" t="s">
        <v>333</v>
      </c>
      <c r="P1495" s="15">
        <v>30000</v>
      </c>
      <c r="Q1495" s="15">
        <v>87652.89</v>
      </c>
      <c r="R1495" s="15">
        <v>87089500</v>
      </c>
      <c r="S1495" s="15">
        <v>15</v>
      </c>
      <c r="T1495" s="19" t="s">
        <v>303</v>
      </c>
      <c r="U1495" s="19" t="s">
        <v>178</v>
      </c>
      <c r="V1495" s="16">
        <f t="shared" si="284"/>
        <v>13147.933499999999</v>
      </c>
      <c r="W1495" s="16">
        <f t="shared" si="285"/>
        <v>1314.7933499999999</v>
      </c>
      <c r="X1495" s="16">
        <f t="shared" si="286"/>
        <v>14462.726849999999</v>
      </c>
      <c r="Y1495" s="16">
        <f t="shared" si="287"/>
        <v>0.48209089499999996</v>
      </c>
      <c r="Z1495" s="16">
        <f t="shared" si="288"/>
        <v>2.9217629999999999</v>
      </c>
      <c r="AA1495" s="17">
        <f t="shared" si="289"/>
        <v>30000</v>
      </c>
      <c r="AB1495" s="10">
        <v>6201</v>
      </c>
      <c r="AC1495" s="18">
        <f t="shared" si="282"/>
        <v>2989.4456398949997</v>
      </c>
      <c r="AD1495" s="12">
        <f t="shared" si="281"/>
        <v>24771</v>
      </c>
      <c r="AE1495" s="13">
        <f t="shared" si="290"/>
        <v>5229</v>
      </c>
    </row>
    <row r="1496" spans="1:31">
      <c r="A1496" s="6">
        <v>15</v>
      </c>
      <c r="B1496" s="6">
        <f t="shared" si="291"/>
        <v>21</v>
      </c>
      <c r="C1496" s="6" t="str">
        <f t="shared" si="283"/>
        <v>642837500BLABEL, BLANK, BAR CODE953025945295100000</v>
      </c>
      <c r="D1496" s="7" t="s">
        <v>394</v>
      </c>
      <c r="E1496" s="6" t="s">
        <v>478</v>
      </c>
      <c r="F1496" s="6"/>
      <c r="G1496" s="7" t="s">
        <v>369</v>
      </c>
      <c r="H1496" s="19"/>
      <c r="I1496" s="19"/>
      <c r="J1496" s="19"/>
      <c r="K1496" s="19"/>
      <c r="L1496" s="14">
        <v>9530259</v>
      </c>
      <c r="M1496" s="22">
        <v>45295</v>
      </c>
      <c r="N1496" s="19" t="s">
        <v>196</v>
      </c>
      <c r="O1496" s="19" t="s">
        <v>333</v>
      </c>
      <c r="P1496" s="15">
        <v>100000</v>
      </c>
      <c r="Q1496" s="15">
        <v>17096.91</v>
      </c>
      <c r="R1496" s="15">
        <v>87082900</v>
      </c>
      <c r="S1496" s="15">
        <v>15</v>
      </c>
      <c r="T1496" s="19" t="s">
        <v>351</v>
      </c>
      <c r="U1496" s="19" t="s">
        <v>178</v>
      </c>
      <c r="V1496" s="16">
        <f t="shared" si="284"/>
        <v>2564.5364999999997</v>
      </c>
      <c r="W1496" s="16">
        <f t="shared" si="285"/>
        <v>256.45364999999998</v>
      </c>
      <c r="X1496" s="16">
        <f t="shared" si="286"/>
        <v>2820.9901499999996</v>
      </c>
      <c r="Y1496" s="16">
        <f t="shared" si="287"/>
        <v>2.8209901499999995E-2</v>
      </c>
      <c r="Z1496" s="16">
        <f t="shared" si="288"/>
        <v>0.17096909999999998</v>
      </c>
      <c r="AA1496" s="17">
        <f t="shared" si="289"/>
        <v>100000</v>
      </c>
      <c r="AB1496" s="10">
        <v>15906</v>
      </c>
      <c r="AC1496" s="18">
        <f t="shared" si="282"/>
        <v>448.70669325899991</v>
      </c>
      <c r="AD1496" s="12">
        <f t="shared" si="281"/>
        <v>100000</v>
      </c>
      <c r="AE1496" s="13">
        <f t="shared" si="290"/>
        <v>0</v>
      </c>
    </row>
    <row r="1497" spans="1:31">
      <c r="A1497" s="6">
        <v>15</v>
      </c>
      <c r="B1497" s="6">
        <f t="shared" si="291"/>
        <v>22</v>
      </c>
      <c r="C1497" s="6" t="str">
        <f t="shared" si="283"/>
        <v>622408300ALABEL, BLANK, BAR CODE,964466545303100000</v>
      </c>
      <c r="D1497" s="7" t="s">
        <v>394</v>
      </c>
      <c r="E1497" s="6" t="s">
        <v>473</v>
      </c>
      <c r="F1497" s="6"/>
      <c r="G1497" s="7" t="s">
        <v>239</v>
      </c>
      <c r="H1497" s="19"/>
      <c r="I1497" s="19"/>
      <c r="J1497" s="19"/>
      <c r="K1497" s="19"/>
      <c r="L1497" s="14">
        <v>9644665</v>
      </c>
      <c r="M1497" s="22">
        <v>45303</v>
      </c>
      <c r="N1497" s="19" t="s">
        <v>196</v>
      </c>
      <c r="O1497" s="19" t="s">
        <v>333</v>
      </c>
      <c r="P1497" s="15">
        <v>100000</v>
      </c>
      <c r="Q1497" s="15">
        <v>69765.98</v>
      </c>
      <c r="R1497" s="15">
        <v>87089500</v>
      </c>
      <c r="S1497" s="15">
        <v>15</v>
      </c>
      <c r="T1497" s="19" t="s">
        <v>351</v>
      </c>
      <c r="U1497" s="19" t="s">
        <v>178</v>
      </c>
      <c r="V1497" s="16">
        <f t="shared" si="284"/>
        <v>10464.896999999999</v>
      </c>
      <c r="W1497" s="16">
        <f t="shared" si="285"/>
        <v>1046.4896999999999</v>
      </c>
      <c r="X1497" s="16">
        <f t="shared" si="286"/>
        <v>11511.386699999999</v>
      </c>
      <c r="Y1497" s="16">
        <f t="shared" si="287"/>
        <v>0.11511386699999999</v>
      </c>
      <c r="Z1497" s="16">
        <f t="shared" si="288"/>
        <v>0.69765979999999994</v>
      </c>
      <c r="AA1497" s="17">
        <f t="shared" si="289"/>
        <v>100000</v>
      </c>
      <c r="AB1497" s="10">
        <v>9856</v>
      </c>
      <c r="AC1497" s="18">
        <f t="shared" si="282"/>
        <v>1134.562273152</v>
      </c>
      <c r="AD1497" s="12">
        <f t="shared" si="281"/>
        <v>98136</v>
      </c>
      <c r="AE1497" s="13">
        <f t="shared" si="290"/>
        <v>1864</v>
      </c>
    </row>
    <row r="1498" spans="1:31">
      <c r="A1498" s="6">
        <v>15</v>
      </c>
      <c r="B1498" s="6">
        <f t="shared" si="291"/>
        <v>23</v>
      </c>
      <c r="C1498" s="6" t="str">
        <f t="shared" si="283"/>
        <v>630580800ALABEL, RAW MATERIAL, BLA K12 TPC BUCKLE5160585449362400000</v>
      </c>
      <c r="D1498" s="7" t="s">
        <v>394</v>
      </c>
      <c r="E1498" s="6" t="s">
        <v>71</v>
      </c>
      <c r="F1498" s="6"/>
      <c r="G1498" s="7" t="s">
        <v>31</v>
      </c>
      <c r="H1498" s="19"/>
      <c r="I1498" s="19"/>
      <c r="J1498" s="19"/>
      <c r="K1498" s="19"/>
      <c r="L1498" s="14">
        <v>5160585</v>
      </c>
      <c r="M1498" s="22">
        <v>44936</v>
      </c>
      <c r="N1498" s="19" t="s">
        <v>196</v>
      </c>
      <c r="O1498" s="19" t="s">
        <v>333</v>
      </c>
      <c r="P1498" s="15">
        <v>2400000</v>
      </c>
      <c r="Q1498" s="15">
        <v>86522.34</v>
      </c>
      <c r="R1498" s="15">
        <v>87082900</v>
      </c>
      <c r="S1498" s="15">
        <v>15</v>
      </c>
      <c r="T1498" s="19" t="s">
        <v>265</v>
      </c>
      <c r="U1498" s="19" t="s">
        <v>178</v>
      </c>
      <c r="V1498" s="16">
        <f t="shared" si="284"/>
        <v>12978.350999999999</v>
      </c>
      <c r="W1498" s="16">
        <f t="shared" si="285"/>
        <v>1297.8351</v>
      </c>
      <c r="X1498" s="16">
        <f t="shared" si="286"/>
        <v>14276.186099999999</v>
      </c>
      <c r="Y1498" s="16">
        <f t="shared" si="287"/>
        <v>5.9484108749999999E-3</v>
      </c>
      <c r="Z1498" s="16">
        <f t="shared" si="288"/>
        <v>3.6050974999999999E-2</v>
      </c>
      <c r="AA1498" s="17">
        <f t="shared" si="289"/>
        <v>2400000</v>
      </c>
      <c r="AB1498" s="10">
        <v>8592</v>
      </c>
      <c r="AC1498" s="18">
        <f t="shared" si="282"/>
        <v>51.108746238000002</v>
      </c>
      <c r="AD1498" s="12">
        <f t="shared" si="281"/>
        <v>548546</v>
      </c>
      <c r="AE1498" s="13">
        <f t="shared" si="290"/>
        <v>1851454</v>
      </c>
    </row>
    <row r="1499" spans="1:31">
      <c r="A1499" s="6">
        <v>15</v>
      </c>
      <c r="B1499" s="6">
        <f t="shared" si="291"/>
        <v>24</v>
      </c>
      <c r="C1499" s="6" t="str">
        <f t="shared" si="283"/>
        <v>560762022ALATCH, BUCKLE, K12 ROADM K12A/AT, SILVER, LATCH W54569304493980000</v>
      </c>
      <c r="D1499" s="7" t="s">
        <v>394</v>
      </c>
      <c r="E1499" s="6" t="s">
        <v>74</v>
      </c>
      <c r="F1499" s="6"/>
      <c r="G1499" s="7" t="s">
        <v>34</v>
      </c>
      <c r="H1499" s="19"/>
      <c r="I1499" s="19"/>
      <c r="J1499" s="19"/>
      <c r="K1499" s="19"/>
      <c r="L1499" s="14">
        <v>5456930</v>
      </c>
      <c r="M1499" s="22">
        <v>44939</v>
      </c>
      <c r="N1499" s="19" t="s">
        <v>185</v>
      </c>
      <c r="O1499" s="19" t="s">
        <v>332</v>
      </c>
      <c r="P1499" s="15">
        <v>80000</v>
      </c>
      <c r="Q1499" s="15">
        <v>680240</v>
      </c>
      <c r="R1499" s="15">
        <v>87082900</v>
      </c>
      <c r="S1499" s="15">
        <v>15</v>
      </c>
      <c r="T1499" s="19" t="s">
        <v>320</v>
      </c>
      <c r="U1499" s="19" t="s">
        <v>178</v>
      </c>
      <c r="V1499" s="16">
        <f t="shared" si="284"/>
        <v>102036</v>
      </c>
      <c r="W1499" s="16">
        <f t="shared" si="285"/>
        <v>10203.6</v>
      </c>
      <c r="X1499" s="16">
        <f t="shared" si="286"/>
        <v>112239.6</v>
      </c>
      <c r="Y1499" s="16">
        <f t="shared" si="287"/>
        <v>1.402995</v>
      </c>
      <c r="Z1499" s="16">
        <f t="shared" si="288"/>
        <v>8.5030000000000001</v>
      </c>
      <c r="AA1499" s="17">
        <f t="shared" si="289"/>
        <v>80000</v>
      </c>
      <c r="AB1499" s="10">
        <v>3360</v>
      </c>
      <c r="AC1499" s="18">
        <f t="shared" si="282"/>
        <v>4714.0631999999996</v>
      </c>
      <c r="AD1499" s="12">
        <f t="shared" si="281"/>
        <v>74976</v>
      </c>
      <c r="AE1499" s="13">
        <f t="shared" si="290"/>
        <v>5024</v>
      </c>
    </row>
    <row r="1500" spans="1:31">
      <c r="A1500" s="6">
        <v>15</v>
      </c>
      <c r="B1500" s="6">
        <f t="shared" si="291"/>
        <v>25</v>
      </c>
      <c r="C1500" s="6" t="str">
        <f t="shared" si="283"/>
        <v>601472600ALATCH, RETRACTOR, R27, A ALL VERSIONS421598844951162000</v>
      </c>
      <c r="D1500" s="7" t="s">
        <v>394</v>
      </c>
      <c r="E1500" s="6" t="s">
        <v>63</v>
      </c>
      <c r="F1500" s="6"/>
      <c r="G1500" s="7" t="s">
        <v>23</v>
      </c>
      <c r="H1500" s="19"/>
      <c r="I1500" s="19"/>
      <c r="J1500" s="19"/>
      <c r="K1500" s="19"/>
      <c r="L1500" s="14">
        <v>4215988</v>
      </c>
      <c r="M1500" s="22">
        <v>44951</v>
      </c>
      <c r="N1500" s="19" t="s">
        <v>199</v>
      </c>
      <c r="O1500" s="19" t="s">
        <v>332</v>
      </c>
      <c r="P1500" s="15">
        <v>162000</v>
      </c>
      <c r="Q1500" s="15">
        <v>1167023.94</v>
      </c>
      <c r="R1500" s="15">
        <v>87082900</v>
      </c>
      <c r="S1500" s="15">
        <v>15</v>
      </c>
      <c r="T1500" s="19" t="s">
        <v>313</v>
      </c>
      <c r="U1500" s="19" t="s">
        <v>178</v>
      </c>
      <c r="V1500" s="16">
        <f t="shared" si="284"/>
        <v>175053.59099999999</v>
      </c>
      <c r="W1500" s="16">
        <f t="shared" si="285"/>
        <v>17505.359099999998</v>
      </c>
      <c r="X1500" s="16">
        <f t="shared" si="286"/>
        <v>192558.95009999999</v>
      </c>
      <c r="Y1500" s="16">
        <f t="shared" si="287"/>
        <v>1.1886354944444444</v>
      </c>
      <c r="Z1500" s="16">
        <f t="shared" si="288"/>
        <v>7.2038514814814816</v>
      </c>
      <c r="AA1500" s="17">
        <f t="shared" si="289"/>
        <v>162000</v>
      </c>
      <c r="AB1500" s="10">
        <v>3552</v>
      </c>
      <c r="AC1500" s="18">
        <f t="shared" si="282"/>
        <v>4222.0332762666667</v>
      </c>
      <c r="AD1500" s="12">
        <f t="shared" si="281"/>
        <v>86652</v>
      </c>
      <c r="AE1500" s="13">
        <f t="shared" si="290"/>
        <v>75348</v>
      </c>
    </row>
    <row r="1501" spans="1:31">
      <c r="A1501" s="6">
        <v>15</v>
      </c>
      <c r="B1501" s="6">
        <f t="shared" si="291"/>
        <v>26</v>
      </c>
      <c r="C1501" s="6" t="str">
        <f t="shared" si="283"/>
        <v>618472000BLEVER, CAR SENS, RETRACT ALL VERSIONS, NOISE REDU408531144933170000</v>
      </c>
      <c r="D1501" s="7" t="s">
        <v>394</v>
      </c>
      <c r="E1501" s="6" t="s">
        <v>69</v>
      </c>
      <c r="F1501" s="6"/>
      <c r="G1501" s="7" t="s">
        <v>29</v>
      </c>
      <c r="H1501" s="19"/>
      <c r="I1501" s="19"/>
      <c r="J1501" s="19"/>
      <c r="K1501" s="19"/>
      <c r="L1501" s="14">
        <v>4085311</v>
      </c>
      <c r="M1501" s="22">
        <v>44933</v>
      </c>
      <c r="N1501" s="19" t="s">
        <v>196</v>
      </c>
      <c r="O1501" s="19" t="s">
        <v>333</v>
      </c>
      <c r="P1501" s="15">
        <v>170000</v>
      </c>
      <c r="Q1501" s="15">
        <v>247799.42</v>
      </c>
      <c r="R1501" s="15">
        <v>87082900</v>
      </c>
      <c r="S1501" s="15">
        <v>15</v>
      </c>
      <c r="T1501" s="19" t="s">
        <v>316</v>
      </c>
      <c r="U1501" s="19" t="s">
        <v>178</v>
      </c>
      <c r="V1501" s="16">
        <f t="shared" si="284"/>
        <v>37169.913</v>
      </c>
      <c r="W1501" s="16">
        <f t="shared" si="285"/>
        <v>3716.9913000000001</v>
      </c>
      <c r="X1501" s="16">
        <f t="shared" si="286"/>
        <v>40886.904300000002</v>
      </c>
      <c r="Y1501" s="16">
        <f t="shared" si="287"/>
        <v>0.24051120176470589</v>
      </c>
      <c r="Z1501" s="16">
        <f t="shared" si="288"/>
        <v>1.4576436470588237</v>
      </c>
      <c r="AA1501" s="17">
        <f t="shared" si="289"/>
        <v>170000</v>
      </c>
      <c r="AB1501" s="10">
        <v>3552</v>
      </c>
      <c r="AC1501" s="18">
        <f t="shared" si="282"/>
        <v>854.29578866823533</v>
      </c>
      <c r="AD1501" s="12">
        <f t="shared" si="281"/>
        <v>86652</v>
      </c>
      <c r="AE1501" s="13">
        <f t="shared" si="290"/>
        <v>83348</v>
      </c>
    </row>
    <row r="1502" spans="1:31">
      <c r="A1502" s="6">
        <v>15</v>
      </c>
      <c r="B1502" s="6">
        <f t="shared" si="291"/>
        <v>27</v>
      </c>
      <c r="C1502" s="6" t="str">
        <f t="shared" si="283"/>
        <v>600188700BLEVER, WEB SENS, RETRACT ALL VERSIONS421599144956270000</v>
      </c>
      <c r="D1502" s="7" t="s">
        <v>394</v>
      </c>
      <c r="E1502" s="6" t="s">
        <v>60</v>
      </c>
      <c r="F1502" s="6"/>
      <c r="G1502" s="7" t="s">
        <v>20</v>
      </c>
      <c r="H1502" s="19"/>
      <c r="I1502" s="19"/>
      <c r="J1502" s="19"/>
      <c r="K1502" s="19"/>
      <c r="L1502" s="14">
        <v>4215991</v>
      </c>
      <c r="M1502" s="22">
        <v>44956</v>
      </c>
      <c r="N1502" s="19" t="s">
        <v>199</v>
      </c>
      <c r="O1502" s="19" t="s">
        <v>332</v>
      </c>
      <c r="P1502" s="15">
        <v>270000</v>
      </c>
      <c r="Q1502" s="15">
        <v>1513733.76</v>
      </c>
      <c r="R1502" s="15">
        <v>87082900</v>
      </c>
      <c r="S1502" s="15">
        <v>15</v>
      </c>
      <c r="T1502" s="19" t="s">
        <v>310</v>
      </c>
      <c r="U1502" s="19" t="s">
        <v>178</v>
      </c>
      <c r="V1502" s="16">
        <f t="shared" si="284"/>
        <v>227060.06399999998</v>
      </c>
      <c r="W1502" s="16">
        <f t="shared" si="285"/>
        <v>22706.006399999998</v>
      </c>
      <c r="X1502" s="16">
        <f t="shared" si="286"/>
        <v>249766.07039999997</v>
      </c>
      <c r="Y1502" s="16">
        <f t="shared" si="287"/>
        <v>0.92505951999999991</v>
      </c>
      <c r="Z1502" s="16">
        <f t="shared" si="288"/>
        <v>5.6064213333333335</v>
      </c>
      <c r="AA1502" s="17">
        <f t="shared" si="289"/>
        <v>270000</v>
      </c>
      <c r="AB1502" s="10">
        <v>3552</v>
      </c>
      <c r="AC1502" s="18">
        <f t="shared" si="282"/>
        <v>3285.8114150399997</v>
      </c>
      <c r="AD1502" s="12">
        <f t="shared" si="281"/>
        <v>86652</v>
      </c>
      <c r="AE1502" s="13">
        <f t="shared" si="290"/>
        <v>183348</v>
      </c>
    </row>
    <row r="1503" spans="1:31">
      <c r="A1503" s="6">
        <v>15</v>
      </c>
      <c r="B1503" s="6">
        <f t="shared" si="291"/>
        <v>28</v>
      </c>
      <c r="C1503" s="6" t="str">
        <f t="shared" si="283"/>
        <v>604213200ALOCKING BAR, BUCKLE, K12 K12A/AT, L=34.3, silver415111844909306000</v>
      </c>
      <c r="D1503" s="7" t="s">
        <v>394</v>
      </c>
      <c r="E1503" s="6" t="s">
        <v>75</v>
      </c>
      <c r="F1503" s="6"/>
      <c r="G1503" s="7" t="s">
        <v>35</v>
      </c>
      <c r="H1503" s="19"/>
      <c r="I1503" s="19"/>
      <c r="J1503" s="19"/>
      <c r="K1503" s="19"/>
      <c r="L1503" s="14">
        <v>4151118</v>
      </c>
      <c r="M1503" s="22">
        <v>44909</v>
      </c>
      <c r="N1503" s="19" t="s">
        <v>199</v>
      </c>
      <c r="O1503" s="19" t="s">
        <v>332</v>
      </c>
      <c r="P1503" s="15">
        <v>306000</v>
      </c>
      <c r="Q1503" s="15">
        <v>347494.89</v>
      </c>
      <c r="R1503" s="15">
        <v>87082900</v>
      </c>
      <c r="S1503" s="15">
        <v>15</v>
      </c>
      <c r="T1503" s="19" t="s">
        <v>319</v>
      </c>
      <c r="U1503" s="19" t="s">
        <v>178</v>
      </c>
      <c r="V1503" s="16">
        <f t="shared" si="284"/>
        <v>52124.233500000002</v>
      </c>
      <c r="W1503" s="16">
        <f t="shared" si="285"/>
        <v>5212.4233500000009</v>
      </c>
      <c r="X1503" s="16">
        <f t="shared" si="286"/>
        <v>57336.656849999999</v>
      </c>
      <c r="Y1503" s="16">
        <f t="shared" si="287"/>
        <v>0.1873746955882353</v>
      </c>
      <c r="Z1503" s="16">
        <f t="shared" si="288"/>
        <v>1.1356042156862745</v>
      </c>
      <c r="AA1503" s="17">
        <f t="shared" si="289"/>
        <v>306000</v>
      </c>
      <c r="AB1503" s="10">
        <v>3360</v>
      </c>
      <c r="AC1503" s="18">
        <f t="shared" si="282"/>
        <v>629.57897717647063</v>
      </c>
      <c r="AD1503" s="12">
        <f t="shared" ref="AD1503:AD1566" si="292">SUMIF($C$2:$C$2284,C1503,$AB$2:$AB$2284)</f>
        <v>94048</v>
      </c>
      <c r="AE1503" s="13">
        <f t="shared" si="290"/>
        <v>211952</v>
      </c>
    </row>
    <row r="1504" spans="1:31">
      <c r="A1504" s="6">
        <v>15</v>
      </c>
      <c r="B1504" s="6">
        <f t="shared" si="291"/>
        <v>29</v>
      </c>
      <c r="C1504" s="6" t="str">
        <f t="shared" si="283"/>
        <v>618472300CMASS, CAR SENS, RETRACTO ALL VERSIONS, CAR 2-PIN406183045012209560</v>
      </c>
      <c r="D1504" s="7" t="s">
        <v>394</v>
      </c>
      <c r="E1504" s="6" t="s">
        <v>70</v>
      </c>
      <c r="F1504" s="6"/>
      <c r="G1504" s="7" t="s">
        <v>30</v>
      </c>
      <c r="H1504" s="19"/>
      <c r="I1504" s="19"/>
      <c r="J1504" s="19"/>
      <c r="K1504" s="19"/>
      <c r="L1504" s="14">
        <v>4061830</v>
      </c>
      <c r="M1504" s="22">
        <v>45012</v>
      </c>
      <c r="N1504" s="19" t="s">
        <v>196</v>
      </c>
      <c r="O1504" s="19" t="s">
        <v>333</v>
      </c>
      <c r="P1504" s="15">
        <v>209560</v>
      </c>
      <c r="Q1504" s="15">
        <v>786307.66</v>
      </c>
      <c r="R1504" s="15">
        <v>87082900</v>
      </c>
      <c r="S1504" s="15">
        <v>15</v>
      </c>
      <c r="T1504" s="19" t="s">
        <v>317</v>
      </c>
      <c r="U1504" s="19" t="s">
        <v>178</v>
      </c>
      <c r="V1504" s="16">
        <f t="shared" si="284"/>
        <v>117946.149</v>
      </c>
      <c r="W1504" s="16">
        <f t="shared" si="285"/>
        <v>11794.6149</v>
      </c>
      <c r="X1504" s="16">
        <f t="shared" si="286"/>
        <v>129740.76390000001</v>
      </c>
      <c r="Y1504" s="16">
        <f t="shared" si="287"/>
        <v>0.61911034500858941</v>
      </c>
      <c r="Z1504" s="16">
        <f t="shared" si="288"/>
        <v>3.7521839091429663</v>
      </c>
      <c r="AA1504" s="17">
        <f t="shared" si="289"/>
        <v>209560</v>
      </c>
      <c r="AB1504" s="10">
        <v>3552</v>
      </c>
      <c r="AC1504" s="18">
        <f t="shared" si="282"/>
        <v>2199.0799454705098</v>
      </c>
      <c r="AD1504" s="12">
        <f t="shared" si="292"/>
        <v>86652</v>
      </c>
      <c r="AE1504" s="13">
        <f t="shared" si="290"/>
        <v>122908</v>
      </c>
    </row>
    <row r="1505" spans="1:31">
      <c r="A1505" s="6">
        <v>15</v>
      </c>
      <c r="B1505" s="6">
        <f t="shared" si="291"/>
        <v>30</v>
      </c>
      <c r="C1505" s="6" t="str">
        <f t="shared" si="283"/>
        <v>570028800FNUT, ISO, M5, LOCK, THRE LOCK, THREE SIDED TAMPER393103644928624000</v>
      </c>
      <c r="D1505" s="7" t="s">
        <v>394</v>
      </c>
      <c r="E1505" s="6" t="s">
        <v>47</v>
      </c>
      <c r="F1505" s="6"/>
      <c r="G1505" s="7" t="s">
        <v>9</v>
      </c>
      <c r="H1505" s="19"/>
      <c r="I1505" s="19"/>
      <c r="J1505" s="19"/>
      <c r="K1505" s="19"/>
      <c r="L1505" s="14">
        <v>3931036</v>
      </c>
      <c r="M1505" s="22">
        <v>44928</v>
      </c>
      <c r="N1505" s="19" t="s">
        <v>185</v>
      </c>
      <c r="O1505" s="19" t="s">
        <v>332</v>
      </c>
      <c r="P1505" s="15">
        <v>624000</v>
      </c>
      <c r="Q1505" s="15">
        <v>1155867.1000000001</v>
      </c>
      <c r="R1505" s="15">
        <v>87089500</v>
      </c>
      <c r="S1505" s="15">
        <v>15</v>
      </c>
      <c r="T1505" s="19" t="s">
        <v>302</v>
      </c>
      <c r="U1505" s="19" t="s">
        <v>178</v>
      </c>
      <c r="V1505" s="16">
        <f t="shared" si="284"/>
        <v>173380.065</v>
      </c>
      <c r="W1505" s="16">
        <f t="shared" si="285"/>
        <v>17338.0065</v>
      </c>
      <c r="X1505" s="16">
        <f t="shared" si="286"/>
        <v>190718.07149999999</v>
      </c>
      <c r="Y1505" s="16">
        <f t="shared" si="287"/>
        <v>0.30563793509615383</v>
      </c>
      <c r="Z1505" s="16">
        <f t="shared" si="288"/>
        <v>1.852351121794872</v>
      </c>
      <c r="AA1505" s="17">
        <f t="shared" si="289"/>
        <v>624000</v>
      </c>
      <c r="AB1505" s="10">
        <v>5376</v>
      </c>
      <c r="AC1505" s="18">
        <f t="shared" si="282"/>
        <v>1643.1095390769231</v>
      </c>
      <c r="AD1505" s="12">
        <f t="shared" si="292"/>
        <v>227952</v>
      </c>
      <c r="AE1505" s="13">
        <f t="shared" si="290"/>
        <v>396048</v>
      </c>
    </row>
    <row r="1506" spans="1:31">
      <c r="A1506" s="6">
        <v>15</v>
      </c>
      <c r="B1506" s="6">
        <f t="shared" si="291"/>
        <v>31</v>
      </c>
      <c r="C1506" s="6" t="str">
        <f t="shared" si="283"/>
        <v>621343500CNUT, ISO, M5, NYLON INSE NYLON INSERT417070644928390000</v>
      </c>
      <c r="D1506" s="7" t="s">
        <v>394</v>
      </c>
      <c r="E1506" s="6" t="s">
        <v>45</v>
      </c>
      <c r="F1506" s="6"/>
      <c r="G1506" s="7" t="s">
        <v>7</v>
      </c>
      <c r="H1506" s="19"/>
      <c r="I1506" s="19"/>
      <c r="J1506" s="19"/>
      <c r="K1506" s="19"/>
      <c r="L1506" s="14">
        <v>4170706</v>
      </c>
      <c r="M1506" s="22">
        <v>44928</v>
      </c>
      <c r="N1506" s="19" t="s">
        <v>196</v>
      </c>
      <c r="O1506" s="19" t="s">
        <v>332</v>
      </c>
      <c r="P1506" s="15">
        <v>390000</v>
      </c>
      <c r="Q1506" s="15">
        <v>806536.88</v>
      </c>
      <c r="R1506" s="15">
        <v>87089500</v>
      </c>
      <c r="S1506" s="15">
        <v>15</v>
      </c>
      <c r="T1506" s="19" t="s">
        <v>301</v>
      </c>
      <c r="U1506" s="19" t="s">
        <v>178</v>
      </c>
      <c r="V1506" s="16">
        <f t="shared" si="284"/>
        <v>120980.53199999999</v>
      </c>
      <c r="W1506" s="16">
        <f t="shared" si="285"/>
        <v>12098.0532</v>
      </c>
      <c r="X1506" s="16">
        <f t="shared" si="286"/>
        <v>133078.5852</v>
      </c>
      <c r="Y1506" s="16">
        <f t="shared" si="287"/>
        <v>0.34122714153846156</v>
      </c>
      <c r="Z1506" s="16">
        <f t="shared" si="288"/>
        <v>2.0680432820512822</v>
      </c>
      <c r="AA1506" s="17">
        <f t="shared" si="289"/>
        <v>390000</v>
      </c>
      <c r="AB1506" s="10">
        <v>40548</v>
      </c>
      <c r="AC1506" s="18">
        <f t="shared" si="282"/>
        <v>13836.078135101539</v>
      </c>
      <c r="AD1506" s="12">
        <f t="shared" si="292"/>
        <v>385128</v>
      </c>
      <c r="AE1506" s="13">
        <f t="shared" si="290"/>
        <v>4872</v>
      </c>
    </row>
    <row r="1507" spans="1:31">
      <c r="A1507" s="6">
        <v>15</v>
      </c>
      <c r="B1507" s="6">
        <f t="shared" si="291"/>
        <v>32</v>
      </c>
      <c r="C1507" s="6" t="str">
        <f t="shared" si="283"/>
        <v>616531900ARING, CRIMP, CLAMP, BAND95511574529740000</v>
      </c>
      <c r="D1507" s="7" t="s">
        <v>394</v>
      </c>
      <c r="E1507" s="6" t="s">
        <v>52</v>
      </c>
      <c r="F1507" s="6"/>
      <c r="G1507" s="7" t="s">
        <v>410</v>
      </c>
      <c r="H1507" s="19"/>
      <c r="I1507" s="19"/>
      <c r="J1507" s="19"/>
      <c r="K1507" s="19"/>
      <c r="L1507" s="14">
        <v>9551157</v>
      </c>
      <c r="M1507" s="22">
        <v>45297</v>
      </c>
      <c r="N1507" s="19" t="s">
        <v>196</v>
      </c>
      <c r="O1507" s="19" t="s">
        <v>333</v>
      </c>
      <c r="P1507" s="15">
        <v>40000</v>
      </c>
      <c r="Q1507" s="15">
        <v>781226.49</v>
      </c>
      <c r="R1507" s="15">
        <v>87089500</v>
      </c>
      <c r="S1507" s="15">
        <v>15</v>
      </c>
      <c r="T1507" s="19" t="s">
        <v>364</v>
      </c>
      <c r="U1507" s="19" t="s">
        <v>178</v>
      </c>
      <c r="V1507" s="16">
        <f t="shared" si="284"/>
        <v>117183.97349999999</v>
      </c>
      <c r="W1507" s="16">
        <f t="shared" si="285"/>
        <v>11718.397349999999</v>
      </c>
      <c r="X1507" s="16">
        <f t="shared" si="286"/>
        <v>128902.37084999999</v>
      </c>
      <c r="Y1507" s="16">
        <f t="shared" si="287"/>
        <v>3.2225592712499997</v>
      </c>
      <c r="Z1507" s="16">
        <f t="shared" si="288"/>
        <v>19.530662249999999</v>
      </c>
      <c r="AA1507" s="17">
        <f t="shared" si="289"/>
        <v>40000</v>
      </c>
      <c r="AB1507" s="10">
        <v>13056</v>
      </c>
      <c r="AC1507" s="18">
        <f t="shared" si="282"/>
        <v>42073.733845439994</v>
      </c>
      <c r="AD1507" s="12">
        <f t="shared" si="292"/>
        <v>38592</v>
      </c>
      <c r="AE1507" s="13">
        <f t="shared" si="290"/>
        <v>1408</v>
      </c>
    </row>
    <row r="1508" spans="1:31">
      <c r="A1508" s="6">
        <v>15</v>
      </c>
      <c r="B1508" s="6">
        <f t="shared" si="291"/>
        <v>33</v>
      </c>
      <c r="C1508" s="6" t="str">
        <f t="shared" si="283"/>
        <v>NPB10271-ZKSCREW, SELF-TAPPING, MET OTHER, HEXALOBULAR INTER406701444998150000</v>
      </c>
      <c r="D1508" s="7" t="s">
        <v>394</v>
      </c>
      <c r="E1508" s="6" t="s">
        <v>76</v>
      </c>
      <c r="F1508" s="6"/>
      <c r="G1508" s="7" t="s">
        <v>36</v>
      </c>
      <c r="H1508" s="19"/>
      <c r="I1508" s="19"/>
      <c r="J1508" s="19"/>
      <c r="K1508" s="19"/>
      <c r="L1508" s="14">
        <v>4067014</v>
      </c>
      <c r="M1508" s="22">
        <v>44998</v>
      </c>
      <c r="N1508" s="19" t="s">
        <v>196</v>
      </c>
      <c r="O1508" s="19" t="s">
        <v>333</v>
      </c>
      <c r="P1508" s="15">
        <v>150000</v>
      </c>
      <c r="Q1508" s="15">
        <v>146157.25</v>
      </c>
      <c r="R1508" s="15">
        <v>87082900</v>
      </c>
      <c r="S1508" s="15">
        <v>15</v>
      </c>
      <c r="T1508" s="19" t="s">
        <v>321</v>
      </c>
      <c r="U1508" s="19" t="s">
        <v>178</v>
      </c>
      <c r="V1508" s="16">
        <f t="shared" si="284"/>
        <v>21923.587499999998</v>
      </c>
      <c r="W1508" s="16">
        <f t="shared" si="285"/>
        <v>2192.3587499999999</v>
      </c>
      <c r="X1508" s="16">
        <f t="shared" si="286"/>
        <v>24115.946249999997</v>
      </c>
      <c r="Y1508" s="16">
        <f t="shared" si="287"/>
        <v>0.16077297499999998</v>
      </c>
      <c r="Z1508" s="16">
        <f t="shared" si="288"/>
        <v>0.9743816666666667</v>
      </c>
      <c r="AA1508" s="17">
        <f t="shared" si="289"/>
        <v>150000</v>
      </c>
      <c r="AB1508" s="10">
        <v>6720</v>
      </c>
      <c r="AC1508" s="18">
        <f t="shared" si="282"/>
        <v>1080.3943919999999</v>
      </c>
      <c r="AD1508" s="12">
        <f t="shared" si="292"/>
        <v>149952</v>
      </c>
      <c r="AE1508" s="13">
        <f t="shared" si="290"/>
        <v>48</v>
      </c>
    </row>
    <row r="1509" spans="1:31">
      <c r="A1509" s="6">
        <v>15</v>
      </c>
      <c r="B1509" s="6">
        <f t="shared" si="291"/>
        <v>34</v>
      </c>
      <c r="C1509" s="6" t="str">
        <f t="shared" si="283"/>
        <v>PC47516-3810SNAP-IN-FASTENER, PUSH P PUSH PIN, BLACK36255814543542000</v>
      </c>
      <c r="D1509" s="7" t="s">
        <v>394</v>
      </c>
      <c r="E1509" s="6" t="s">
        <v>54</v>
      </c>
      <c r="F1509" s="6"/>
      <c r="G1509" s="7" t="s">
        <v>14</v>
      </c>
      <c r="H1509" s="19"/>
      <c r="I1509" s="19"/>
      <c r="J1509" s="19"/>
      <c r="K1509" s="19"/>
      <c r="L1509" s="14">
        <v>3625581</v>
      </c>
      <c r="M1509" s="22">
        <v>45435</v>
      </c>
      <c r="N1509" s="19" t="s">
        <v>196</v>
      </c>
      <c r="O1509" s="19" t="s">
        <v>333</v>
      </c>
      <c r="P1509" s="15">
        <v>42000</v>
      </c>
      <c r="Q1509" s="15">
        <v>49322.6</v>
      </c>
      <c r="R1509" s="15">
        <v>87089500</v>
      </c>
      <c r="S1509" s="15">
        <v>15</v>
      </c>
      <c r="T1509" s="19" t="s">
        <v>306</v>
      </c>
      <c r="U1509" s="19" t="s">
        <v>178</v>
      </c>
      <c r="V1509" s="16">
        <f t="shared" si="284"/>
        <v>7398.3899999999994</v>
      </c>
      <c r="W1509" s="16">
        <f t="shared" si="285"/>
        <v>739.83899999999994</v>
      </c>
      <c r="X1509" s="16">
        <f t="shared" si="286"/>
        <v>8138.2289999999994</v>
      </c>
      <c r="Y1509" s="16">
        <f t="shared" si="287"/>
        <v>0.19376735714285712</v>
      </c>
      <c r="Z1509" s="16">
        <f t="shared" si="288"/>
        <v>1.174347619047619</v>
      </c>
      <c r="AA1509" s="17">
        <f t="shared" si="289"/>
        <v>42000</v>
      </c>
      <c r="AB1509" s="10">
        <v>6528</v>
      </c>
      <c r="AC1509" s="18">
        <f t="shared" si="282"/>
        <v>1264.9133074285712</v>
      </c>
      <c r="AD1509" s="12">
        <f t="shared" si="292"/>
        <v>51936</v>
      </c>
      <c r="AE1509" s="13">
        <v>0</v>
      </c>
    </row>
    <row r="1510" spans="1:31">
      <c r="A1510" s="6">
        <v>15</v>
      </c>
      <c r="B1510" s="6">
        <f t="shared" si="291"/>
        <v>35</v>
      </c>
      <c r="C1510" s="6" t="str">
        <f t="shared" si="283"/>
        <v>601182600ASPINDLE, RETRACTOR, R27, STD98117254531517920</v>
      </c>
      <c r="D1510" s="7" t="s">
        <v>394</v>
      </c>
      <c r="E1510" s="6" t="s">
        <v>61</v>
      </c>
      <c r="F1510" s="6"/>
      <c r="G1510" s="7" t="s">
        <v>21</v>
      </c>
      <c r="H1510" s="19"/>
      <c r="I1510" s="19"/>
      <c r="J1510" s="19"/>
      <c r="K1510" s="19"/>
      <c r="L1510" s="14">
        <v>9811725</v>
      </c>
      <c r="M1510" s="22">
        <v>45315</v>
      </c>
      <c r="N1510" s="19" t="s">
        <v>185</v>
      </c>
      <c r="O1510" s="19" t="s">
        <v>332</v>
      </c>
      <c r="P1510" s="15">
        <v>17920</v>
      </c>
      <c r="Q1510" s="15">
        <v>781622.05</v>
      </c>
      <c r="R1510" s="15">
        <v>87082900</v>
      </c>
      <c r="S1510" s="15">
        <v>15</v>
      </c>
      <c r="T1510" s="19" t="s">
        <v>371</v>
      </c>
      <c r="U1510" s="19" t="s">
        <v>178</v>
      </c>
      <c r="V1510" s="16">
        <f t="shared" si="284"/>
        <v>117243.30750000001</v>
      </c>
      <c r="W1510" s="16">
        <f t="shared" si="285"/>
        <v>11724.330750000001</v>
      </c>
      <c r="X1510" s="16">
        <f t="shared" si="286"/>
        <v>128967.63825000002</v>
      </c>
      <c r="Y1510" s="16">
        <f t="shared" si="287"/>
        <v>7.196854813058037</v>
      </c>
      <c r="Z1510" s="16">
        <f t="shared" si="288"/>
        <v>43.617301897321433</v>
      </c>
      <c r="AA1510" s="17">
        <f t="shared" si="289"/>
        <v>17920</v>
      </c>
      <c r="AB1510" s="10">
        <v>3552</v>
      </c>
      <c r="AC1510" s="18">
        <f t="shared" si="282"/>
        <v>25563.228295982146</v>
      </c>
      <c r="AD1510" s="12">
        <f t="shared" si="292"/>
        <v>17676</v>
      </c>
      <c r="AE1510" s="13">
        <f t="shared" si="290"/>
        <v>244</v>
      </c>
    </row>
    <row r="1511" spans="1:31">
      <c r="A1511" s="6">
        <v>15</v>
      </c>
      <c r="B1511" s="6">
        <f t="shared" si="291"/>
        <v>36</v>
      </c>
      <c r="C1511" s="6" t="str">
        <f t="shared" si="283"/>
        <v>566305721BSPRING, SHEET, LEAF, RET ALL VERSIONS, WS ECE4742807449445000</v>
      </c>
      <c r="D1511" s="7" t="s">
        <v>394</v>
      </c>
      <c r="E1511" s="6" t="s">
        <v>59</v>
      </c>
      <c r="F1511" s="6"/>
      <c r="G1511" s="7" t="s">
        <v>19</v>
      </c>
      <c r="H1511" s="19"/>
      <c r="I1511" s="19"/>
      <c r="J1511" s="19"/>
      <c r="K1511" s="19"/>
      <c r="L1511" s="14">
        <v>4742807</v>
      </c>
      <c r="M1511" s="22">
        <v>44944</v>
      </c>
      <c r="N1511" s="19" t="s">
        <v>196</v>
      </c>
      <c r="O1511" s="19" t="s">
        <v>337</v>
      </c>
      <c r="P1511" s="15">
        <v>5000</v>
      </c>
      <c r="Q1511" s="15">
        <v>143362.42000000001</v>
      </c>
      <c r="R1511" s="15">
        <v>87082900</v>
      </c>
      <c r="S1511" s="15">
        <v>15</v>
      </c>
      <c r="T1511" s="19" t="s">
        <v>309</v>
      </c>
      <c r="U1511" s="19" t="s">
        <v>178</v>
      </c>
      <c r="V1511" s="16">
        <f t="shared" si="284"/>
        <v>21504.363000000001</v>
      </c>
      <c r="W1511" s="16">
        <f t="shared" si="285"/>
        <v>2150.4363000000003</v>
      </c>
      <c r="X1511" s="16">
        <f t="shared" si="286"/>
        <v>23654.799300000002</v>
      </c>
      <c r="Y1511" s="16">
        <f t="shared" si="287"/>
        <v>4.7309598600000005</v>
      </c>
      <c r="Z1511" s="16">
        <f t="shared" si="288"/>
        <v>28.672484000000004</v>
      </c>
      <c r="AA1511" s="17">
        <f t="shared" si="289"/>
        <v>5000</v>
      </c>
      <c r="AB1511" s="10">
        <v>65.100000000000009</v>
      </c>
      <c r="AC1511" s="18">
        <f t="shared" si="282"/>
        <v>307.98548688600005</v>
      </c>
      <c r="AD1511" s="12">
        <f t="shared" si="292"/>
        <v>1540.98</v>
      </c>
      <c r="AE1511" s="13">
        <v>0</v>
      </c>
    </row>
    <row r="1512" spans="1:31">
      <c r="A1512" s="6">
        <v>15</v>
      </c>
      <c r="B1512" s="6">
        <f t="shared" si="291"/>
        <v>37</v>
      </c>
      <c r="C1512" s="6" t="str">
        <f t="shared" si="283"/>
        <v>605151600ASPRING, SHEET, LEAF, RET ALL VERSIONS, WS US407852744933100000</v>
      </c>
      <c r="D1512" s="7" t="s">
        <v>394</v>
      </c>
      <c r="E1512" s="6" t="s">
        <v>65</v>
      </c>
      <c r="F1512" s="6"/>
      <c r="G1512" s="7" t="s">
        <v>25</v>
      </c>
      <c r="H1512" s="19"/>
      <c r="I1512" s="19"/>
      <c r="J1512" s="19"/>
      <c r="K1512" s="19"/>
      <c r="L1512" s="14">
        <v>4078527</v>
      </c>
      <c r="M1512" s="22">
        <v>44933</v>
      </c>
      <c r="N1512" s="19" t="s">
        <v>196</v>
      </c>
      <c r="O1512" s="19" t="s">
        <v>333</v>
      </c>
      <c r="P1512" s="15">
        <v>100000</v>
      </c>
      <c r="Q1512" s="15">
        <v>147318.03</v>
      </c>
      <c r="R1512" s="15">
        <v>87082900</v>
      </c>
      <c r="S1512" s="15">
        <v>15</v>
      </c>
      <c r="T1512" s="19" t="s">
        <v>314</v>
      </c>
      <c r="U1512" s="19" t="s">
        <v>178</v>
      </c>
      <c r="V1512" s="16">
        <f t="shared" si="284"/>
        <v>22097.7045</v>
      </c>
      <c r="W1512" s="16">
        <f t="shared" si="285"/>
        <v>2209.77045</v>
      </c>
      <c r="X1512" s="16">
        <f t="shared" si="286"/>
        <v>24307.47495</v>
      </c>
      <c r="Y1512" s="16">
        <f t="shared" si="287"/>
        <v>0.24307474949999999</v>
      </c>
      <c r="Z1512" s="16">
        <f t="shared" si="288"/>
        <v>1.4731802999999999</v>
      </c>
      <c r="AA1512" s="17">
        <f t="shared" si="289"/>
        <v>100000</v>
      </c>
      <c r="AB1512" s="10">
        <v>3552</v>
      </c>
      <c r="AC1512" s="18">
        <f t="shared" si="282"/>
        <v>863.40151022399994</v>
      </c>
      <c r="AD1512" s="12">
        <f t="shared" si="292"/>
        <v>86652</v>
      </c>
      <c r="AE1512" s="13">
        <f t="shared" si="290"/>
        <v>13348</v>
      </c>
    </row>
    <row r="1513" spans="1:31">
      <c r="A1513" s="6">
        <v>15</v>
      </c>
      <c r="B1513" s="6">
        <f t="shared" si="291"/>
        <v>38</v>
      </c>
      <c r="C1513" s="6" t="str">
        <f t="shared" si="283"/>
        <v>560130122ASPRING, WIRE, COMPRESSIO K12A/AT495151045028300000</v>
      </c>
      <c r="D1513" s="7" t="s">
        <v>394</v>
      </c>
      <c r="E1513" s="6" t="s">
        <v>73</v>
      </c>
      <c r="F1513" s="6"/>
      <c r="G1513" s="7" t="s">
        <v>33</v>
      </c>
      <c r="H1513" s="19"/>
      <c r="I1513" s="19"/>
      <c r="J1513" s="19"/>
      <c r="K1513" s="19"/>
      <c r="L1513" s="14">
        <v>4951510</v>
      </c>
      <c r="M1513" s="22">
        <v>45028</v>
      </c>
      <c r="N1513" s="19" t="s">
        <v>199</v>
      </c>
      <c r="O1513" s="19" t="s">
        <v>332</v>
      </c>
      <c r="P1513" s="15">
        <v>300000</v>
      </c>
      <c r="Q1513" s="15">
        <v>285155.93</v>
      </c>
      <c r="R1513" s="15">
        <v>87082900</v>
      </c>
      <c r="S1513" s="15">
        <v>15</v>
      </c>
      <c r="T1513" s="19" t="s">
        <v>319</v>
      </c>
      <c r="U1513" s="19" t="s">
        <v>178</v>
      </c>
      <c r="V1513" s="16">
        <f t="shared" si="284"/>
        <v>42773.389499999997</v>
      </c>
      <c r="W1513" s="16">
        <f t="shared" si="285"/>
        <v>4277.3389500000003</v>
      </c>
      <c r="X1513" s="16">
        <f t="shared" si="286"/>
        <v>47050.728449999995</v>
      </c>
      <c r="Y1513" s="16">
        <f t="shared" si="287"/>
        <v>0.15683576149999998</v>
      </c>
      <c r="Z1513" s="16">
        <f t="shared" si="288"/>
        <v>0.9505197666666666</v>
      </c>
      <c r="AA1513" s="17">
        <f t="shared" si="289"/>
        <v>300000</v>
      </c>
      <c r="AB1513" s="10">
        <v>3360</v>
      </c>
      <c r="AC1513" s="18">
        <f t="shared" si="282"/>
        <v>526.96815863999996</v>
      </c>
      <c r="AD1513" s="12">
        <f t="shared" si="292"/>
        <v>94048</v>
      </c>
      <c r="AE1513" s="13">
        <f t="shared" si="290"/>
        <v>205952</v>
      </c>
    </row>
    <row r="1514" spans="1:31">
      <c r="A1514" s="6">
        <v>15</v>
      </c>
      <c r="B1514" s="6">
        <f t="shared" si="291"/>
        <v>39</v>
      </c>
      <c r="C1514" s="6" t="str">
        <f t="shared" si="283"/>
        <v>605555507ESTEERING DISC NATURE WHITE717838944902100800</v>
      </c>
      <c r="D1514" s="7" t="s">
        <v>394</v>
      </c>
      <c r="E1514" s="6" t="s">
        <v>66</v>
      </c>
      <c r="F1514" s="6"/>
      <c r="G1514" s="7" t="s">
        <v>26</v>
      </c>
      <c r="H1514" s="19"/>
      <c r="I1514" s="19"/>
      <c r="J1514" s="19"/>
      <c r="K1514" s="19"/>
      <c r="L1514" s="14">
        <v>7178389</v>
      </c>
      <c r="M1514" s="22">
        <v>44902</v>
      </c>
      <c r="N1514" s="19" t="s">
        <v>185</v>
      </c>
      <c r="O1514" s="19" t="s">
        <v>332</v>
      </c>
      <c r="P1514" s="15">
        <v>100800</v>
      </c>
      <c r="Q1514" s="15">
        <v>397158.13</v>
      </c>
      <c r="R1514" s="15">
        <v>87082900</v>
      </c>
      <c r="S1514" s="15">
        <v>15</v>
      </c>
      <c r="T1514" s="19" t="s">
        <v>315</v>
      </c>
      <c r="U1514" s="19" t="s">
        <v>178</v>
      </c>
      <c r="V1514" s="16">
        <f t="shared" si="284"/>
        <v>59573.719499999999</v>
      </c>
      <c r="W1514" s="16">
        <f t="shared" si="285"/>
        <v>5957.3719500000007</v>
      </c>
      <c r="X1514" s="16">
        <f t="shared" si="286"/>
        <v>65531.09145</v>
      </c>
      <c r="Y1514" s="16">
        <f t="shared" si="287"/>
        <v>0.65011003422619051</v>
      </c>
      <c r="Z1514" s="16">
        <f t="shared" si="288"/>
        <v>3.9400608134920634</v>
      </c>
      <c r="AA1514" s="17">
        <f t="shared" si="289"/>
        <v>100800</v>
      </c>
      <c r="AB1514" s="10">
        <v>3552</v>
      </c>
      <c r="AC1514" s="18">
        <f t="shared" si="282"/>
        <v>2309.1908415714288</v>
      </c>
      <c r="AD1514" s="12">
        <f t="shared" si="292"/>
        <v>80292</v>
      </c>
      <c r="AE1514" s="13">
        <f t="shared" si="290"/>
        <v>20508</v>
      </c>
    </row>
    <row r="1515" spans="1:31">
      <c r="A1515" s="6">
        <v>15</v>
      </c>
      <c r="B1515" s="6">
        <f t="shared" si="291"/>
        <v>40</v>
      </c>
      <c r="C1515" s="6" t="str">
        <f t="shared" si="283"/>
        <v>609183701ASTUD, M6 X 1.0, 16.036956764543984000</v>
      </c>
      <c r="D1515" s="7" t="s">
        <v>394</v>
      </c>
      <c r="E1515" s="6" t="s">
        <v>51</v>
      </c>
      <c r="F1515" s="6"/>
      <c r="G1515" s="7" t="s">
        <v>411</v>
      </c>
      <c r="H1515" s="19"/>
      <c r="I1515" s="19"/>
      <c r="J1515" s="19"/>
      <c r="K1515" s="19"/>
      <c r="L1515" s="14">
        <v>3695676</v>
      </c>
      <c r="M1515" s="22">
        <v>45439</v>
      </c>
      <c r="N1515" s="19" t="s">
        <v>185</v>
      </c>
      <c r="O1515" s="19" t="s">
        <v>332</v>
      </c>
      <c r="P1515" s="15">
        <v>84000</v>
      </c>
      <c r="Q1515" s="15">
        <v>238012.39</v>
      </c>
      <c r="R1515" s="15">
        <v>87089500</v>
      </c>
      <c r="S1515" s="15">
        <v>15</v>
      </c>
      <c r="T1515" s="19" t="s">
        <v>304</v>
      </c>
      <c r="U1515" s="19" t="s">
        <v>178</v>
      </c>
      <c r="V1515" s="16">
        <f t="shared" si="284"/>
        <v>35701.858500000002</v>
      </c>
      <c r="W1515" s="16">
        <f t="shared" si="285"/>
        <v>3570.1858500000003</v>
      </c>
      <c r="X1515" s="16">
        <f t="shared" si="286"/>
        <v>39272.044350000004</v>
      </c>
      <c r="Y1515" s="16">
        <f t="shared" si="287"/>
        <v>0.46752433750000005</v>
      </c>
      <c r="Z1515" s="16">
        <f t="shared" si="288"/>
        <v>2.8334808333333337</v>
      </c>
      <c r="AA1515" s="17">
        <f t="shared" si="289"/>
        <v>84000</v>
      </c>
      <c r="AB1515" s="10">
        <v>13056</v>
      </c>
      <c r="AC1515" s="18">
        <f t="shared" si="282"/>
        <v>6103.9977504000008</v>
      </c>
      <c r="AD1515" s="12">
        <f t="shared" si="292"/>
        <v>82196</v>
      </c>
      <c r="AE1515" s="13">
        <f t="shared" si="290"/>
        <v>1804</v>
      </c>
    </row>
    <row r="1516" spans="1:31">
      <c r="A1516" s="6">
        <v>15</v>
      </c>
      <c r="B1516" s="6">
        <f t="shared" si="291"/>
        <v>41</v>
      </c>
      <c r="C1516" s="6" t="str">
        <f t="shared" si="283"/>
        <v>654590700ASU2ID CUSHION COMPONENTS CVR NON-WOVEN LH STD3895632454514500</v>
      </c>
      <c r="D1516" s="7" t="s">
        <v>394</v>
      </c>
      <c r="E1516" s="6" t="s">
        <v>477</v>
      </c>
      <c r="F1516" s="6"/>
      <c r="G1516" s="7" t="s">
        <v>330</v>
      </c>
      <c r="H1516" s="19"/>
      <c r="I1516" s="19"/>
      <c r="J1516" s="19"/>
      <c r="K1516" s="19"/>
      <c r="L1516" s="14">
        <v>3895632</v>
      </c>
      <c r="M1516" s="22">
        <v>45451</v>
      </c>
      <c r="N1516" s="19" t="s">
        <v>185</v>
      </c>
      <c r="O1516" s="19" t="s">
        <v>333</v>
      </c>
      <c r="P1516" s="15">
        <v>4500</v>
      </c>
      <c r="Q1516" s="15">
        <v>54824.13</v>
      </c>
      <c r="R1516" s="15">
        <v>87089500</v>
      </c>
      <c r="S1516" s="15">
        <v>5</v>
      </c>
      <c r="T1516" s="19" t="s">
        <v>346</v>
      </c>
      <c r="U1516" s="19" t="s">
        <v>178</v>
      </c>
      <c r="V1516" s="16">
        <f t="shared" si="284"/>
        <v>2741.2065000000002</v>
      </c>
      <c r="W1516" s="16">
        <f t="shared" si="285"/>
        <v>274.12065000000001</v>
      </c>
      <c r="X1516" s="16">
        <f t="shared" si="286"/>
        <v>3015.3271500000001</v>
      </c>
      <c r="Y1516" s="16">
        <f t="shared" si="287"/>
        <v>0.67007269999999997</v>
      </c>
      <c r="Z1516" s="16">
        <f t="shared" si="288"/>
        <v>12.18314</v>
      </c>
      <c r="AA1516" s="17">
        <f t="shared" si="289"/>
        <v>4500</v>
      </c>
      <c r="AB1516" s="10">
        <v>3368</v>
      </c>
      <c r="AC1516" s="18">
        <f t="shared" si="282"/>
        <v>2256.8048535999997</v>
      </c>
      <c r="AD1516" s="12">
        <f t="shared" si="292"/>
        <v>4472</v>
      </c>
      <c r="AE1516" s="13">
        <f t="shared" si="290"/>
        <v>28</v>
      </c>
    </row>
    <row r="1517" spans="1:31">
      <c r="A1517" s="6">
        <v>15</v>
      </c>
      <c r="B1517" s="6">
        <f t="shared" si="291"/>
        <v>42</v>
      </c>
      <c r="C1517" s="6" t="str">
        <f t="shared" si="283"/>
        <v>654590600ASU2ID STD CUSHION COMPON CVR NON-WOVEN RH3895632454514500</v>
      </c>
      <c r="D1517" s="7" t="s">
        <v>394</v>
      </c>
      <c r="E1517" s="6" t="s">
        <v>78</v>
      </c>
      <c r="F1517" s="6"/>
      <c r="G1517" s="7" t="s">
        <v>38</v>
      </c>
      <c r="H1517" s="19"/>
      <c r="I1517" s="19"/>
      <c r="J1517" s="19"/>
      <c r="K1517" s="19"/>
      <c r="L1517" s="14">
        <v>3895632</v>
      </c>
      <c r="M1517" s="22">
        <v>45451</v>
      </c>
      <c r="N1517" s="19" t="s">
        <v>185</v>
      </c>
      <c r="O1517" s="19" t="s">
        <v>333</v>
      </c>
      <c r="P1517" s="15">
        <v>4500</v>
      </c>
      <c r="Q1517" s="15">
        <v>54824.13</v>
      </c>
      <c r="R1517" s="15">
        <v>87089500</v>
      </c>
      <c r="S1517" s="15">
        <v>5</v>
      </c>
      <c r="T1517" s="19" t="s">
        <v>346</v>
      </c>
      <c r="U1517" s="19" t="s">
        <v>178</v>
      </c>
      <c r="V1517" s="16">
        <f t="shared" si="284"/>
        <v>2741.2065000000002</v>
      </c>
      <c r="W1517" s="16">
        <f t="shared" si="285"/>
        <v>274.12065000000001</v>
      </c>
      <c r="X1517" s="16">
        <f t="shared" si="286"/>
        <v>3015.3271500000001</v>
      </c>
      <c r="Y1517" s="16">
        <f t="shared" si="287"/>
        <v>0.67007269999999997</v>
      </c>
      <c r="Z1517" s="16">
        <f t="shared" si="288"/>
        <v>12.18314</v>
      </c>
      <c r="AA1517" s="17">
        <f t="shared" si="289"/>
        <v>4500</v>
      </c>
      <c r="AB1517" s="10">
        <v>3152</v>
      </c>
      <c r="AC1517" s="18">
        <f t="shared" si="282"/>
        <v>2112.0691503999997</v>
      </c>
      <c r="AD1517" s="12">
        <f t="shared" si="292"/>
        <v>4256</v>
      </c>
      <c r="AE1517" s="13">
        <f t="shared" si="290"/>
        <v>244</v>
      </c>
    </row>
    <row r="1518" spans="1:31">
      <c r="A1518" s="6">
        <v>15</v>
      </c>
      <c r="B1518" s="6">
        <f t="shared" si="291"/>
        <v>43</v>
      </c>
      <c r="C1518" s="6" t="str">
        <f t="shared" si="283"/>
        <v>603171100BTAPE, ADHESIVE, TERAOKA TERAOKA NO.560S 283492694503640000</v>
      </c>
      <c r="D1518" s="7" t="s">
        <v>394</v>
      </c>
      <c r="E1518" s="6" t="s">
        <v>50</v>
      </c>
      <c r="F1518" s="6"/>
      <c r="G1518" s="7" t="s">
        <v>12</v>
      </c>
      <c r="H1518" s="19"/>
      <c r="I1518" s="19"/>
      <c r="J1518" s="19"/>
      <c r="K1518" s="19"/>
      <c r="L1518" s="14">
        <v>8349269</v>
      </c>
      <c r="M1518" s="22">
        <v>45036</v>
      </c>
      <c r="N1518" s="19" t="s">
        <v>180</v>
      </c>
      <c r="O1518" s="19" t="s">
        <v>333</v>
      </c>
      <c r="P1518" s="15">
        <v>40000</v>
      </c>
      <c r="Q1518" s="15">
        <v>180520.2</v>
      </c>
      <c r="R1518" s="15">
        <v>39199090</v>
      </c>
      <c r="S1518" s="15">
        <v>15</v>
      </c>
      <c r="T1518" s="19" t="s">
        <v>342</v>
      </c>
      <c r="U1518" s="19" t="s">
        <v>178</v>
      </c>
      <c r="V1518" s="16">
        <f t="shared" si="284"/>
        <v>27078.030000000002</v>
      </c>
      <c r="W1518" s="16">
        <f t="shared" si="285"/>
        <v>2707.8030000000003</v>
      </c>
      <c r="X1518" s="16">
        <f t="shared" si="286"/>
        <v>29785.833000000002</v>
      </c>
      <c r="Y1518" s="16">
        <f t="shared" si="287"/>
        <v>0.74464582500000009</v>
      </c>
      <c r="Z1518" s="16">
        <f t="shared" si="288"/>
        <v>4.5130050000000006</v>
      </c>
      <c r="AA1518" s="17">
        <f t="shared" si="289"/>
        <v>40000</v>
      </c>
      <c r="AB1518" s="10">
        <v>1958.3999999999999</v>
      </c>
      <c r="AC1518" s="18">
        <f t="shared" si="282"/>
        <v>1458.31438368</v>
      </c>
      <c r="AD1518" s="12">
        <f t="shared" si="292"/>
        <v>12498</v>
      </c>
      <c r="AE1518" s="13">
        <f t="shared" si="290"/>
        <v>27502</v>
      </c>
    </row>
    <row r="1519" spans="1:31">
      <c r="A1519" s="6">
        <v>15</v>
      </c>
      <c r="B1519" s="6">
        <f t="shared" si="291"/>
        <v>44</v>
      </c>
      <c r="C1519" s="6" t="str">
        <f t="shared" si="283"/>
        <v>NWB2834WASHER, WAVED 69498204512640000</v>
      </c>
      <c r="D1519" s="7" t="s">
        <v>394</v>
      </c>
      <c r="E1519" s="6" t="s">
        <v>77</v>
      </c>
      <c r="F1519" s="6"/>
      <c r="G1519" s="7" t="s">
        <v>37</v>
      </c>
      <c r="H1519" s="19"/>
      <c r="I1519" s="19"/>
      <c r="J1519" s="19"/>
      <c r="K1519" s="19"/>
      <c r="L1519" s="14">
        <v>6949820</v>
      </c>
      <c r="M1519" s="22">
        <v>45126</v>
      </c>
      <c r="N1519" s="19" t="s">
        <v>196</v>
      </c>
      <c r="O1519" s="19" t="s">
        <v>333</v>
      </c>
      <c r="P1519" s="15">
        <v>40000</v>
      </c>
      <c r="Q1519" s="15">
        <v>70563.69</v>
      </c>
      <c r="R1519" s="15">
        <v>87082900</v>
      </c>
      <c r="S1519" s="15">
        <v>15</v>
      </c>
      <c r="T1519" s="19" t="s">
        <v>207</v>
      </c>
      <c r="U1519" s="19" t="s">
        <v>178</v>
      </c>
      <c r="V1519" s="16">
        <f t="shared" si="284"/>
        <v>10584.5535</v>
      </c>
      <c r="W1519" s="16">
        <f t="shared" si="285"/>
        <v>1058.45535</v>
      </c>
      <c r="X1519" s="16">
        <f t="shared" si="286"/>
        <v>11643.00885</v>
      </c>
      <c r="Y1519" s="16">
        <f t="shared" si="287"/>
        <v>0.29107522125000002</v>
      </c>
      <c r="Z1519" s="16">
        <f t="shared" si="288"/>
        <v>1.76409225</v>
      </c>
      <c r="AA1519" s="17">
        <f t="shared" si="289"/>
        <v>40000</v>
      </c>
      <c r="AB1519" s="10">
        <v>3360</v>
      </c>
      <c r="AC1519" s="18">
        <f t="shared" si="282"/>
        <v>978.01274340000009</v>
      </c>
      <c r="AD1519" s="12">
        <f t="shared" si="292"/>
        <v>36128</v>
      </c>
      <c r="AE1519" s="13">
        <f t="shared" si="290"/>
        <v>3872</v>
      </c>
    </row>
    <row r="1520" spans="1:31">
      <c r="A1520" s="6">
        <v>15</v>
      </c>
      <c r="B1520" s="6">
        <f t="shared" si="291"/>
        <v>45</v>
      </c>
      <c r="C1520" s="6" t="str">
        <f t="shared" si="283"/>
        <v>566098600CWEBBING PIN, RETRACTOR, AGB, AGB-95POM FARBE:SCH432749644950120000</v>
      </c>
      <c r="D1520" s="7" t="s">
        <v>394</v>
      </c>
      <c r="E1520" s="6" t="s">
        <v>57</v>
      </c>
      <c r="F1520" s="6"/>
      <c r="G1520" s="7" t="s">
        <v>17</v>
      </c>
      <c r="H1520" s="19"/>
      <c r="I1520" s="19"/>
      <c r="J1520" s="19"/>
      <c r="K1520" s="19"/>
      <c r="L1520" s="14">
        <v>4327496</v>
      </c>
      <c r="M1520" s="22">
        <v>44950</v>
      </c>
      <c r="N1520" s="19" t="s">
        <v>199</v>
      </c>
      <c r="O1520" s="19" t="s">
        <v>332</v>
      </c>
      <c r="P1520" s="15">
        <v>120000</v>
      </c>
      <c r="Q1520" s="15">
        <v>117311.7</v>
      </c>
      <c r="R1520" s="15">
        <v>87082900</v>
      </c>
      <c r="S1520" s="15">
        <v>15</v>
      </c>
      <c r="T1520" s="19" t="s">
        <v>307</v>
      </c>
      <c r="U1520" s="19" t="s">
        <v>178</v>
      </c>
      <c r="V1520" s="16">
        <f t="shared" si="284"/>
        <v>17596.754999999997</v>
      </c>
      <c r="W1520" s="16">
        <f t="shared" si="285"/>
        <v>1759.6754999999998</v>
      </c>
      <c r="X1520" s="16">
        <f t="shared" si="286"/>
        <v>19356.430499999999</v>
      </c>
      <c r="Y1520" s="16">
        <f t="shared" si="287"/>
        <v>0.16130358749999998</v>
      </c>
      <c r="Z1520" s="16">
        <f t="shared" si="288"/>
        <v>0.97759750000000001</v>
      </c>
      <c r="AA1520" s="17">
        <f t="shared" si="289"/>
        <v>120000</v>
      </c>
      <c r="AB1520" s="10">
        <v>3552</v>
      </c>
      <c r="AC1520" s="18">
        <f t="shared" si="282"/>
        <v>572.95034279999993</v>
      </c>
      <c r="AD1520" s="12">
        <f t="shared" si="292"/>
        <v>86652</v>
      </c>
      <c r="AE1520" s="13">
        <f t="shared" si="290"/>
        <v>33348</v>
      </c>
    </row>
    <row r="1521" spans="1:31">
      <c r="A1521" s="6">
        <v>16</v>
      </c>
      <c r="B1521" s="6">
        <v>1</v>
      </c>
      <c r="C1521" s="6" t="str">
        <f t="shared" si="283"/>
        <v>666041100AAB Cushion ICAB FI 2 Row C6482292456005000</v>
      </c>
      <c r="D1521" s="7" t="s">
        <v>403</v>
      </c>
      <c r="E1521" s="6" t="s">
        <v>476</v>
      </c>
      <c r="F1521" s="6"/>
      <c r="G1521" s="7" t="s">
        <v>246</v>
      </c>
      <c r="H1521" s="19"/>
      <c r="I1521" s="19"/>
      <c r="J1521" s="19"/>
      <c r="K1521" s="19"/>
      <c r="L1521" s="14">
        <v>6482292</v>
      </c>
      <c r="M1521" s="22">
        <v>45600</v>
      </c>
      <c r="N1521" s="19" t="s">
        <v>185</v>
      </c>
      <c r="O1521" s="19" t="s">
        <v>332</v>
      </c>
      <c r="P1521" s="15">
        <v>5000</v>
      </c>
      <c r="Q1521" s="15">
        <v>4336185.33</v>
      </c>
      <c r="R1521" s="15">
        <v>87089500</v>
      </c>
      <c r="S1521" s="15">
        <v>5</v>
      </c>
      <c r="T1521" s="19" t="s">
        <v>397</v>
      </c>
      <c r="U1521" s="19" t="s">
        <v>178</v>
      </c>
      <c r="V1521" s="16">
        <f t="shared" si="284"/>
        <v>216809.26650000003</v>
      </c>
      <c r="W1521" s="16">
        <f t="shared" si="285"/>
        <v>21680.926650000005</v>
      </c>
      <c r="X1521" s="16">
        <f t="shared" si="286"/>
        <v>238490.19315000004</v>
      </c>
      <c r="Y1521" s="16">
        <f t="shared" si="287"/>
        <v>47.698038630000006</v>
      </c>
      <c r="Z1521" s="16">
        <f t="shared" si="288"/>
        <v>867.23706600000003</v>
      </c>
      <c r="AA1521" s="17">
        <f t="shared" si="289"/>
        <v>5000</v>
      </c>
      <c r="AB1521" s="10">
        <v>1736</v>
      </c>
      <c r="AC1521" s="18">
        <f t="shared" si="282"/>
        <v>82803.795061680008</v>
      </c>
      <c r="AD1521" s="12">
        <f t="shared" si="292"/>
        <v>5000</v>
      </c>
      <c r="AE1521" s="13">
        <f t="shared" si="290"/>
        <v>0</v>
      </c>
    </row>
    <row r="1522" spans="1:31">
      <c r="A1522" s="6">
        <v>16</v>
      </c>
      <c r="B1522" s="6">
        <f t="shared" si="291"/>
        <v>2</v>
      </c>
      <c r="C1522" s="6" t="str">
        <f t="shared" si="283"/>
        <v>666041200ACushion ICAB FI 2 Row C6482292456005000</v>
      </c>
      <c r="D1522" s="7" t="s">
        <v>403</v>
      </c>
      <c r="E1522" s="6" t="s">
        <v>472</v>
      </c>
      <c r="F1522" s="6"/>
      <c r="G1522" s="7" t="s">
        <v>237</v>
      </c>
      <c r="H1522" s="19"/>
      <c r="I1522" s="19"/>
      <c r="J1522" s="19"/>
      <c r="K1522" s="19"/>
      <c r="L1522" s="14">
        <v>6482292</v>
      </c>
      <c r="M1522" s="22">
        <v>45600</v>
      </c>
      <c r="N1522" s="19" t="s">
        <v>185</v>
      </c>
      <c r="O1522" s="19" t="s">
        <v>332</v>
      </c>
      <c r="P1522" s="15">
        <v>5000</v>
      </c>
      <c r="Q1522" s="15">
        <v>4336185.33</v>
      </c>
      <c r="R1522" s="15">
        <v>87089500</v>
      </c>
      <c r="S1522" s="15">
        <v>5</v>
      </c>
      <c r="T1522" s="19" t="s">
        <v>397</v>
      </c>
      <c r="U1522" s="19" t="s">
        <v>178</v>
      </c>
      <c r="V1522" s="16">
        <f t="shared" si="284"/>
        <v>216809.26650000003</v>
      </c>
      <c r="W1522" s="16">
        <f t="shared" si="285"/>
        <v>21680.926650000005</v>
      </c>
      <c r="X1522" s="16">
        <f t="shared" si="286"/>
        <v>238490.19315000004</v>
      </c>
      <c r="Y1522" s="16">
        <f t="shared" si="287"/>
        <v>47.698038630000006</v>
      </c>
      <c r="Z1522" s="16">
        <f t="shared" si="288"/>
        <v>867.23706600000003</v>
      </c>
      <c r="AA1522" s="17">
        <f t="shared" si="289"/>
        <v>5000</v>
      </c>
      <c r="AB1522" s="10">
        <v>1736</v>
      </c>
      <c r="AC1522" s="18">
        <f t="shared" si="282"/>
        <v>82803.795061680008</v>
      </c>
      <c r="AD1522" s="12">
        <f t="shared" si="292"/>
        <v>5000</v>
      </c>
      <c r="AE1522" s="13">
        <f t="shared" si="290"/>
        <v>0</v>
      </c>
    </row>
    <row r="1523" spans="1:31">
      <c r="A1523" s="6">
        <v>16</v>
      </c>
      <c r="B1523" s="6">
        <f t="shared" si="291"/>
        <v>3</v>
      </c>
      <c r="C1523" s="6" t="str">
        <f t="shared" si="283"/>
        <v>640294200AINFLATOR, ASP-2, GEN15,65265414560213824</v>
      </c>
      <c r="D1523" s="7" t="s">
        <v>403</v>
      </c>
      <c r="E1523" s="6" t="s">
        <v>470</v>
      </c>
      <c r="F1523" s="6"/>
      <c r="G1523" s="7" t="s">
        <v>238</v>
      </c>
      <c r="H1523" s="19"/>
      <c r="I1523" s="19"/>
      <c r="J1523" s="19"/>
      <c r="K1523" s="19"/>
      <c r="L1523" s="14">
        <v>6526541</v>
      </c>
      <c r="M1523" s="22">
        <v>45602</v>
      </c>
      <c r="N1523" s="19" t="s">
        <v>185</v>
      </c>
      <c r="O1523" s="19" t="s">
        <v>332</v>
      </c>
      <c r="P1523" s="15">
        <v>13824</v>
      </c>
      <c r="Q1523" s="15">
        <v>3568768.29</v>
      </c>
      <c r="R1523" s="15">
        <v>87089500</v>
      </c>
      <c r="S1523" s="15">
        <v>15</v>
      </c>
      <c r="T1523" s="19" t="s">
        <v>388</v>
      </c>
      <c r="U1523" s="19" t="s">
        <v>178</v>
      </c>
      <c r="V1523" s="16">
        <f t="shared" si="284"/>
        <v>535315.24349999998</v>
      </c>
      <c r="W1523" s="16">
        <f t="shared" si="285"/>
        <v>53531.52435</v>
      </c>
      <c r="X1523" s="16">
        <f t="shared" si="286"/>
        <v>588846.76784999995</v>
      </c>
      <c r="Y1523" s="16">
        <f t="shared" si="287"/>
        <v>42.595975683593743</v>
      </c>
      <c r="Z1523" s="16">
        <f t="shared" si="288"/>
        <v>258.15742838541667</v>
      </c>
      <c r="AA1523" s="17">
        <f t="shared" si="289"/>
        <v>13824</v>
      </c>
      <c r="AB1523" s="10">
        <v>976</v>
      </c>
      <c r="AC1523" s="18">
        <f t="shared" si="282"/>
        <v>41573.672267187496</v>
      </c>
      <c r="AD1523" s="12">
        <f t="shared" si="292"/>
        <v>12904</v>
      </c>
      <c r="AE1523" s="13">
        <f t="shared" si="290"/>
        <v>920</v>
      </c>
    </row>
    <row r="1524" spans="1:31">
      <c r="A1524" s="6">
        <v>16</v>
      </c>
      <c r="B1524" s="6">
        <f t="shared" si="291"/>
        <v>4</v>
      </c>
      <c r="C1524" s="6" t="str">
        <f t="shared" si="283"/>
        <v>649421100AINFLATOR, ASP-5.1, P20, SRR, IMI, SERV, NO STUDS65265414560212096</v>
      </c>
      <c r="D1524" s="7" t="s">
        <v>403</v>
      </c>
      <c r="E1524" s="6" t="s">
        <v>469</v>
      </c>
      <c r="F1524" s="6"/>
      <c r="G1524" s="7" t="s">
        <v>16</v>
      </c>
      <c r="H1524" s="19"/>
      <c r="I1524" s="19"/>
      <c r="J1524" s="19"/>
      <c r="K1524" s="19"/>
      <c r="L1524" s="14">
        <v>6526541</v>
      </c>
      <c r="M1524" s="22">
        <v>45602</v>
      </c>
      <c r="N1524" s="19" t="s">
        <v>185</v>
      </c>
      <c r="O1524" s="19" t="s">
        <v>332</v>
      </c>
      <c r="P1524" s="15">
        <v>12096</v>
      </c>
      <c r="Q1524" s="15">
        <v>2275845.88</v>
      </c>
      <c r="R1524" s="15">
        <v>87089500</v>
      </c>
      <c r="S1524" s="15">
        <v>15</v>
      </c>
      <c r="T1524" s="19" t="s">
        <v>388</v>
      </c>
      <c r="U1524" s="19" t="s">
        <v>178</v>
      </c>
      <c r="V1524" s="16">
        <f t="shared" si="284"/>
        <v>341376.88199999998</v>
      </c>
      <c r="W1524" s="16">
        <f t="shared" si="285"/>
        <v>34137.688199999997</v>
      </c>
      <c r="X1524" s="16">
        <f t="shared" si="286"/>
        <v>375514.57019999996</v>
      </c>
      <c r="Y1524" s="16">
        <f t="shared" si="287"/>
        <v>31.044524652777774</v>
      </c>
      <c r="Z1524" s="16">
        <f t="shared" si="288"/>
        <v>188.14863425925924</v>
      </c>
      <c r="AA1524" s="17">
        <f t="shared" si="289"/>
        <v>12096</v>
      </c>
      <c r="AB1524" s="10">
        <v>2400</v>
      </c>
      <c r="AC1524" s="18">
        <f t="shared" si="282"/>
        <v>74506.859166666662</v>
      </c>
      <c r="AD1524" s="12">
        <f t="shared" si="292"/>
        <v>11424</v>
      </c>
      <c r="AE1524" s="13">
        <f t="shared" si="290"/>
        <v>672</v>
      </c>
    </row>
    <row r="1525" spans="1:31">
      <c r="A1525" s="6">
        <v>16</v>
      </c>
      <c r="B1525" s="6">
        <f t="shared" si="291"/>
        <v>5</v>
      </c>
      <c r="C1525" s="6" t="str">
        <f t="shared" si="283"/>
        <v>632955901AINFLATORS, APP-4.6 65354374560216416</v>
      </c>
      <c r="D1525" s="7" t="s">
        <v>403</v>
      </c>
      <c r="E1525" s="6" t="s">
        <v>48</v>
      </c>
      <c r="F1525" s="6"/>
      <c r="G1525" s="7" t="s">
        <v>10</v>
      </c>
      <c r="H1525" s="19"/>
      <c r="I1525" s="19"/>
      <c r="J1525" s="19"/>
      <c r="K1525" s="19"/>
      <c r="L1525" s="14">
        <v>6535437</v>
      </c>
      <c r="M1525" s="22">
        <v>45602</v>
      </c>
      <c r="N1525" s="19" t="s">
        <v>185</v>
      </c>
      <c r="O1525" s="19" t="s">
        <v>332</v>
      </c>
      <c r="P1525" s="15">
        <v>16416</v>
      </c>
      <c r="Q1525" s="15">
        <v>6769583.6699999999</v>
      </c>
      <c r="R1525" s="15">
        <v>87089500</v>
      </c>
      <c r="S1525" s="15">
        <v>15</v>
      </c>
      <c r="T1525" s="19" t="s">
        <v>388</v>
      </c>
      <c r="U1525" s="19" t="s">
        <v>178</v>
      </c>
      <c r="V1525" s="16">
        <f t="shared" si="284"/>
        <v>1015437.5504999999</v>
      </c>
      <c r="W1525" s="16">
        <f t="shared" si="285"/>
        <v>101543.75504999999</v>
      </c>
      <c r="X1525" s="16">
        <f t="shared" si="286"/>
        <v>1116981.3055499999</v>
      </c>
      <c r="Y1525" s="16">
        <f t="shared" si="287"/>
        <v>68.042233525219288</v>
      </c>
      <c r="Z1525" s="16">
        <f t="shared" si="288"/>
        <v>412.37717288011697</v>
      </c>
      <c r="AA1525" s="17">
        <f t="shared" si="289"/>
        <v>16416</v>
      </c>
      <c r="AB1525" s="10">
        <v>240</v>
      </c>
      <c r="AC1525" s="18">
        <f t="shared" si="282"/>
        <v>16330.136046052628</v>
      </c>
      <c r="AD1525" s="12">
        <f t="shared" si="292"/>
        <v>1584</v>
      </c>
      <c r="AE1525" s="13">
        <f t="shared" si="290"/>
        <v>14832</v>
      </c>
    </row>
    <row r="1526" spans="1:31">
      <c r="A1526" s="6">
        <v>16</v>
      </c>
      <c r="B1526" s="6">
        <f t="shared" si="291"/>
        <v>6</v>
      </c>
      <c r="C1526" s="6" t="str">
        <f t="shared" si="283"/>
        <v>661147800BMetal Emblem, HMC,64468564559712960</v>
      </c>
      <c r="D1526" s="7" t="s">
        <v>403</v>
      </c>
      <c r="E1526" s="6" t="s">
        <v>479</v>
      </c>
      <c r="F1526" s="6"/>
      <c r="G1526" s="7" t="s">
        <v>395</v>
      </c>
      <c r="H1526" s="19"/>
      <c r="I1526" s="19"/>
      <c r="J1526" s="19"/>
      <c r="K1526" s="19"/>
      <c r="L1526" s="14">
        <v>6446856</v>
      </c>
      <c r="M1526" s="22">
        <v>45597</v>
      </c>
      <c r="N1526" s="19" t="s">
        <v>196</v>
      </c>
      <c r="O1526" s="19" t="s">
        <v>333</v>
      </c>
      <c r="P1526" s="15">
        <v>12960</v>
      </c>
      <c r="Q1526" s="15">
        <v>4105628.64</v>
      </c>
      <c r="R1526" s="15">
        <v>87089500</v>
      </c>
      <c r="S1526" s="15">
        <v>15</v>
      </c>
      <c r="T1526" s="19" t="s">
        <v>398</v>
      </c>
      <c r="U1526" s="19" t="s">
        <v>178</v>
      </c>
      <c r="V1526" s="16">
        <f t="shared" si="284"/>
        <v>615844.29599999997</v>
      </c>
      <c r="W1526" s="16">
        <f t="shared" si="285"/>
        <v>61584.429600000003</v>
      </c>
      <c r="X1526" s="16">
        <f t="shared" si="286"/>
        <v>677428.72560000001</v>
      </c>
      <c r="Y1526" s="16">
        <f t="shared" si="287"/>
        <v>52.270735000000002</v>
      </c>
      <c r="Z1526" s="16">
        <f t="shared" si="288"/>
        <v>316.79233333333332</v>
      </c>
      <c r="AA1526" s="17">
        <f t="shared" si="289"/>
        <v>12960</v>
      </c>
      <c r="AB1526" s="10">
        <v>1083</v>
      </c>
      <c r="AC1526" s="18">
        <f t="shared" si="282"/>
        <v>56609.206005</v>
      </c>
      <c r="AD1526" s="12">
        <f t="shared" si="292"/>
        <v>10453</v>
      </c>
      <c r="AE1526" s="13">
        <f t="shared" si="290"/>
        <v>2507</v>
      </c>
    </row>
    <row r="1527" spans="1:31">
      <c r="A1527" s="6">
        <v>16</v>
      </c>
      <c r="B1527" s="6">
        <f t="shared" si="291"/>
        <v>7</v>
      </c>
      <c r="C1527" s="6" t="str">
        <f t="shared" si="283"/>
        <v>666041100AAB Cushion ICAB FI 2 Row C22875444534610000</v>
      </c>
      <c r="D1527" s="7" t="s">
        <v>403</v>
      </c>
      <c r="E1527" s="6" t="s">
        <v>476</v>
      </c>
      <c r="F1527" s="6"/>
      <c r="G1527" s="7" t="s">
        <v>246</v>
      </c>
      <c r="H1527" s="19"/>
      <c r="I1527" s="19"/>
      <c r="J1527" s="19"/>
      <c r="K1527" s="19"/>
      <c r="L1527" s="14">
        <v>2287544</v>
      </c>
      <c r="M1527" s="22">
        <v>45346</v>
      </c>
      <c r="N1527" s="19" t="s">
        <v>185</v>
      </c>
      <c r="O1527" s="19" t="s">
        <v>332</v>
      </c>
      <c r="P1527" s="15">
        <v>10000</v>
      </c>
      <c r="Q1527" s="15">
        <v>8462664.5199999996</v>
      </c>
      <c r="R1527" s="15">
        <v>87089500</v>
      </c>
      <c r="S1527" s="15">
        <v>5</v>
      </c>
      <c r="T1527" s="19" t="s">
        <v>350</v>
      </c>
      <c r="U1527" s="19" t="s">
        <v>178</v>
      </c>
      <c r="V1527" s="16">
        <f t="shared" si="284"/>
        <v>423133.22600000002</v>
      </c>
      <c r="W1527" s="16">
        <f t="shared" si="285"/>
        <v>42313.322600000007</v>
      </c>
      <c r="X1527" s="16">
        <f t="shared" si="286"/>
        <v>465446.54860000004</v>
      </c>
      <c r="Y1527" s="16">
        <f t="shared" si="287"/>
        <v>46.544654860000001</v>
      </c>
      <c r="Z1527" s="16">
        <f t="shared" si="288"/>
        <v>846.26645199999996</v>
      </c>
      <c r="AA1527" s="17">
        <f t="shared" si="289"/>
        <v>10000</v>
      </c>
      <c r="AB1527" s="10">
        <v>664</v>
      </c>
      <c r="AC1527" s="18">
        <f t="shared" ref="AC1527:AC1590" si="293">AB1527*Y1527</f>
        <v>30905.650827040001</v>
      </c>
      <c r="AD1527" s="12">
        <f t="shared" si="292"/>
        <v>9680</v>
      </c>
      <c r="AE1527" s="13">
        <f t="shared" si="290"/>
        <v>320</v>
      </c>
    </row>
    <row r="1528" spans="1:31">
      <c r="A1528" s="6">
        <v>16</v>
      </c>
      <c r="B1528" s="6">
        <f t="shared" si="291"/>
        <v>8</v>
      </c>
      <c r="C1528" s="6" t="str">
        <f t="shared" si="283"/>
        <v>640294000AAB INFLATOR, ASP-2, GEN15,23468634535010368</v>
      </c>
      <c r="D1528" s="7" t="s">
        <v>403</v>
      </c>
      <c r="E1528" s="6" t="s">
        <v>475</v>
      </c>
      <c r="F1528" s="6"/>
      <c r="G1528" s="7" t="s">
        <v>244</v>
      </c>
      <c r="H1528" s="19"/>
      <c r="I1528" s="19"/>
      <c r="J1528" s="19"/>
      <c r="K1528" s="19"/>
      <c r="L1528" s="14">
        <v>2346863</v>
      </c>
      <c r="M1528" s="22">
        <v>45350</v>
      </c>
      <c r="N1528" s="19" t="s">
        <v>197</v>
      </c>
      <c r="O1528" s="19" t="s">
        <v>333</v>
      </c>
      <c r="P1528" s="15">
        <v>10368</v>
      </c>
      <c r="Q1528" s="15">
        <v>2687626.04</v>
      </c>
      <c r="R1528" s="15">
        <v>87089500</v>
      </c>
      <c r="S1528" s="15">
        <v>15</v>
      </c>
      <c r="T1528" s="19" t="s">
        <v>202</v>
      </c>
      <c r="U1528" s="19" t="s">
        <v>200</v>
      </c>
      <c r="V1528" s="16">
        <f t="shared" si="284"/>
        <v>403143.90600000002</v>
      </c>
      <c r="W1528" s="16">
        <f t="shared" si="285"/>
        <v>40314.390600000006</v>
      </c>
      <c r="X1528" s="16">
        <f t="shared" si="286"/>
        <v>443458.2966</v>
      </c>
      <c r="Y1528" s="16">
        <f t="shared" si="287"/>
        <v>42.771826446759256</v>
      </c>
      <c r="Z1528" s="16">
        <f t="shared" si="288"/>
        <v>259.22319058641978</v>
      </c>
      <c r="AA1528" s="17">
        <f t="shared" si="289"/>
        <v>10368</v>
      </c>
      <c r="AB1528" s="10">
        <v>2632</v>
      </c>
      <c r="AC1528" s="18">
        <f t="shared" si="293"/>
        <v>112575.44720787037</v>
      </c>
      <c r="AD1528" s="12">
        <f t="shared" si="292"/>
        <v>9872</v>
      </c>
      <c r="AE1528" s="13">
        <f t="shared" si="290"/>
        <v>496</v>
      </c>
    </row>
    <row r="1529" spans="1:31">
      <c r="A1529" s="6">
        <v>16</v>
      </c>
      <c r="B1529" s="6">
        <f t="shared" si="291"/>
        <v>9</v>
      </c>
      <c r="C1529" s="6" t="str">
        <f t="shared" si="283"/>
        <v>649421000AAB INFLATOR, ASP-5.1, P20, SRR, IMI, SERV, NO STUDS97125144530913824</v>
      </c>
      <c r="D1529" s="7" t="s">
        <v>403</v>
      </c>
      <c r="E1529" s="6" t="s">
        <v>56</v>
      </c>
      <c r="F1529" s="6"/>
      <c r="G1529" s="7" t="s">
        <v>245</v>
      </c>
      <c r="H1529" s="19"/>
      <c r="I1529" s="19"/>
      <c r="J1529" s="19"/>
      <c r="K1529" s="19"/>
      <c r="L1529" s="14">
        <v>9712514</v>
      </c>
      <c r="M1529" s="22">
        <v>45309</v>
      </c>
      <c r="N1529" s="19" t="s">
        <v>197</v>
      </c>
      <c r="O1529" s="19" t="s">
        <v>333</v>
      </c>
      <c r="P1529" s="15">
        <v>13824</v>
      </c>
      <c r="Q1529" s="15">
        <v>2091482.84</v>
      </c>
      <c r="R1529" s="15">
        <v>87089500</v>
      </c>
      <c r="S1529" s="15">
        <v>15</v>
      </c>
      <c r="T1529" s="19" t="s">
        <v>380</v>
      </c>
      <c r="U1529" s="19" t="s">
        <v>200</v>
      </c>
      <c r="V1529" s="16">
        <f t="shared" si="284"/>
        <v>313722.42599999998</v>
      </c>
      <c r="W1529" s="16">
        <f t="shared" si="285"/>
        <v>31372.242599999998</v>
      </c>
      <c r="X1529" s="16">
        <f t="shared" si="286"/>
        <v>345094.66859999998</v>
      </c>
      <c r="Y1529" s="16">
        <f t="shared" si="287"/>
        <v>24.963445355902778</v>
      </c>
      <c r="Z1529" s="16">
        <f t="shared" si="288"/>
        <v>151.29360821759261</v>
      </c>
      <c r="AA1529" s="17">
        <f t="shared" si="289"/>
        <v>13824</v>
      </c>
      <c r="AB1529" s="10">
        <v>2496</v>
      </c>
      <c r="AC1529" s="18">
        <f t="shared" si="293"/>
        <v>62308.759608333334</v>
      </c>
      <c r="AD1529" s="12">
        <f t="shared" si="292"/>
        <v>11712</v>
      </c>
      <c r="AE1529" s="13">
        <f t="shared" si="290"/>
        <v>2112</v>
      </c>
    </row>
    <row r="1530" spans="1:31">
      <c r="A1530" s="6">
        <v>16</v>
      </c>
      <c r="B1530" s="6">
        <f t="shared" si="291"/>
        <v>10</v>
      </c>
      <c r="C1530" s="6" t="str">
        <f t="shared" si="283"/>
        <v>566253211EADAPTER, CAR SENS, RETRA ALL VERSIONS390969644984216000</v>
      </c>
      <c r="D1530" s="7" t="s">
        <v>403</v>
      </c>
      <c r="E1530" s="6" t="s">
        <v>58</v>
      </c>
      <c r="F1530" s="6"/>
      <c r="G1530" s="7" t="s">
        <v>18</v>
      </c>
      <c r="H1530" s="19"/>
      <c r="I1530" s="19"/>
      <c r="J1530" s="19"/>
      <c r="K1530" s="19"/>
      <c r="L1530" s="14">
        <v>3909696</v>
      </c>
      <c r="M1530" s="22">
        <v>44984</v>
      </c>
      <c r="N1530" s="19" t="s">
        <v>199</v>
      </c>
      <c r="O1530" s="19" t="s">
        <v>332</v>
      </c>
      <c r="P1530" s="15">
        <v>216000</v>
      </c>
      <c r="Q1530" s="15">
        <v>549354.86</v>
      </c>
      <c r="R1530" s="15">
        <v>87082900</v>
      </c>
      <c r="S1530" s="15">
        <v>15</v>
      </c>
      <c r="T1530" s="19" t="s">
        <v>308</v>
      </c>
      <c r="U1530" s="19" t="s">
        <v>178</v>
      </c>
      <c r="V1530" s="16">
        <f t="shared" si="284"/>
        <v>82403.228999999992</v>
      </c>
      <c r="W1530" s="16">
        <f t="shared" si="285"/>
        <v>8240.3228999999992</v>
      </c>
      <c r="X1530" s="16">
        <f t="shared" si="286"/>
        <v>90643.551899999991</v>
      </c>
      <c r="Y1530" s="16">
        <f t="shared" si="287"/>
        <v>0.41964607361111106</v>
      </c>
      <c r="Z1530" s="16">
        <f t="shared" si="288"/>
        <v>2.5433095370370369</v>
      </c>
      <c r="AA1530" s="17">
        <f t="shared" si="289"/>
        <v>216000</v>
      </c>
      <c r="AB1530" s="10">
        <v>1956</v>
      </c>
      <c r="AC1530" s="18">
        <f t="shared" si="293"/>
        <v>820.82771998333328</v>
      </c>
      <c r="AD1530" s="12">
        <f t="shared" si="292"/>
        <v>86652</v>
      </c>
      <c r="AE1530" s="13">
        <f t="shared" si="290"/>
        <v>129348</v>
      </c>
    </row>
    <row r="1531" spans="1:31">
      <c r="A1531" s="6">
        <v>16</v>
      </c>
      <c r="B1531" s="6">
        <f t="shared" si="291"/>
        <v>11</v>
      </c>
      <c r="C1531" s="6" t="str">
        <f t="shared" si="283"/>
        <v>632154400AADHESIVE, PAD 40785224493620000</v>
      </c>
      <c r="D1531" s="7" t="s">
        <v>403</v>
      </c>
      <c r="E1531" s="6" t="s">
        <v>79</v>
      </c>
      <c r="F1531" s="6"/>
      <c r="G1531" s="7" t="s">
        <v>39</v>
      </c>
      <c r="H1531" s="19"/>
      <c r="I1531" s="19"/>
      <c r="J1531" s="19"/>
      <c r="K1531" s="19"/>
      <c r="L1531" s="14">
        <v>4078522</v>
      </c>
      <c r="M1531" s="22">
        <v>44936</v>
      </c>
      <c r="N1531" s="19" t="s">
        <v>196</v>
      </c>
      <c r="O1531" s="19" t="s">
        <v>333</v>
      </c>
      <c r="P1531" s="15">
        <v>20000</v>
      </c>
      <c r="Q1531" s="15">
        <v>66978.789999999994</v>
      </c>
      <c r="R1531" s="15">
        <v>87082900</v>
      </c>
      <c r="S1531" s="15">
        <v>15</v>
      </c>
      <c r="T1531" s="19" t="s">
        <v>201</v>
      </c>
      <c r="U1531" s="19" t="s">
        <v>178</v>
      </c>
      <c r="V1531" s="16">
        <f t="shared" si="284"/>
        <v>10046.818499999999</v>
      </c>
      <c r="W1531" s="16">
        <f t="shared" si="285"/>
        <v>1004.6818499999999</v>
      </c>
      <c r="X1531" s="16">
        <f t="shared" si="286"/>
        <v>11051.500349999998</v>
      </c>
      <c r="Y1531" s="16">
        <f t="shared" si="287"/>
        <v>0.55257501749999993</v>
      </c>
      <c r="Z1531" s="16">
        <f t="shared" si="288"/>
        <v>3.3489394999999997</v>
      </c>
      <c r="AA1531" s="17">
        <f t="shared" si="289"/>
        <v>20000</v>
      </c>
      <c r="AB1531" s="10">
        <v>1956</v>
      </c>
      <c r="AC1531" s="18">
        <f t="shared" si="293"/>
        <v>1080.8367342299998</v>
      </c>
      <c r="AD1531" s="12">
        <f t="shared" si="292"/>
        <v>18136</v>
      </c>
      <c r="AE1531" s="13">
        <f t="shared" si="290"/>
        <v>1864</v>
      </c>
    </row>
    <row r="1532" spans="1:31">
      <c r="A1532" s="6">
        <v>16</v>
      </c>
      <c r="B1532" s="6">
        <f t="shared" si="291"/>
        <v>12</v>
      </c>
      <c r="C1532" s="6" t="str">
        <f t="shared" si="283"/>
        <v>618470500EBEARING, CAR SENS, RETRA All Versions, Noise redu717838944902100800</v>
      </c>
      <c r="D1532" s="7" t="s">
        <v>403</v>
      </c>
      <c r="E1532" s="6" t="s">
        <v>68</v>
      </c>
      <c r="F1532" s="6"/>
      <c r="G1532" s="7" t="s">
        <v>28</v>
      </c>
      <c r="H1532" s="19"/>
      <c r="I1532" s="19"/>
      <c r="J1532" s="19"/>
      <c r="K1532" s="19"/>
      <c r="L1532" s="14">
        <v>7178389</v>
      </c>
      <c r="M1532" s="22">
        <v>44902</v>
      </c>
      <c r="N1532" s="19" t="s">
        <v>185</v>
      </c>
      <c r="O1532" s="19" t="s">
        <v>332</v>
      </c>
      <c r="P1532" s="15">
        <v>100800</v>
      </c>
      <c r="Q1532" s="15">
        <v>397158.13</v>
      </c>
      <c r="R1532" s="15">
        <v>87082900</v>
      </c>
      <c r="S1532" s="15">
        <v>15</v>
      </c>
      <c r="T1532" s="19" t="s">
        <v>315</v>
      </c>
      <c r="U1532" s="19" t="s">
        <v>178</v>
      </c>
      <c r="V1532" s="16">
        <f t="shared" si="284"/>
        <v>59573.719499999999</v>
      </c>
      <c r="W1532" s="16">
        <f t="shared" si="285"/>
        <v>5957.3719500000007</v>
      </c>
      <c r="X1532" s="16">
        <f t="shared" si="286"/>
        <v>65531.09145</v>
      </c>
      <c r="Y1532" s="16">
        <f t="shared" si="287"/>
        <v>0.65011003422619051</v>
      </c>
      <c r="Z1532" s="16">
        <f t="shared" si="288"/>
        <v>3.9400608134920634</v>
      </c>
      <c r="AA1532" s="17">
        <f t="shared" si="289"/>
        <v>100800</v>
      </c>
      <c r="AB1532" s="10">
        <v>1956</v>
      </c>
      <c r="AC1532" s="18">
        <f t="shared" si="293"/>
        <v>1271.6152269464287</v>
      </c>
      <c r="AD1532" s="12">
        <f t="shared" si="292"/>
        <v>31068</v>
      </c>
      <c r="AE1532" s="13">
        <f t="shared" si="290"/>
        <v>69732</v>
      </c>
    </row>
    <row r="1533" spans="1:31">
      <c r="A1533" s="6">
        <v>16</v>
      </c>
      <c r="B1533" s="6">
        <f t="shared" si="291"/>
        <v>13</v>
      </c>
      <c r="C1533" s="6" t="str">
        <f t="shared" si="283"/>
        <v>601256700GBUSH, RETRACTOR, R27, AL ALL VERSIONS405080544944160000</v>
      </c>
      <c r="D1533" s="7" t="s">
        <v>403</v>
      </c>
      <c r="E1533" s="6" t="s">
        <v>62</v>
      </c>
      <c r="F1533" s="6"/>
      <c r="G1533" s="7" t="s">
        <v>22</v>
      </c>
      <c r="H1533" s="19"/>
      <c r="I1533" s="19"/>
      <c r="J1533" s="19"/>
      <c r="K1533" s="19"/>
      <c r="L1533" s="14">
        <v>4050805</v>
      </c>
      <c r="M1533" s="22">
        <v>44944</v>
      </c>
      <c r="N1533" s="19" t="s">
        <v>196</v>
      </c>
      <c r="O1533" s="19" t="s">
        <v>333</v>
      </c>
      <c r="P1533" s="15">
        <v>160000</v>
      </c>
      <c r="Q1533" s="15">
        <v>278597.26</v>
      </c>
      <c r="R1533" s="15">
        <v>87082900</v>
      </c>
      <c r="S1533" s="15">
        <v>15</v>
      </c>
      <c r="T1533" s="19" t="s">
        <v>312</v>
      </c>
      <c r="U1533" s="19" t="s">
        <v>178</v>
      </c>
      <c r="V1533" s="16">
        <f t="shared" si="284"/>
        <v>41789.589</v>
      </c>
      <c r="W1533" s="16">
        <f t="shared" si="285"/>
        <v>4178.9589000000005</v>
      </c>
      <c r="X1533" s="16">
        <f t="shared" si="286"/>
        <v>45968.547899999998</v>
      </c>
      <c r="Y1533" s="16">
        <f t="shared" si="287"/>
        <v>0.287303424375</v>
      </c>
      <c r="Z1533" s="16">
        <f t="shared" si="288"/>
        <v>1.7412328750000001</v>
      </c>
      <c r="AA1533" s="17">
        <f t="shared" si="289"/>
        <v>160000</v>
      </c>
      <c r="AB1533" s="10">
        <v>1956</v>
      </c>
      <c r="AC1533" s="18">
        <f t="shared" si="293"/>
        <v>561.9654980775</v>
      </c>
      <c r="AD1533" s="12">
        <f t="shared" si="292"/>
        <v>86652</v>
      </c>
      <c r="AE1533" s="13">
        <f t="shared" si="290"/>
        <v>73348</v>
      </c>
    </row>
    <row r="1534" spans="1:31">
      <c r="A1534" s="6">
        <v>16</v>
      </c>
      <c r="B1534" s="6">
        <f t="shared" si="291"/>
        <v>14</v>
      </c>
      <c r="C1534" s="6" t="str">
        <f t="shared" si="283"/>
        <v>560050622CCHANNEL, BUCKLE, K12 ROA K12A/AT, RIVET BUCKLE, S505596944994224000</v>
      </c>
      <c r="D1534" s="7" t="s">
        <v>403</v>
      </c>
      <c r="E1534" s="6" t="s">
        <v>72</v>
      </c>
      <c r="F1534" s="6"/>
      <c r="G1534" s="7" t="s">
        <v>32</v>
      </c>
      <c r="H1534" s="19"/>
      <c r="I1534" s="19"/>
      <c r="J1534" s="19"/>
      <c r="K1534" s="19"/>
      <c r="L1534" s="14">
        <v>5055969</v>
      </c>
      <c r="M1534" s="22">
        <v>44994</v>
      </c>
      <c r="N1534" s="19" t="s">
        <v>197</v>
      </c>
      <c r="O1534" s="19" t="s">
        <v>333</v>
      </c>
      <c r="P1534" s="15">
        <v>224000</v>
      </c>
      <c r="Q1534" s="15">
        <v>3980591.44</v>
      </c>
      <c r="R1534" s="15">
        <v>87082900</v>
      </c>
      <c r="S1534" s="15">
        <v>15</v>
      </c>
      <c r="T1534" s="19" t="s">
        <v>318</v>
      </c>
      <c r="U1534" s="19" t="s">
        <v>178</v>
      </c>
      <c r="V1534" s="16">
        <f t="shared" si="284"/>
        <v>597088.71600000001</v>
      </c>
      <c r="W1534" s="16">
        <f t="shared" si="285"/>
        <v>59708.871600000006</v>
      </c>
      <c r="X1534" s="16">
        <f t="shared" si="286"/>
        <v>656797.58759999997</v>
      </c>
      <c r="Y1534" s="16">
        <f t="shared" si="287"/>
        <v>2.9321320874999999</v>
      </c>
      <c r="Z1534" s="16">
        <f t="shared" si="288"/>
        <v>17.770497500000001</v>
      </c>
      <c r="AA1534" s="17">
        <f t="shared" si="289"/>
        <v>224000</v>
      </c>
      <c r="AB1534" s="10">
        <v>1504</v>
      </c>
      <c r="AC1534" s="18">
        <f t="shared" si="293"/>
        <v>4409.9266595999998</v>
      </c>
      <c r="AD1534" s="12">
        <f t="shared" si="292"/>
        <v>67232</v>
      </c>
      <c r="AE1534" s="13">
        <f t="shared" si="290"/>
        <v>156768</v>
      </c>
    </row>
    <row r="1535" spans="1:31">
      <c r="A1535" s="6">
        <v>16</v>
      </c>
      <c r="B1535" s="6">
        <f t="shared" si="291"/>
        <v>15</v>
      </c>
      <c r="C1535" s="6" t="str">
        <f t="shared" si="283"/>
        <v>601487200CCOVER, RETRACTOR, R27, S SYSTEMKAPPE DELRIN 100T43274964495048000</v>
      </c>
      <c r="D1535" s="7" t="s">
        <v>403</v>
      </c>
      <c r="E1535" s="6" t="s">
        <v>64</v>
      </c>
      <c r="F1535" s="6"/>
      <c r="G1535" s="7" t="s">
        <v>24</v>
      </c>
      <c r="H1535" s="19"/>
      <c r="I1535" s="19"/>
      <c r="J1535" s="19"/>
      <c r="K1535" s="19"/>
      <c r="L1535" s="14">
        <v>4327496</v>
      </c>
      <c r="M1535" s="22">
        <v>44950</v>
      </c>
      <c r="N1535" s="19" t="s">
        <v>199</v>
      </c>
      <c r="O1535" s="19" t="s">
        <v>332</v>
      </c>
      <c r="P1535" s="15">
        <v>48000</v>
      </c>
      <c r="Q1535" s="15">
        <v>514349.16</v>
      </c>
      <c r="R1535" s="15">
        <v>87082900</v>
      </c>
      <c r="S1535" s="15">
        <v>15</v>
      </c>
      <c r="T1535" s="19" t="s">
        <v>307</v>
      </c>
      <c r="U1535" s="19" t="s">
        <v>178</v>
      </c>
      <c r="V1535" s="16">
        <f t="shared" si="284"/>
        <v>77152.373999999996</v>
      </c>
      <c r="W1535" s="16">
        <f t="shared" si="285"/>
        <v>7715.2374</v>
      </c>
      <c r="X1535" s="16">
        <f t="shared" si="286"/>
        <v>84867.611399999994</v>
      </c>
      <c r="Y1535" s="16">
        <f t="shared" si="287"/>
        <v>1.7680752375</v>
      </c>
      <c r="Z1535" s="16">
        <f t="shared" si="288"/>
        <v>10.715607499999999</v>
      </c>
      <c r="AA1535" s="17">
        <f t="shared" si="289"/>
        <v>48000</v>
      </c>
      <c r="AB1535" s="10">
        <v>972</v>
      </c>
      <c r="AC1535" s="18">
        <f t="shared" si="293"/>
        <v>1718.56913085</v>
      </c>
      <c r="AD1535" s="12">
        <f t="shared" si="292"/>
        <v>47964</v>
      </c>
      <c r="AE1535" s="13">
        <f t="shared" si="290"/>
        <v>36</v>
      </c>
    </row>
    <row r="1536" spans="1:31">
      <c r="A1536" s="6">
        <v>16</v>
      </c>
      <c r="B1536" s="6">
        <f t="shared" si="291"/>
        <v>16</v>
      </c>
      <c r="C1536" s="6" t="str">
        <f t="shared" si="283"/>
        <v>654590800ACUSHION COMPONENTS CVR NON-WOVEN RH SU2ID9128565447273600</v>
      </c>
      <c r="D1536" s="7" t="s">
        <v>403</v>
      </c>
      <c r="E1536" s="6" t="s">
        <v>480</v>
      </c>
      <c r="F1536" s="6"/>
      <c r="G1536" s="7" t="s">
        <v>396</v>
      </c>
      <c r="H1536" s="19"/>
      <c r="I1536" s="19"/>
      <c r="J1536" s="19"/>
      <c r="K1536" s="19"/>
      <c r="L1536" s="14">
        <v>9128565</v>
      </c>
      <c r="M1536" s="22">
        <v>44727</v>
      </c>
      <c r="N1536" s="19" t="s">
        <v>196</v>
      </c>
      <c r="O1536" s="19" t="s">
        <v>333</v>
      </c>
      <c r="P1536" s="15">
        <v>3600</v>
      </c>
      <c r="Q1536" s="15">
        <v>51213.09</v>
      </c>
      <c r="R1536" s="15">
        <v>87089500</v>
      </c>
      <c r="S1536" s="15">
        <v>15</v>
      </c>
      <c r="T1536" s="19" t="s">
        <v>347</v>
      </c>
      <c r="U1536" s="19" t="s">
        <v>178</v>
      </c>
      <c r="V1536" s="16">
        <f t="shared" si="284"/>
        <v>7681.9634999999989</v>
      </c>
      <c r="W1536" s="16">
        <f t="shared" si="285"/>
        <v>768.19634999999994</v>
      </c>
      <c r="X1536" s="16">
        <f t="shared" si="286"/>
        <v>8450.1598499999982</v>
      </c>
      <c r="Y1536" s="16">
        <f t="shared" si="287"/>
        <v>2.3472666249999996</v>
      </c>
      <c r="Z1536" s="16">
        <f t="shared" si="288"/>
        <v>14.225858333333333</v>
      </c>
      <c r="AA1536" s="17">
        <f t="shared" si="289"/>
        <v>3600</v>
      </c>
      <c r="AB1536" s="10">
        <v>952</v>
      </c>
      <c r="AC1536" s="18">
        <f t="shared" si="293"/>
        <v>2234.5978269999996</v>
      </c>
      <c r="AD1536" s="12">
        <f t="shared" si="292"/>
        <v>3160</v>
      </c>
      <c r="AE1536" s="13">
        <f t="shared" si="290"/>
        <v>440</v>
      </c>
    </row>
    <row r="1537" spans="1:31">
      <c r="A1537" s="6">
        <v>16</v>
      </c>
      <c r="B1537" s="6">
        <f t="shared" si="291"/>
        <v>17</v>
      </c>
      <c r="C1537" s="6" t="str">
        <f t="shared" si="283"/>
        <v>666041200ACushion ICAB FI 2 Row C3571680454325000</v>
      </c>
      <c r="D1537" s="7" t="s">
        <v>403</v>
      </c>
      <c r="E1537" s="6" t="s">
        <v>472</v>
      </c>
      <c r="F1537" s="6"/>
      <c r="G1537" s="7" t="s">
        <v>237</v>
      </c>
      <c r="H1537" s="19"/>
      <c r="I1537" s="19"/>
      <c r="J1537" s="19"/>
      <c r="K1537" s="19"/>
      <c r="L1537" s="14">
        <v>3571680</v>
      </c>
      <c r="M1537" s="22">
        <v>45432</v>
      </c>
      <c r="N1537" s="19" t="s">
        <v>185</v>
      </c>
      <c r="O1537" s="19" t="s">
        <v>332</v>
      </c>
      <c r="P1537" s="15">
        <v>5000</v>
      </c>
      <c r="Q1537" s="15">
        <v>4260260</v>
      </c>
      <c r="R1537" s="15">
        <v>87089500</v>
      </c>
      <c r="S1537" s="15">
        <v>5</v>
      </c>
      <c r="T1537" s="19" t="s">
        <v>350</v>
      </c>
      <c r="U1537" s="19" t="s">
        <v>178</v>
      </c>
      <c r="V1537" s="16">
        <f t="shared" si="284"/>
        <v>213013</v>
      </c>
      <c r="W1537" s="16">
        <f t="shared" si="285"/>
        <v>21301.300000000003</v>
      </c>
      <c r="X1537" s="16">
        <f t="shared" si="286"/>
        <v>234314.3</v>
      </c>
      <c r="Y1537" s="16">
        <f t="shared" si="287"/>
        <v>46.862859999999998</v>
      </c>
      <c r="Z1537" s="16">
        <f t="shared" si="288"/>
        <v>852.05200000000002</v>
      </c>
      <c r="AA1537" s="17">
        <f t="shared" si="289"/>
        <v>5000</v>
      </c>
      <c r="AB1537" s="10">
        <v>568</v>
      </c>
      <c r="AC1537" s="18">
        <f t="shared" si="293"/>
        <v>26618.104479999998</v>
      </c>
      <c r="AD1537" s="12">
        <f t="shared" si="292"/>
        <v>4712</v>
      </c>
      <c r="AE1537" s="13">
        <f t="shared" si="290"/>
        <v>288</v>
      </c>
    </row>
    <row r="1538" spans="1:31">
      <c r="A1538" s="6">
        <v>16</v>
      </c>
      <c r="B1538" s="6">
        <f t="shared" si="291"/>
        <v>18</v>
      </c>
      <c r="C1538" s="6" t="str">
        <f t="shared" ref="C1538:C1601" si="294">E1538&amp;G1538&amp;L1538&amp;M1538&amp;P1538</f>
        <v>655226900AINFLATOR APP-4.6, 325KPA 1.8MOL, STANDARD MIB SQU9712514453096048</v>
      </c>
      <c r="D1538" s="7" t="s">
        <v>403</v>
      </c>
      <c r="E1538" s="6" t="s">
        <v>130</v>
      </c>
      <c r="F1538" s="6"/>
      <c r="G1538" s="7" t="s">
        <v>102</v>
      </c>
      <c r="H1538" s="19"/>
      <c r="I1538" s="19"/>
      <c r="J1538" s="19"/>
      <c r="K1538" s="19"/>
      <c r="L1538" s="14">
        <v>9712514</v>
      </c>
      <c r="M1538" s="22">
        <v>45309</v>
      </c>
      <c r="N1538" s="19" t="s">
        <v>197</v>
      </c>
      <c r="O1538" s="19" t="s">
        <v>333</v>
      </c>
      <c r="P1538" s="15">
        <v>6048</v>
      </c>
      <c r="Q1538" s="15">
        <v>1926932.35</v>
      </c>
      <c r="R1538" s="15">
        <v>87089500</v>
      </c>
      <c r="S1538" s="15">
        <v>15</v>
      </c>
      <c r="T1538" s="19" t="s">
        <v>380</v>
      </c>
      <c r="U1538" s="19" t="s">
        <v>200</v>
      </c>
      <c r="V1538" s="16">
        <f t="shared" si="284"/>
        <v>289039.85249999998</v>
      </c>
      <c r="W1538" s="16">
        <f t="shared" si="285"/>
        <v>28903.985249999998</v>
      </c>
      <c r="X1538" s="16">
        <f t="shared" si="286"/>
        <v>317943.83774999995</v>
      </c>
      <c r="Y1538" s="16">
        <f t="shared" si="287"/>
        <v>52.570078993055546</v>
      </c>
      <c r="Z1538" s="16">
        <f t="shared" si="288"/>
        <v>318.60653935185189</v>
      </c>
      <c r="AA1538" s="17">
        <f t="shared" si="289"/>
        <v>6048</v>
      </c>
      <c r="AB1538" s="10">
        <v>3048</v>
      </c>
      <c r="AC1538" s="18">
        <f t="shared" si="293"/>
        <v>160233.60077083329</v>
      </c>
      <c r="AD1538" s="12">
        <f t="shared" si="292"/>
        <v>4128</v>
      </c>
      <c r="AE1538" s="13">
        <f t="shared" si="290"/>
        <v>1920</v>
      </c>
    </row>
    <row r="1539" spans="1:31">
      <c r="A1539" s="6">
        <v>16</v>
      </c>
      <c r="B1539" s="6">
        <f t="shared" si="291"/>
        <v>19</v>
      </c>
      <c r="C1539" s="6" t="str">
        <f t="shared" si="294"/>
        <v>643302000AINFLATOR, ADP-1.3B, MP, MIB, SQUARE, NO STUD94867304529219872</v>
      </c>
      <c r="D1539" s="7" t="s">
        <v>403</v>
      </c>
      <c r="E1539" s="6" t="s">
        <v>46</v>
      </c>
      <c r="F1539" s="6"/>
      <c r="G1539" s="7" t="s">
        <v>8</v>
      </c>
      <c r="H1539" s="19"/>
      <c r="I1539" s="19"/>
      <c r="J1539" s="19"/>
      <c r="K1539" s="19"/>
      <c r="L1539" s="14">
        <v>9486730</v>
      </c>
      <c r="M1539" s="22">
        <v>45292</v>
      </c>
      <c r="N1539" s="19" t="s">
        <v>197</v>
      </c>
      <c r="O1539" s="19" t="s">
        <v>333</v>
      </c>
      <c r="P1539" s="15">
        <v>19872</v>
      </c>
      <c r="Q1539" s="15">
        <v>5160310.24</v>
      </c>
      <c r="R1539" s="15">
        <v>87089500</v>
      </c>
      <c r="S1539" s="15">
        <v>15</v>
      </c>
      <c r="T1539" s="19" t="s">
        <v>202</v>
      </c>
      <c r="U1539" s="19" t="s">
        <v>178</v>
      </c>
      <c r="V1539" s="16">
        <f t="shared" si="284"/>
        <v>774046.53599999996</v>
      </c>
      <c r="W1539" s="16">
        <f t="shared" si="285"/>
        <v>77404.653600000005</v>
      </c>
      <c r="X1539" s="16">
        <f t="shared" si="286"/>
        <v>851451.18959999993</v>
      </c>
      <c r="Y1539" s="16">
        <f t="shared" si="287"/>
        <v>42.846778864734297</v>
      </c>
      <c r="Z1539" s="16">
        <f t="shared" si="288"/>
        <v>259.67744766505638</v>
      </c>
      <c r="AA1539" s="17">
        <f t="shared" si="289"/>
        <v>19872</v>
      </c>
      <c r="AB1539" s="10">
        <v>1536</v>
      </c>
      <c r="AC1539" s="18">
        <f t="shared" si="293"/>
        <v>65812.652336231884</v>
      </c>
      <c r="AD1539" s="12">
        <f t="shared" si="292"/>
        <v>19872</v>
      </c>
      <c r="AE1539" s="13">
        <f t="shared" si="290"/>
        <v>0</v>
      </c>
    </row>
    <row r="1540" spans="1:31">
      <c r="A1540" s="6">
        <v>16</v>
      </c>
      <c r="B1540" s="6">
        <f t="shared" si="291"/>
        <v>20</v>
      </c>
      <c r="C1540" s="6" t="str">
        <f t="shared" si="294"/>
        <v>655116100ALABEL, BLANK, 50.0, 25.0  LABEL, BLANK, 2PCS, 50X98316604531630000</v>
      </c>
      <c r="D1540" s="7" t="s">
        <v>403</v>
      </c>
      <c r="E1540" s="6" t="s">
        <v>49</v>
      </c>
      <c r="F1540" s="6"/>
      <c r="G1540" s="7" t="s">
        <v>11</v>
      </c>
      <c r="H1540" s="19"/>
      <c r="I1540" s="19"/>
      <c r="J1540" s="19"/>
      <c r="K1540" s="19"/>
      <c r="L1540" s="14">
        <v>9831660</v>
      </c>
      <c r="M1540" s="22">
        <v>45316</v>
      </c>
      <c r="N1540" s="19" t="s">
        <v>196</v>
      </c>
      <c r="O1540" s="19" t="s">
        <v>333</v>
      </c>
      <c r="P1540" s="15">
        <v>30000</v>
      </c>
      <c r="Q1540" s="15">
        <v>87652.89</v>
      </c>
      <c r="R1540" s="15">
        <v>87089500</v>
      </c>
      <c r="S1540" s="15">
        <v>15</v>
      </c>
      <c r="T1540" s="19" t="s">
        <v>303</v>
      </c>
      <c r="U1540" s="19" t="s">
        <v>178</v>
      </c>
      <c r="V1540" s="16">
        <f t="shared" ref="V1540:V1603" si="295">Q1540*S1540%</f>
        <v>13147.933499999999</v>
      </c>
      <c r="W1540" s="16">
        <f t="shared" ref="W1540:W1603" si="296">V1540*0.1</f>
        <v>1314.7933499999999</v>
      </c>
      <c r="X1540" s="16">
        <f t="shared" ref="X1540:X1603" si="297">V1540+W1540</f>
        <v>14462.726849999999</v>
      </c>
      <c r="Y1540" s="16">
        <f t="shared" ref="Y1540:Y1603" si="298">X1540/P1540</f>
        <v>0.48209089499999996</v>
      </c>
      <c r="Z1540" s="16">
        <f t="shared" ref="Z1540:Z1603" si="299">Q1540/P1540</f>
        <v>2.9217629999999999</v>
      </c>
      <c r="AA1540" s="17">
        <f t="shared" ref="AA1540:AA1603" si="300">P1540</f>
        <v>30000</v>
      </c>
      <c r="AB1540" s="10">
        <v>3288</v>
      </c>
      <c r="AC1540" s="18">
        <f t="shared" si="293"/>
        <v>1585.1148627599998</v>
      </c>
      <c r="AD1540" s="12">
        <f t="shared" si="292"/>
        <v>24771</v>
      </c>
      <c r="AE1540" s="13">
        <f t="shared" ref="AE1540:AE1603" si="301">AA1540-AD1540</f>
        <v>5229</v>
      </c>
    </row>
    <row r="1541" spans="1:31">
      <c r="A1541" s="6">
        <v>16</v>
      </c>
      <c r="B1541" s="6">
        <f t="shared" si="291"/>
        <v>21</v>
      </c>
      <c r="C1541" s="6" t="str">
        <f t="shared" si="294"/>
        <v>642837500BLABEL, BLANK, BAR CODE953025945295100000</v>
      </c>
      <c r="D1541" s="7" t="s">
        <v>403</v>
      </c>
      <c r="E1541" s="6" t="s">
        <v>478</v>
      </c>
      <c r="F1541" s="6"/>
      <c r="G1541" s="7" t="s">
        <v>369</v>
      </c>
      <c r="H1541" s="19"/>
      <c r="I1541" s="19"/>
      <c r="J1541" s="19"/>
      <c r="K1541" s="19"/>
      <c r="L1541" s="14">
        <v>9530259</v>
      </c>
      <c r="M1541" s="22">
        <v>45295</v>
      </c>
      <c r="N1541" s="19" t="s">
        <v>196</v>
      </c>
      <c r="O1541" s="19" t="s">
        <v>333</v>
      </c>
      <c r="P1541" s="15">
        <v>100000</v>
      </c>
      <c r="Q1541" s="15">
        <v>17096.91</v>
      </c>
      <c r="R1541" s="15">
        <v>87082900</v>
      </c>
      <c r="S1541" s="15">
        <v>15</v>
      </c>
      <c r="T1541" s="19" t="s">
        <v>351</v>
      </c>
      <c r="U1541" s="19" t="s">
        <v>178</v>
      </c>
      <c r="V1541" s="16">
        <f t="shared" si="295"/>
        <v>2564.5364999999997</v>
      </c>
      <c r="W1541" s="16">
        <f t="shared" si="296"/>
        <v>256.45364999999998</v>
      </c>
      <c r="X1541" s="16">
        <f t="shared" si="297"/>
        <v>2820.9901499999996</v>
      </c>
      <c r="Y1541" s="16">
        <f t="shared" si="298"/>
        <v>2.8209901499999995E-2</v>
      </c>
      <c r="Z1541" s="16">
        <f t="shared" si="299"/>
        <v>0.17096909999999998</v>
      </c>
      <c r="AA1541" s="17">
        <f t="shared" si="300"/>
        <v>100000</v>
      </c>
      <c r="AB1541" s="10">
        <v>8256</v>
      </c>
      <c r="AC1541" s="18">
        <f t="shared" si="293"/>
        <v>232.90094678399996</v>
      </c>
      <c r="AD1541" s="12">
        <f t="shared" si="292"/>
        <v>100000</v>
      </c>
      <c r="AE1541" s="13">
        <f t="shared" si="301"/>
        <v>0</v>
      </c>
    </row>
    <row r="1542" spans="1:31">
      <c r="A1542" s="6">
        <v>16</v>
      </c>
      <c r="B1542" s="6">
        <f t="shared" si="291"/>
        <v>22</v>
      </c>
      <c r="C1542" s="6" t="str">
        <f t="shared" si="294"/>
        <v>622408300ALABEL, BLANK, BAR CODE,964466545303100000</v>
      </c>
      <c r="D1542" s="7" t="s">
        <v>403</v>
      </c>
      <c r="E1542" s="6" t="s">
        <v>473</v>
      </c>
      <c r="F1542" s="6"/>
      <c r="G1542" s="7" t="s">
        <v>239</v>
      </c>
      <c r="H1542" s="19"/>
      <c r="I1542" s="19"/>
      <c r="J1542" s="19"/>
      <c r="K1542" s="19"/>
      <c r="L1542" s="14">
        <v>9644665</v>
      </c>
      <c r="M1542" s="22">
        <v>45303</v>
      </c>
      <c r="N1542" s="19" t="s">
        <v>196</v>
      </c>
      <c r="O1542" s="19" t="s">
        <v>333</v>
      </c>
      <c r="P1542" s="15">
        <v>100000</v>
      </c>
      <c r="Q1542" s="15">
        <v>69765.98</v>
      </c>
      <c r="R1542" s="15">
        <v>87089500</v>
      </c>
      <c r="S1542" s="15">
        <v>15</v>
      </c>
      <c r="T1542" s="19" t="s">
        <v>351</v>
      </c>
      <c r="U1542" s="19" t="s">
        <v>178</v>
      </c>
      <c r="V1542" s="16">
        <f t="shared" si="295"/>
        <v>10464.896999999999</v>
      </c>
      <c r="W1542" s="16">
        <f t="shared" si="296"/>
        <v>1046.4896999999999</v>
      </c>
      <c r="X1542" s="16">
        <f t="shared" si="297"/>
        <v>11511.386699999999</v>
      </c>
      <c r="Y1542" s="16">
        <f t="shared" si="298"/>
        <v>0.11511386699999999</v>
      </c>
      <c r="Z1542" s="16">
        <f t="shared" si="299"/>
        <v>0.69765979999999994</v>
      </c>
      <c r="AA1542" s="17">
        <f t="shared" si="300"/>
        <v>100000</v>
      </c>
      <c r="AB1542" s="10">
        <v>3608</v>
      </c>
      <c r="AC1542" s="18">
        <f t="shared" si="293"/>
        <v>415.33083213599997</v>
      </c>
      <c r="AD1542" s="12">
        <f t="shared" si="292"/>
        <v>98136</v>
      </c>
      <c r="AE1542" s="13">
        <f t="shared" si="301"/>
        <v>1864</v>
      </c>
    </row>
    <row r="1543" spans="1:31">
      <c r="A1543" s="6">
        <v>16</v>
      </c>
      <c r="B1543" s="6">
        <f t="shared" si="291"/>
        <v>23</v>
      </c>
      <c r="C1543" s="6" t="str">
        <f t="shared" si="294"/>
        <v>630580800ALABEL, RAW MATERIAL, BLA K12 TPC BUCKLE5160585449362400000</v>
      </c>
      <c r="D1543" s="7" t="s">
        <v>403</v>
      </c>
      <c r="E1543" s="6" t="s">
        <v>71</v>
      </c>
      <c r="F1543" s="6"/>
      <c r="G1543" s="7" t="s">
        <v>31</v>
      </c>
      <c r="H1543" s="19"/>
      <c r="I1543" s="19"/>
      <c r="J1543" s="19"/>
      <c r="K1543" s="19"/>
      <c r="L1543" s="14">
        <v>5160585</v>
      </c>
      <c r="M1543" s="22">
        <v>44936</v>
      </c>
      <c r="N1543" s="19" t="s">
        <v>196</v>
      </c>
      <c r="O1543" s="19" t="s">
        <v>333</v>
      </c>
      <c r="P1543" s="15">
        <v>2400000</v>
      </c>
      <c r="Q1543" s="15">
        <v>86522.34</v>
      </c>
      <c r="R1543" s="15">
        <v>87082900</v>
      </c>
      <c r="S1543" s="15">
        <v>15</v>
      </c>
      <c r="T1543" s="19" t="s">
        <v>265</v>
      </c>
      <c r="U1543" s="19" t="s">
        <v>178</v>
      </c>
      <c r="V1543" s="16">
        <f t="shared" si="295"/>
        <v>12978.350999999999</v>
      </c>
      <c r="W1543" s="16">
        <f t="shared" si="296"/>
        <v>1297.8351</v>
      </c>
      <c r="X1543" s="16">
        <f t="shared" si="297"/>
        <v>14276.186099999999</v>
      </c>
      <c r="Y1543" s="16">
        <f t="shared" si="298"/>
        <v>5.9484108749999999E-3</v>
      </c>
      <c r="Z1543" s="16">
        <f t="shared" si="299"/>
        <v>3.6050974999999999E-2</v>
      </c>
      <c r="AA1543" s="17">
        <f t="shared" si="300"/>
        <v>2400000</v>
      </c>
      <c r="AB1543" s="10">
        <v>4212</v>
      </c>
      <c r="AC1543" s="18">
        <f t="shared" si="293"/>
        <v>25.054706605499998</v>
      </c>
      <c r="AD1543" s="12">
        <f t="shared" si="292"/>
        <v>548546</v>
      </c>
      <c r="AE1543" s="13">
        <f t="shared" si="301"/>
        <v>1851454</v>
      </c>
    </row>
    <row r="1544" spans="1:31">
      <c r="A1544" s="6">
        <v>16</v>
      </c>
      <c r="B1544" s="6">
        <f t="shared" si="291"/>
        <v>24</v>
      </c>
      <c r="C1544" s="6" t="str">
        <f t="shared" si="294"/>
        <v>560762022ALATCH, BUCKLE, K12 ROADM K12A/AT, SILVER, LATCH W54569304493980000</v>
      </c>
      <c r="D1544" s="7" t="s">
        <v>403</v>
      </c>
      <c r="E1544" s="6" t="s">
        <v>74</v>
      </c>
      <c r="F1544" s="6"/>
      <c r="G1544" s="7" t="s">
        <v>34</v>
      </c>
      <c r="H1544" s="19"/>
      <c r="I1544" s="19"/>
      <c r="J1544" s="19"/>
      <c r="K1544" s="19"/>
      <c r="L1544" s="14">
        <v>5456930</v>
      </c>
      <c r="M1544" s="22">
        <v>44939</v>
      </c>
      <c r="N1544" s="19" t="s">
        <v>185</v>
      </c>
      <c r="O1544" s="19" t="s">
        <v>332</v>
      </c>
      <c r="P1544" s="15">
        <v>80000</v>
      </c>
      <c r="Q1544" s="15">
        <v>680240</v>
      </c>
      <c r="R1544" s="15">
        <v>87082900</v>
      </c>
      <c r="S1544" s="15">
        <v>15</v>
      </c>
      <c r="T1544" s="19" t="s">
        <v>320</v>
      </c>
      <c r="U1544" s="19" t="s">
        <v>178</v>
      </c>
      <c r="V1544" s="16">
        <f t="shared" si="295"/>
        <v>102036</v>
      </c>
      <c r="W1544" s="16">
        <f t="shared" si="296"/>
        <v>10203.6</v>
      </c>
      <c r="X1544" s="16">
        <f t="shared" si="297"/>
        <v>112239.6</v>
      </c>
      <c r="Y1544" s="16">
        <f t="shared" si="298"/>
        <v>1.402995</v>
      </c>
      <c r="Z1544" s="16">
        <f t="shared" si="299"/>
        <v>8.5030000000000001</v>
      </c>
      <c r="AA1544" s="17">
        <f t="shared" si="300"/>
        <v>80000</v>
      </c>
      <c r="AB1544" s="10">
        <v>1504</v>
      </c>
      <c r="AC1544" s="18">
        <f t="shared" si="293"/>
        <v>2110.10448</v>
      </c>
      <c r="AD1544" s="12">
        <f t="shared" si="292"/>
        <v>74976</v>
      </c>
      <c r="AE1544" s="13">
        <f t="shared" si="301"/>
        <v>5024</v>
      </c>
    </row>
    <row r="1545" spans="1:31">
      <c r="A1545" s="6">
        <v>16</v>
      </c>
      <c r="B1545" s="6">
        <f t="shared" si="291"/>
        <v>25</v>
      </c>
      <c r="C1545" s="6" t="str">
        <f t="shared" si="294"/>
        <v>601472600ALATCH, RETRACTOR, R27, A ALL VERSIONS421598844951162000</v>
      </c>
      <c r="D1545" s="7" t="s">
        <v>403</v>
      </c>
      <c r="E1545" s="6" t="s">
        <v>63</v>
      </c>
      <c r="F1545" s="6"/>
      <c r="G1545" s="7" t="s">
        <v>23</v>
      </c>
      <c r="H1545" s="19"/>
      <c r="I1545" s="19"/>
      <c r="J1545" s="19"/>
      <c r="K1545" s="19"/>
      <c r="L1545" s="14">
        <v>4215988</v>
      </c>
      <c r="M1545" s="22">
        <v>44951</v>
      </c>
      <c r="N1545" s="19" t="s">
        <v>199</v>
      </c>
      <c r="O1545" s="19" t="s">
        <v>332</v>
      </c>
      <c r="P1545" s="15">
        <v>162000</v>
      </c>
      <c r="Q1545" s="15">
        <v>1167023.94</v>
      </c>
      <c r="R1545" s="15">
        <v>87082900</v>
      </c>
      <c r="S1545" s="15">
        <v>15</v>
      </c>
      <c r="T1545" s="19" t="s">
        <v>313</v>
      </c>
      <c r="U1545" s="19" t="s">
        <v>178</v>
      </c>
      <c r="V1545" s="16">
        <f t="shared" si="295"/>
        <v>175053.59099999999</v>
      </c>
      <c r="W1545" s="16">
        <f t="shared" si="296"/>
        <v>17505.359099999998</v>
      </c>
      <c r="X1545" s="16">
        <f t="shared" si="297"/>
        <v>192558.95009999999</v>
      </c>
      <c r="Y1545" s="16">
        <f t="shared" si="298"/>
        <v>1.1886354944444444</v>
      </c>
      <c r="Z1545" s="16">
        <f t="shared" si="299"/>
        <v>7.2038514814814816</v>
      </c>
      <c r="AA1545" s="17">
        <f t="shared" si="300"/>
        <v>162000</v>
      </c>
      <c r="AB1545" s="10">
        <v>1956</v>
      </c>
      <c r="AC1545" s="18">
        <f t="shared" si="293"/>
        <v>2324.9710271333333</v>
      </c>
      <c r="AD1545" s="12">
        <f t="shared" si="292"/>
        <v>86652</v>
      </c>
      <c r="AE1545" s="13">
        <f t="shared" si="301"/>
        <v>75348</v>
      </c>
    </row>
    <row r="1546" spans="1:31">
      <c r="A1546" s="6">
        <v>16</v>
      </c>
      <c r="B1546" s="6">
        <f t="shared" si="291"/>
        <v>26</v>
      </c>
      <c r="C1546" s="6" t="str">
        <f t="shared" si="294"/>
        <v>618472000BLEVER, CAR SENS, RETRACT ALL VERSIONS, NOISE REDU408531144933170000</v>
      </c>
      <c r="D1546" s="7" t="s">
        <v>403</v>
      </c>
      <c r="E1546" s="6" t="s">
        <v>69</v>
      </c>
      <c r="F1546" s="6"/>
      <c r="G1546" s="7" t="s">
        <v>29</v>
      </c>
      <c r="H1546" s="19"/>
      <c r="I1546" s="19"/>
      <c r="J1546" s="19"/>
      <c r="K1546" s="19"/>
      <c r="L1546" s="14">
        <v>4085311</v>
      </c>
      <c r="M1546" s="22">
        <v>44933</v>
      </c>
      <c r="N1546" s="19" t="s">
        <v>196</v>
      </c>
      <c r="O1546" s="19" t="s">
        <v>333</v>
      </c>
      <c r="P1546" s="15">
        <v>170000</v>
      </c>
      <c r="Q1546" s="15">
        <v>247799.42</v>
      </c>
      <c r="R1546" s="15">
        <v>87082900</v>
      </c>
      <c r="S1546" s="15">
        <v>15</v>
      </c>
      <c r="T1546" s="19" t="s">
        <v>316</v>
      </c>
      <c r="U1546" s="19" t="s">
        <v>178</v>
      </c>
      <c r="V1546" s="16">
        <f t="shared" si="295"/>
        <v>37169.913</v>
      </c>
      <c r="W1546" s="16">
        <f t="shared" si="296"/>
        <v>3716.9913000000001</v>
      </c>
      <c r="X1546" s="16">
        <f t="shared" si="297"/>
        <v>40886.904300000002</v>
      </c>
      <c r="Y1546" s="16">
        <f t="shared" si="298"/>
        <v>0.24051120176470589</v>
      </c>
      <c r="Z1546" s="16">
        <f t="shared" si="299"/>
        <v>1.4576436470588237</v>
      </c>
      <c r="AA1546" s="17">
        <f t="shared" si="300"/>
        <v>170000</v>
      </c>
      <c r="AB1546" s="10">
        <v>1956</v>
      </c>
      <c r="AC1546" s="18">
        <f t="shared" si="293"/>
        <v>470.43991065176471</v>
      </c>
      <c r="AD1546" s="12">
        <f t="shared" si="292"/>
        <v>86652</v>
      </c>
      <c r="AE1546" s="13">
        <f t="shared" si="301"/>
        <v>83348</v>
      </c>
    </row>
    <row r="1547" spans="1:31">
      <c r="A1547" s="6">
        <v>16</v>
      </c>
      <c r="B1547" s="6">
        <f t="shared" si="291"/>
        <v>27</v>
      </c>
      <c r="C1547" s="6" t="str">
        <f t="shared" si="294"/>
        <v>600188700BLEVER, WEB SENS, RETRACT ALL VERSIONS421599144956270000</v>
      </c>
      <c r="D1547" s="7" t="s">
        <v>403</v>
      </c>
      <c r="E1547" s="6" t="s">
        <v>60</v>
      </c>
      <c r="F1547" s="6"/>
      <c r="G1547" s="7" t="s">
        <v>20</v>
      </c>
      <c r="H1547" s="19"/>
      <c r="I1547" s="19"/>
      <c r="J1547" s="19"/>
      <c r="K1547" s="19"/>
      <c r="L1547" s="14">
        <v>4215991</v>
      </c>
      <c r="M1547" s="22">
        <v>44956</v>
      </c>
      <c r="N1547" s="19" t="s">
        <v>199</v>
      </c>
      <c r="O1547" s="19" t="s">
        <v>332</v>
      </c>
      <c r="P1547" s="15">
        <v>270000</v>
      </c>
      <c r="Q1547" s="15">
        <v>1513733.76</v>
      </c>
      <c r="R1547" s="15">
        <v>87082900</v>
      </c>
      <c r="S1547" s="15">
        <v>15</v>
      </c>
      <c r="T1547" s="19" t="s">
        <v>310</v>
      </c>
      <c r="U1547" s="19" t="s">
        <v>178</v>
      </c>
      <c r="V1547" s="16">
        <f t="shared" si="295"/>
        <v>227060.06399999998</v>
      </c>
      <c r="W1547" s="16">
        <f t="shared" si="296"/>
        <v>22706.006399999998</v>
      </c>
      <c r="X1547" s="16">
        <f t="shared" si="297"/>
        <v>249766.07039999997</v>
      </c>
      <c r="Y1547" s="16">
        <f t="shared" si="298"/>
        <v>0.92505951999999991</v>
      </c>
      <c r="Z1547" s="16">
        <f t="shared" si="299"/>
        <v>5.6064213333333335</v>
      </c>
      <c r="AA1547" s="17">
        <f t="shared" si="300"/>
        <v>270000</v>
      </c>
      <c r="AB1547" s="10">
        <v>1956</v>
      </c>
      <c r="AC1547" s="18">
        <f t="shared" si="293"/>
        <v>1809.4164211199998</v>
      </c>
      <c r="AD1547" s="12">
        <f t="shared" si="292"/>
        <v>86652</v>
      </c>
      <c r="AE1547" s="13">
        <f t="shared" si="301"/>
        <v>183348</v>
      </c>
    </row>
    <row r="1548" spans="1:31">
      <c r="A1548" s="6">
        <v>16</v>
      </c>
      <c r="B1548" s="6">
        <f t="shared" si="291"/>
        <v>28</v>
      </c>
      <c r="C1548" s="6" t="str">
        <f t="shared" si="294"/>
        <v>604213200ALOCKING BAR, BUCKLE, K12 K12A/AT, L=34.3, silver415111844909306000</v>
      </c>
      <c r="D1548" s="7" t="s">
        <v>403</v>
      </c>
      <c r="E1548" s="6" t="s">
        <v>75</v>
      </c>
      <c r="F1548" s="6"/>
      <c r="G1548" s="7" t="s">
        <v>35</v>
      </c>
      <c r="H1548" s="19"/>
      <c r="I1548" s="19"/>
      <c r="J1548" s="19"/>
      <c r="K1548" s="19"/>
      <c r="L1548" s="14">
        <v>4151118</v>
      </c>
      <c r="M1548" s="22">
        <v>44909</v>
      </c>
      <c r="N1548" s="19" t="s">
        <v>199</v>
      </c>
      <c r="O1548" s="19" t="s">
        <v>332</v>
      </c>
      <c r="P1548" s="15">
        <v>306000</v>
      </c>
      <c r="Q1548" s="15">
        <v>347494.89</v>
      </c>
      <c r="R1548" s="15">
        <v>87082900</v>
      </c>
      <c r="S1548" s="15">
        <v>15</v>
      </c>
      <c r="T1548" s="19" t="s">
        <v>319</v>
      </c>
      <c r="U1548" s="19" t="s">
        <v>178</v>
      </c>
      <c r="V1548" s="16">
        <f t="shared" si="295"/>
        <v>52124.233500000002</v>
      </c>
      <c r="W1548" s="16">
        <f t="shared" si="296"/>
        <v>5212.4233500000009</v>
      </c>
      <c r="X1548" s="16">
        <f t="shared" si="297"/>
        <v>57336.656849999999</v>
      </c>
      <c r="Y1548" s="16">
        <f t="shared" si="298"/>
        <v>0.1873746955882353</v>
      </c>
      <c r="Z1548" s="16">
        <f t="shared" si="299"/>
        <v>1.1356042156862745</v>
      </c>
      <c r="AA1548" s="17">
        <f t="shared" si="300"/>
        <v>306000</v>
      </c>
      <c r="AB1548" s="10">
        <v>1504</v>
      </c>
      <c r="AC1548" s="18">
        <f t="shared" si="293"/>
        <v>281.81154216470588</v>
      </c>
      <c r="AD1548" s="12">
        <f t="shared" si="292"/>
        <v>94048</v>
      </c>
      <c r="AE1548" s="13">
        <f t="shared" si="301"/>
        <v>211952</v>
      </c>
    </row>
    <row r="1549" spans="1:31">
      <c r="A1549" s="6">
        <v>16</v>
      </c>
      <c r="B1549" s="6">
        <f t="shared" si="291"/>
        <v>29</v>
      </c>
      <c r="C1549" s="6" t="str">
        <f t="shared" si="294"/>
        <v>618472300CMASS, CAR SENS, RETRACTO ALL VERSIONS, CAR 2-PIN406183045012209560</v>
      </c>
      <c r="D1549" s="7" t="s">
        <v>403</v>
      </c>
      <c r="E1549" s="6" t="s">
        <v>70</v>
      </c>
      <c r="F1549" s="6"/>
      <c r="G1549" s="7" t="s">
        <v>30</v>
      </c>
      <c r="H1549" s="19"/>
      <c r="I1549" s="19"/>
      <c r="J1549" s="19"/>
      <c r="K1549" s="19"/>
      <c r="L1549" s="14">
        <v>4061830</v>
      </c>
      <c r="M1549" s="22">
        <v>45012</v>
      </c>
      <c r="N1549" s="19" t="s">
        <v>196</v>
      </c>
      <c r="O1549" s="19" t="s">
        <v>333</v>
      </c>
      <c r="P1549" s="15">
        <v>209560</v>
      </c>
      <c r="Q1549" s="15">
        <v>786307.66</v>
      </c>
      <c r="R1549" s="15">
        <v>87082900</v>
      </c>
      <c r="S1549" s="15">
        <v>15</v>
      </c>
      <c r="T1549" s="19" t="s">
        <v>317</v>
      </c>
      <c r="U1549" s="19" t="s">
        <v>178</v>
      </c>
      <c r="V1549" s="16">
        <f t="shared" si="295"/>
        <v>117946.149</v>
      </c>
      <c r="W1549" s="16">
        <f t="shared" si="296"/>
        <v>11794.6149</v>
      </c>
      <c r="X1549" s="16">
        <f t="shared" si="297"/>
        <v>129740.76390000001</v>
      </c>
      <c r="Y1549" s="16">
        <f t="shared" si="298"/>
        <v>0.61911034500858941</v>
      </c>
      <c r="Z1549" s="16">
        <f t="shared" si="299"/>
        <v>3.7521839091429663</v>
      </c>
      <c r="AA1549" s="17">
        <f t="shared" si="300"/>
        <v>209560</v>
      </c>
      <c r="AB1549" s="10">
        <v>1956</v>
      </c>
      <c r="AC1549" s="18">
        <f t="shared" si="293"/>
        <v>1210.9798348368008</v>
      </c>
      <c r="AD1549" s="12">
        <f t="shared" si="292"/>
        <v>86652</v>
      </c>
      <c r="AE1549" s="13">
        <f t="shared" si="301"/>
        <v>122908</v>
      </c>
    </row>
    <row r="1550" spans="1:31">
      <c r="A1550" s="6">
        <v>16</v>
      </c>
      <c r="B1550" s="6">
        <f t="shared" si="291"/>
        <v>30</v>
      </c>
      <c r="C1550" s="6" t="str">
        <f t="shared" si="294"/>
        <v>570028800FNUT, ISO, M5, LOCK, THRE LOCK, THREE SIDED TAMPER393103644928624000</v>
      </c>
      <c r="D1550" s="7" t="s">
        <v>403</v>
      </c>
      <c r="E1550" s="6" t="s">
        <v>47</v>
      </c>
      <c r="F1550" s="6"/>
      <c r="G1550" s="7" t="s">
        <v>9</v>
      </c>
      <c r="H1550" s="19"/>
      <c r="I1550" s="19"/>
      <c r="J1550" s="19"/>
      <c r="K1550" s="19"/>
      <c r="L1550" s="14">
        <v>3931036</v>
      </c>
      <c r="M1550" s="22">
        <v>44928</v>
      </c>
      <c r="N1550" s="19" t="s">
        <v>185</v>
      </c>
      <c r="O1550" s="19" t="s">
        <v>332</v>
      </c>
      <c r="P1550" s="15">
        <v>624000</v>
      </c>
      <c r="Q1550" s="15">
        <v>1155867.1000000001</v>
      </c>
      <c r="R1550" s="15">
        <v>87089500</v>
      </c>
      <c r="S1550" s="15">
        <v>15</v>
      </c>
      <c r="T1550" s="19" t="s">
        <v>302</v>
      </c>
      <c r="U1550" s="19" t="s">
        <v>178</v>
      </c>
      <c r="V1550" s="16">
        <f t="shared" si="295"/>
        <v>173380.065</v>
      </c>
      <c r="W1550" s="16">
        <f t="shared" si="296"/>
        <v>17338.0065</v>
      </c>
      <c r="X1550" s="16">
        <f t="shared" si="297"/>
        <v>190718.07149999999</v>
      </c>
      <c r="Y1550" s="16">
        <f t="shared" si="298"/>
        <v>0.30563793509615383</v>
      </c>
      <c r="Z1550" s="16">
        <f t="shared" si="299"/>
        <v>1.852351121794872</v>
      </c>
      <c r="AA1550" s="17">
        <f t="shared" si="300"/>
        <v>624000</v>
      </c>
      <c r="AB1550" s="10">
        <v>960</v>
      </c>
      <c r="AC1550" s="18">
        <f t="shared" si="293"/>
        <v>293.41241769230766</v>
      </c>
      <c r="AD1550" s="12">
        <f t="shared" si="292"/>
        <v>227952</v>
      </c>
      <c r="AE1550" s="13">
        <f t="shared" si="301"/>
        <v>396048</v>
      </c>
    </row>
    <row r="1551" spans="1:31">
      <c r="A1551" s="6">
        <v>16</v>
      </c>
      <c r="B1551" s="6">
        <f t="shared" si="291"/>
        <v>31</v>
      </c>
      <c r="C1551" s="6" t="str">
        <f t="shared" si="294"/>
        <v>621343500CNUT, ISO, M5, NYLON INSE NYLON INSERT2175457453381105000</v>
      </c>
      <c r="D1551" s="7" t="s">
        <v>403</v>
      </c>
      <c r="E1551" s="6" t="s">
        <v>45</v>
      </c>
      <c r="F1551" s="6"/>
      <c r="G1551" s="7" t="s">
        <v>7</v>
      </c>
      <c r="H1551" s="19"/>
      <c r="I1551" s="19"/>
      <c r="J1551" s="19"/>
      <c r="K1551" s="19"/>
      <c r="L1551" s="14">
        <v>2175457</v>
      </c>
      <c r="M1551" s="22">
        <v>45338</v>
      </c>
      <c r="N1551" s="19" t="s">
        <v>182</v>
      </c>
      <c r="O1551" s="19" t="s">
        <v>333</v>
      </c>
      <c r="P1551" s="15">
        <v>1105000</v>
      </c>
      <c r="Q1551" s="15">
        <v>1881273.11</v>
      </c>
      <c r="R1551" s="15">
        <v>87089500</v>
      </c>
      <c r="S1551" s="15">
        <v>15</v>
      </c>
      <c r="T1551" s="19" t="s">
        <v>404</v>
      </c>
      <c r="U1551" s="19" t="s">
        <v>178</v>
      </c>
      <c r="V1551" s="16">
        <f t="shared" si="295"/>
        <v>282190.96649999998</v>
      </c>
      <c r="W1551" s="16">
        <f t="shared" si="296"/>
        <v>28219.096649999999</v>
      </c>
      <c r="X1551" s="16">
        <f t="shared" si="297"/>
        <v>310410.06315</v>
      </c>
      <c r="Y1551" s="16">
        <f t="shared" si="298"/>
        <v>0.28091408429864251</v>
      </c>
      <c r="Z1551" s="16">
        <f t="shared" si="299"/>
        <v>1.7025096018099548</v>
      </c>
      <c r="AA1551" s="17">
        <f t="shared" si="300"/>
        <v>1105000</v>
      </c>
      <c r="AB1551" s="10">
        <v>18348</v>
      </c>
      <c r="AC1551" s="18">
        <f t="shared" si="293"/>
        <v>5154.2116187114925</v>
      </c>
      <c r="AD1551" s="12">
        <f t="shared" si="292"/>
        <v>375112</v>
      </c>
      <c r="AE1551" s="13">
        <f t="shared" si="301"/>
        <v>729888</v>
      </c>
    </row>
    <row r="1552" spans="1:31">
      <c r="A1552" s="6">
        <v>16</v>
      </c>
      <c r="B1552" s="6">
        <f t="shared" ref="B1552:B1613" si="302">B1551+1</f>
        <v>32</v>
      </c>
      <c r="C1552" s="6" t="str">
        <f t="shared" si="294"/>
        <v>615795701BPILLAR LOOP, OVERMOULDED LIGHT GRAY, STD, WITH CA2725129453744000</v>
      </c>
      <c r="D1552" s="7" t="s">
        <v>403</v>
      </c>
      <c r="E1552" s="6" t="s">
        <v>67</v>
      </c>
      <c r="F1552" s="6"/>
      <c r="G1552" s="7" t="s">
        <v>27</v>
      </c>
      <c r="H1552" s="19"/>
      <c r="I1552" s="19"/>
      <c r="J1552" s="19"/>
      <c r="K1552" s="19"/>
      <c r="L1552" s="14">
        <v>2725129</v>
      </c>
      <c r="M1552" s="22">
        <v>45374</v>
      </c>
      <c r="N1552" s="19" t="s">
        <v>185</v>
      </c>
      <c r="O1552" s="19" t="s">
        <v>332</v>
      </c>
      <c r="P1552" s="15">
        <v>4000</v>
      </c>
      <c r="Q1552" s="15">
        <v>234990.73</v>
      </c>
      <c r="R1552" s="15">
        <v>87082900</v>
      </c>
      <c r="S1552" s="15">
        <v>15</v>
      </c>
      <c r="T1552" s="19" t="s">
        <v>198</v>
      </c>
      <c r="U1552" s="19" t="s">
        <v>178</v>
      </c>
      <c r="V1552" s="16">
        <f t="shared" si="295"/>
        <v>35248.609499999999</v>
      </c>
      <c r="W1552" s="16">
        <f t="shared" si="296"/>
        <v>3524.8609500000002</v>
      </c>
      <c r="X1552" s="16">
        <f t="shared" si="297"/>
        <v>38773.470450000001</v>
      </c>
      <c r="Y1552" s="16">
        <f t="shared" si="298"/>
        <v>9.6933676124999995</v>
      </c>
      <c r="Z1552" s="16">
        <f t="shared" si="299"/>
        <v>58.747682500000003</v>
      </c>
      <c r="AA1552" s="17">
        <f t="shared" si="300"/>
        <v>4000</v>
      </c>
      <c r="AB1552" s="10">
        <v>436</v>
      </c>
      <c r="AC1552" s="18">
        <f t="shared" si="293"/>
        <v>4226.3082790499993</v>
      </c>
      <c r="AD1552" s="12">
        <f t="shared" si="292"/>
        <v>4000</v>
      </c>
      <c r="AE1552" s="13">
        <f t="shared" si="301"/>
        <v>0</v>
      </c>
    </row>
    <row r="1553" spans="1:31">
      <c r="A1553" s="6">
        <v>16</v>
      </c>
      <c r="B1553" s="6">
        <f t="shared" si="302"/>
        <v>33</v>
      </c>
      <c r="C1553" s="6" t="str">
        <f t="shared" si="294"/>
        <v>615795701BPILLAR LOOP, OVERMOULDED LIGHT GRAY, STD, WITH CA6882249451226000</v>
      </c>
      <c r="D1553" s="7" t="s">
        <v>403</v>
      </c>
      <c r="E1553" s="6" t="s">
        <v>67</v>
      </c>
      <c r="F1553" s="6"/>
      <c r="G1553" s="7" t="s">
        <v>27</v>
      </c>
      <c r="H1553" s="19"/>
      <c r="I1553" s="19"/>
      <c r="J1553" s="19"/>
      <c r="K1553" s="19"/>
      <c r="L1553" s="14">
        <v>6882249</v>
      </c>
      <c r="M1553" s="22">
        <v>45122</v>
      </c>
      <c r="N1553" s="19" t="s">
        <v>185</v>
      </c>
      <c r="O1553" s="19" t="s">
        <v>332</v>
      </c>
      <c r="P1553" s="15">
        <v>6000</v>
      </c>
      <c r="Q1553" s="15">
        <v>340829.36</v>
      </c>
      <c r="R1553" s="15">
        <v>87082900</v>
      </c>
      <c r="S1553" s="15">
        <v>15</v>
      </c>
      <c r="T1553" s="19" t="s">
        <v>198</v>
      </c>
      <c r="U1553" s="19" t="s">
        <v>178</v>
      </c>
      <c r="V1553" s="16">
        <f t="shared" si="295"/>
        <v>51124.403999999995</v>
      </c>
      <c r="W1553" s="16">
        <f t="shared" si="296"/>
        <v>5112.4403999999995</v>
      </c>
      <c r="X1553" s="16">
        <f t="shared" si="297"/>
        <v>56236.844399999994</v>
      </c>
      <c r="Y1553" s="16">
        <f t="shared" si="298"/>
        <v>9.3728073999999992</v>
      </c>
      <c r="Z1553" s="16">
        <f t="shared" si="299"/>
        <v>56.804893333333332</v>
      </c>
      <c r="AA1553" s="17">
        <f t="shared" si="300"/>
        <v>6000</v>
      </c>
      <c r="AB1553" s="10">
        <v>1520</v>
      </c>
      <c r="AC1553" s="18">
        <f t="shared" si="293"/>
        <v>14246.667247999998</v>
      </c>
      <c r="AD1553" s="12">
        <f t="shared" si="292"/>
        <v>5876</v>
      </c>
      <c r="AE1553" s="13">
        <f t="shared" si="301"/>
        <v>124</v>
      </c>
    </row>
    <row r="1554" spans="1:31">
      <c r="A1554" s="6">
        <v>16</v>
      </c>
      <c r="B1554" s="6">
        <f t="shared" si="302"/>
        <v>34</v>
      </c>
      <c r="C1554" s="6" t="str">
        <f t="shared" si="294"/>
        <v>616531900ARING, CRIMP, CLAMP, BAND95511574529740000</v>
      </c>
      <c r="D1554" s="7" t="s">
        <v>403</v>
      </c>
      <c r="E1554" s="6" t="s">
        <v>52</v>
      </c>
      <c r="F1554" s="6"/>
      <c r="G1554" s="7" t="s">
        <v>410</v>
      </c>
      <c r="H1554" s="19"/>
      <c r="I1554" s="19"/>
      <c r="J1554" s="19"/>
      <c r="K1554" s="19"/>
      <c r="L1554" s="14">
        <v>9551157</v>
      </c>
      <c r="M1554" s="22">
        <v>45297</v>
      </c>
      <c r="N1554" s="19" t="s">
        <v>196</v>
      </c>
      <c r="O1554" s="19" t="s">
        <v>333</v>
      </c>
      <c r="P1554" s="15">
        <v>40000</v>
      </c>
      <c r="Q1554" s="15">
        <v>781226.49</v>
      </c>
      <c r="R1554" s="15">
        <v>87089500</v>
      </c>
      <c r="S1554" s="15">
        <v>15</v>
      </c>
      <c r="T1554" s="19" t="s">
        <v>364</v>
      </c>
      <c r="U1554" s="19" t="s">
        <v>178</v>
      </c>
      <c r="V1554" s="16">
        <f t="shared" si="295"/>
        <v>117183.97349999999</v>
      </c>
      <c r="W1554" s="16">
        <f t="shared" si="296"/>
        <v>11718.397349999999</v>
      </c>
      <c r="X1554" s="16">
        <f t="shared" si="297"/>
        <v>128902.37084999999</v>
      </c>
      <c r="Y1554" s="16">
        <f t="shared" si="298"/>
        <v>3.2225592712499997</v>
      </c>
      <c r="Z1554" s="16">
        <f t="shared" si="299"/>
        <v>19.530662249999999</v>
      </c>
      <c r="AA1554" s="17">
        <f t="shared" si="300"/>
        <v>40000</v>
      </c>
      <c r="AB1554" s="10">
        <v>9792</v>
      </c>
      <c r="AC1554" s="18">
        <f t="shared" si="293"/>
        <v>31555.300384079997</v>
      </c>
      <c r="AD1554" s="12">
        <f t="shared" si="292"/>
        <v>38592</v>
      </c>
      <c r="AE1554" s="13">
        <f t="shared" si="301"/>
        <v>1408</v>
      </c>
    </row>
    <row r="1555" spans="1:31">
      <c r="A1555" s="6">
        <v>16</v>
      </c>
      <c r="B1555" s="6">
        <f t="shared" si="302"/>
        <v>35</v>
      </c>
      <c r="C1555" s="6" t="str">
        <f t="shared" si="294"/>
        <v>NPB10271-ZKSCREW, SELF-TAPPING, MET OTHER, HEXALOBULAR INTER406701444998150000</v>
      </c>
      <c r="D1555" s="7" t="s">
        <v>403</v>
      </c>
      <c r="E1555" s="6" t="s">
        <v>76</v>
      </c>
      <c r="F1555" s="6"/>
      <c r="G1555" s="7" t="s">
        <v>36</v>
      </c>
      <c r="H1555" s="19"/>
      <c r="I1555" s="19"/>
      <c r="J1555" s="19"/>
      <c r="K1555" s="19"/>
      <c r="L1555" s="14">
        <v>4067014</v>
      </c>
      <c r="M1555" s="22">
        <v>44998</v>
      </c>
      <c r="N1555" s="19" t="s">
        <v>196</v>
      </c>
      <c r="O1555" s="19" t="s">
        <v>333</v>
      </c>
      <c r="P1555" s="15">
        <v>150000</v>
      </c>
      <c r="Q1555" s="15">
        <v>146157.25</v>
      </c>
      <c r="R1555" s="15">
        <v>87082900</v>
      </c>
      <c r="S1555" s="15">
        <v>15</v>
      </c>
      <c r="T1555" s="19" t="s">
        <v>321</v>
      </c>
      <c r="U1555" s="19" t="s">
        <v>178</v>
      </c>
      <c r="V1555" s="16">
        <f t="shared" si="295"/>
        <v>21923.587499999998</v>
      </c>
      <c r="W1555" s="16">
        <f t="shared" si="296"/>
        <v>2192.3587499999999</v>
      </c>
      <c r="X1555" s="16">
        <f t="shared" si="297"/>
        <v>24115.946249999997</v>
      </c>
      <c r="Y1555" s="16">
        <f t="shared" si="298"/>
        <v>0.16077297499999998</v>
      </c>
      <c r="Z1555" s="16">
        <f t="shared" si="299"/>
        <v>0.9743816666666667</v>
      </c>
      <c r="AA1555" s="17">
        <f t="shared" si="300"/>
        <v>150000</v>
      </c>
      <c r="AB1555" s="10">
        <v>3008</v>
      </c>
      <c r="AC1555" s="18">
        <f t="shared" si="293"/>
        <v>483.60510879999993</v>
      </c>
      <c r="AD1555" s="12">
        <f t="shared" si="292"/>
        <v>149952</v>
      </c>
      <c r="AE1555" s="13">
        <f t="shared" si="301"/>
        <v>48</v>
      </c>
    </row>
    <row r="1556" spans="1:31">
      <c r="A1556" s="6">
        <v>16</v>
      </c>
      <c r="B1556" s="6">
        <f t="shared" si="302"/>
        <v>36</v>
      </c>
      <c r="C1556" s="6" t="str">
        <f t="shared" si="294"/>
        <v>PC47516-3810SNAP-IN-FASTENER, PUSH P PUSH PIN, BLACK36255814543542000</v>
      </c>
      <c r="D1556" s="7" t="s">
        <v>403</v>
      </c>
      <c r="E1556" s="6" t="s">
        <v>54</v>
      </c>
      <c r="F1556" s="6"/>
      <c r="G1556" s="7" t="s">
        <v>14</v>
      </c>
      <c r="H1556" s="19"/>
      <c r="I1556" s="19"/>
      <c r="J1556" s="19"/>
      <c r="K1556" s="19"/>
      <c r="L1556" s="14">
        <v>3625581</v>
      </c>
      <c r="M1556" s="22">
        <v>45435</v>
      </c>
      <c r="N1556" s="19" t="s">
        <v>196</v>
      </c>
      <c r="O1556" s="19" t="s">
        <v>333</v>
      </c>
      <c r="P1556" s="15">
        <v>42000</v>
      </c>
      <c r="Q1556" s="15">
        <v>49322.6</v>
      </c>
      <c r="R1556" s="15">
        <v>87089500</v>
      </c>
      <c r="S1556" s="15">
        <v>15</v>
      </c>
      <c r="T1556" s="19" t="s">
        <v>306</v>
      </c>
      <c r="U1556" s="19" t="s">
        <v>178</v>
      </c>
      <c r="V1556" s="16">
        <f t="shared" si="295"/>
        <v>7398.3899999999994</v>
      </c>
      <c r="W1556" s="16">
        <f t="shared" si="296"/>
        <v>739.83899999999994</v>
      </c>
      <c r="X1556" s="16">
        <f t="shared" si="297"/>
        <v>8138.2289999999994</v>
      </c>
      <c r="Y1556" s="16">
        <f t="shared" si="298"/>
        <v>0.19376735714285712</v>
      </c>
      <c r="Z1556" s="16">
        <f t="shared" si="299"/>
        <v>1.174347619047619</v>
      </c>
      <c r="AA1556" s="17">
        <f t="shared" si="300"/>
        <v>42000</v>
      </c>
      <c r="AB1556" s="10">
        <v>4704</v>
      </c>
      <c r="AC1556" s="18">
        <f t="shared" si="293"/>
        <v>911.48164799999984</v>
      </c>
      <c r="AD1556" s="12">
        <f t="shared" si="292"/>
        <v>51936</v>
      </c>
      <c r="AE1556" s="13">
        <v>0</v>
      </c>
    </row>
    <row r="1557" spans="1:31">
      <c r="A1557" s="6">
        <v>16</v>
      </c>
      <c r="B1557" s="6">
        <f t="shared" si="302"/>
        <v>37</v>
      </c>
      <c r="C1557" s="6" t="str">
        <f t="shared" si="294"/>
        <v>601182600ASPINDLE, RETRACTOR, R27, STD98117254531517920</v>
      </c>
      <c r="D1557" s="7" t="s">
        <v>403</v>
      </c>
      <c r="E1557" s="6" t="s">
        <v>61</v>
      </c>
      <c r="F1557" s="6"/>
      <c r="G1557" s="7" t="s">
        <v>21</v>
      </c>
      <c r="H1557" s="19"/>
      <c r="I1557" s="19"/>
      <c r="J1557" s="19"/>
      <c r="K1557" s="19"/>
      <c r="L1557" s="14">
        <v>9811725</v>
      </c>
      <c r="M1557" s="22">
        <v>45315</v>
      </c>
      <c r="N1557" s="19" t="s">
        <v>185</v>
      </c>
      <c r="O1557" s="19" t="s">
        <v>332</v>
      </c>
      <c r="P1557" s="15">
        <v>17920</v>
      </c>
      <c r="Q1557" s="15">
        <v>781622.05</v>
      </c>
      <c r="R1557" s="15">
        <v>87082900</v>
      </c>
      <c r="S1557" s="15">
        <v>15</v>
      </c>
      <c r="T1557" s="19" t="s">
        <v>371</v>
      </c>
      <c r="U1557" s="19" t="s">
        <v>178</v>
      </c>
      <c r="V1557" s="16">
        <f t="shared" si="295"/>
        <v>117243.30750000001</v>
      </c>
      <c r="W1557" s="16">
        <f t="shared" si="296"/>
        <v>11724.330750000001</v>
      </c>
      <c r="X1557" s="16">
        <f t="shared" si="297"/>
        <v>128967.63825000002</v>
      </c>
      <c r="Y1557" s="16">
        <f t="shared" si="298"/>
        <v>7.196854813058037</v>
      </c>
      <c r="Z1557" s="16">
        <f t="shared" si="299"/>
        <v>43.617301897321433</v>
      </c>
      <c r="AA1557" s="17">
        <f t="shared" si="300"/>
        <v>17920</v>
      </c>
      <c r="AB1557" s="10">
        <v>1956</v>
      </c>
      <c r="AC1557" s="18">
        <f t="shared" si="293"/>
        <v>14077.048014341521</v>
      </c>
      <c r="AD1557" s="12">
        <f t="shared" si="292"/>
        <v>17676</v>
      </c>
      <c r="AE1557" s="13">
        <f t="shared" si="301"/>
        <v>244</v>
      </c>
    </row>
    <row r="1558" spans="1:31">
      <c r="A1558" s="6">
        <v>16</v>
      </c>
      <c r="B1558" s="6">
        <f t="shared" si="302"/>
        <v>38</v>
      </c>
      <c r="C1558" s="6" t="str">
        <f t="shared" si="294"/>
        <v>566305721BSPRING, SHEET, LEAF, RET ALL VERSIONS, WS ECE4742807449445000</v>
      </c>
      <c r="D1558" s="7" t="s">
        <v>403</v>
      </c>
      <c r="E1558" s="6" t="s">
        <v>59</v>
      </c>
      <c r="F1558" s="6"/>
      <c r="G1558" s="7" t="s">
        <v>19</v>
      </c>
      <c r="H1558" s="19"/>
      <c r="I1558" s="19"/>
      <c r="J1558" s="19"/>
      <c r="K1558" s="19"/>
      <c r="L1558" s="14">
        <v>4742807</v>
      </c>
      <c r="M1558" s="22">
        <v>44944</v>
      </c>
      <c r="N1558" s="19" t="s">
        <v>196</v>
      </c>
      <c r="O1558" s="19" t="s">
        <v>337</v>
      </c>
      <c r="P1558" s="15">
        <v>5000</v>
      </c>
      <c r="Q1558" s="15">
        <v>143362.42000000001</v>
      </c>
      <c r="R1558" s="15">
        <v>87082900</v>
      </c>
      <c r="S1558" s="15">
        <v>15</v>
      </c>
      <c r="T1558" s="19" t="s">
        <v>309</v>
      </c>
      <c r="U1558" s="19" t="s">
        <v>178</v>
      </c>
      <c r="V1558" s="16">
        <f t="shared" si="295"/>
        <v>21504.363000000001</v>
      </c>
      <c r="W1558" s="16">
        <f t="shared" si="296"/>
        <v>2150.4363000000003</v>
      </c>
      <c r="X1558" s="16">
        <f t="shared" si="297"/>
        <v>23654.799300000002</v>
      </c>
      <c r="Y1558" s="16">
        <f t="shared" si="298"/>
        <v>4.7309598600000005</v>
      </c>
      <c r="Z1558" s="16">
        <f t="shared" si="299"/>
        <v>28.672484000000004</v>
      </c>
      <c r="AA1558" s="17">
        <f t="shared" si="300"/>
        <v>5000</v>
      </c>
      <c r="AB1558" s="10">
        <v>36.204000000000001</v>
      </c>
      <c r="AC1558" s="18">
        <f t="shared" si="293"/>
        <v>171.27967077144001</v>
      </c>
      <c r="AD1558" s="12">
        <f t="shared" si="292"/>
        <v>1540.98</v>
      </c>
      <c r="AE1558" s="13">
        <v>0</v>
      </c>
    </row>
    <row r="1559" spans="1:31">
      <c r="A1559" s="6">
        <v>16</v>
      </c>
      <c r="B1559" s="6">
        <f t="shared" si="302"/>
        <v>39</v>
      </c>
      <c r="C1559" s="6" t="str">
        <f t="shared" si="294"/>
        <v>605151600ASPRING, SHEET, LEAF, RET ALL VERSIONS, WS US407852744933100000</v>
      </c>
      <c r="D1559" s="7" t="s">
        <v>403</v>
      </c>
      <c r="E1559" s="6" t="s">
        <v>65</v>
      </c>
      <c r="F1559" s="6"/>
      <c r="G1559" s="7" t="s">
        <v>25</v>
      </c>
      <c r="H1559" s="19"/>
      <c r="I1559" s="19"/>
      <c r="J1559" s="19"/>
      <c r="K1559" s="19"/>
      <c r="L1559" s="14">
        <v>4078527</v>
      </c>
      <c r="M1559" s="22">
        <v>44933</v>
      </c>
      <c r="N1559" s="19" t="s">
        <v>196</v>
      </c>
      <c r="O1559" s="19" t="s">
        <v>333</v>
      </c>
      <c r="P1559" s="15">
        <v>100000</v>
      </c>
      <c r="Q1559" s="15">
        <v>147318.03</v>
      </c>
      <c r="R1559" s="15">
        <v>87082900</v>
      </c>
      <c r="S1559" s="15">
        <v>15</v>
      </c>
      <c r="T1559" s="19" t="s">
        <v>314</v>
      </c>
      <c r="U1559" s="19" t="s">
        <v>178</v>
      </c>
      <c r="V1559" s="16">
        <f t="shared" si="295"/>
        <v>22097.7045</v>
      </c>
      <c r="W1559" s="16">
        <f t="shared" si="296"/>
        <v>2209.77045</v>
      </c>
      <c r="X1559" s="16">
        <f t="shared" si="297"/>
        <v>24307.47495</v>
      </c>
      <c r="Y1559" s="16">
        <f t="shared" si="298"/>
        <v>0.24307474949999999</v>
      </c>
      <c r="Z1559" s="16">
        <f t="shared" si="299"/>
        <v>1.4731802999999999</v>
      </c>
      <c r="AA1559" s="17">
        <f t="shared" si="300"/>
        <v>100000</v>
      </c>
      <c r="AB1559" s="10">
        <v>1956</v>
      </c>
      <c r="AC1559" s="18">
        <f t="shared" si="293"/>
        <v>475.45421002199998</v>
      </c>
      <c r="AD1559" s="12">
        <f t="shared" si="292"/>
        <v>86652</v>
      </c>
      <c r="AE1559" s="13">
        <f t="shared" si="301"/>
        <v>13348</v>
      </c>
    </row>
    <row r="1560" spans="1:31">
      <c r="A1560" s="6">
        <v>16</v>
      </c>
      <c r="B1560" s="6">
        <f t="shared" si="302"/>
        <v>40</v>
      </c>
      <c r="C1560" s="6" t="str">
        <f t="shared" si="294"/>
        <v>560130122ASPRING, WIRE, COMPRESSIO K12A/AT495151045028300000</v>
      </c>
      <c r="D1560" s="7" t="s">
        <v>403</v>
      </c>
      <c r="E1560" s="6" t="s">
        <v>73</v>
      </c>
      <c r="F1560" s="6"/>
      <c r="G1560" s="7" t="s">
        <v>33</v>
      </c>
      <c r="H1560" s="19"/>
      <c r="I1560" s="19"/>
      <c r="J1560" s="19"/>
      <c r="K1560" s="19"/>
      <c r="L1560" s="14">
        <v>4951510</v>
      </c>
      <c r="M1560" s="22">
        <v>45028</v>
      </c>
      <c r="N1560" s="19" t="s">
        <v>199</v>
      </c>
      <c r="O1560" s="19" t="s">
        <v>332</v>
      </c>
      <c r="P1560" s="15">
        <v>300000</v>
      </c>
      <c r="Q1560" s="15">
        <v>285155.93</v>
      </c>
      <c r="R1560" s="15">
        <v>87082900</v>
      </c>
      <c r="S1560" s="15">
        <v>15</v>
      </c>
      <c r="T1560" s="19" t="s">
        <v>319</v>
      </c>
      <c r="U1560" s="19" t="s">
        <v>178</v>
      </c>
      <c r="V1560" s="16">
        <f t="shared" si="295"/>
        <v>42773.389499999997</v>
      </c>
      <c r="W1560" s="16">
        <f t="shared" si="296"/>
        <v>4277.3389500000003</v>
      </c>
      <c r="X1560" s="16">
        <f t="shared" si="297"/>
        <v>47050.728449999995</v>
      </c>
      <c r="Y1560" s="16">
        <f t="shared" si="298"/>
        <v>0.15683576149999998</v>
      </c>
      <c r="Z1560" s="16">
        <f t="shared" si="299"/>
        <v>0.9505197666666666</v>
      </c>
      <c r="AA1560" s="17">
        <f t="shared" si="300"/>
        <v>300000</v>
      </c>
      <c r="AB1560" s="10">
        <v>1504</v>
      </c>
      <c r="AC1560" s="18">
        <f t="shared" si="293"/>
        <v>235.88098529599998</v>
      </c>
      <c r="AD1560" s="12">
        <f t="shared" si="292"/>
        <v>94048</v>
      </c>
      <c r="AE1560" s="13">
        <f t="shared" si="301"/>
        <v>205952</v>
      </c>
    </row>
    <row r="1561" spans="1:31">
      <c r="A1561" s="6">
        <v>16</v>
      </c>
      <c r="B1561" s="6">
        <f t="shared" si="302"/>
        <v>41</v>
      </c>
      <c r="C1561" s="6" t="str">
        <f t="shared" si="294"/>
        <v>605555507ESTEERING DISC NATURE WHITE717838944902100800</v>
      </c>
      <c r="D1561" s="7" t="s">
        <v>403</v>
      </c>
      <c r="E1561" s="6" t="s">
        <v>66</v>
      </c>
      <c r="F1561" s="6"/>
      <c r="G1561" s="7" t="s">
        <v>26</v>
      </c>
      <c r="H1561" s="19"/>
      <c r="I1561" s="19"/>
      <c r="J1561" s="19"/>
      <c r="K1561" s="19"/>
      <c r="L1561" s="14">
        <v>7178389</v>
      </c>
      <c r="M1561" s="22">
        <v>44902</v>
      </c>
      <c r="N1561" s="19" t="s">
        <v>185</v>
      </c>
      <c r="O1561" s="19" t="s">
        <v>332</v>
      </c>
      <c r="P1561" s="15">
        <v>100800</v>
      </c>
      <c r="Q1561" s="15">
        <v>397158.13</v>
      </c>
      <c r="R1561" s="15">
        <v>87082900</v>
      </c>
      <c r="S1561" s="15">
        <v>15</v>
      </c>
      <c r="T1561" s="19" t="s">
        <v>315</v>
      </c>
      <c r="U1561" s="19" t="s">
        <v>178</v>
      </c>
      <c r="V1561" s="16">
        <f t="shared" si="295"/>
        <v>59573.719499999999</v>
      </c>
      <c r="W1561" s="16">
        <f t="shared" si="296"/>
        <v>5957.3719500000007</v>
      </c>
      <c r="X1561" s="16">
        <f t="shared" si="297"/>
        <v>65531.09145</v>
      </c>
      <c r="Y1561" s="16">
        <f t="shared" si="298"/>
        <v>0.65011003422619051</v>
      </c>
      <c r="Z1561" s="16">
        <f t="shared" si="299"/>
        <v>3.9400608134920634</v>
      </c>
      <c r="AA1561" s="17">
        <f t="shared" si="300"/>
        <v>100800</v>
      </c>
      <c r="AB1561" s="10">
        <v>1956</v>
      </c>
      <c r="AC1561" s="18">
        <f t="shared" si="293"/>
        <v>1271.6152269464287</v>
      </c>
      <c r="AD1561" s="12">
        <f t="shared" si="292"/>
        <v>80292</v>
      </c>
      <c r="AE1561" s="13">
        <f t="shared" si="301"/>
        <v>20508</v>
      </c>
    </row>
    <row r="1562" spans="1:31">
      <c r="A1562" s="6">
        <v>16</v>
      </c>
      <c r="B1562" s="6">
        <f t="shared" si="302"/>
        <v>42</v>
      </c>
      <c r="C1562" s="6" t="str">
        <f t="shared" si="294"/>
        <v>609183701ASTUD, M6 X 1.0, 16.036956764543984000</v>
      </c>
      <c r="D1562" s="7" t="s">
        <v>403</v>
      </c>
      <c r="E1562" s="6" t="s">
        <v>51</v>
      </c>
      <c r="F1562" s="6"/>
      <c r="G1562" s="7" t="s">
        <v>411</v>
      </c>
      <c r="H1562" s="19"/>
      <c r="I1562" s="19"/>
      <c r="J1562" s="19"/>
      <c r="K1562" s="19"/>
      <c r="L1562" s="14">
        <v>3695676</v>
      </c>
      <c r="M1562" s="22">
        <v>45439</v>
      </c>
      <c r="N1562" s="19" t="s">
        <v>185</v>
      </c>
      <c r="O1562" s="19" t="s">
        <v>332</v>
      </c>
      <c r="P1562" s="15">
        <v>84000</v>
      </c>
      <c r="Q1562" s="15">
        <v>238012.39</v>
      </c>
      <c r="R1562" s="15">
        <v>87089500</v>
      </c>
      <c r="S1562" s="15">
        <v>15</v>
      </c>
      <c r="T1562" s="19" t="s">
        <v>304</v>
      </c>
      <c r="U1562" s="19" t="s">
        <v>178</v>
      </c>
      <c r="V1562" s="16">
        <f t="shared" si="295"/>
        <v>35701.858500000002</v>
      </c>
      <c r="W1562" s="16">
        <f t="shared" si="296"/>
        <v>3570.1858500000003</v>
      </c>
      <c r="X1562" s="16">
        <f t="shared" si="297"/>
        <v>39272.044350000004</v>
      </c>
      <c r="Y1562" s="16">
        <f t="shared" si="298"/>
        <v>0.46752433750000005</v>
      </c>
      <c r="Z1562" s="16">
        <f t="shared" si="299"/>
        <v>2.8334808333333337</v>
      </c>
      <c r="AA1562" s="17">
        <f t="shared" si="300"/>
        <v>84000</v>
      </c>
      <c r="AB1562" s="10">
        <v>10176</v>
      </c>
      <c r="AC1562" s="18">
        <f t="shared" si="293"/>
        <v>4757.5276584000003</v>
      </c>
      <c r="AD1562" s="12">
        <f t="shared" si="292"/>
        <v>82196</v>
      </c>
      <c r="AE1562" s="13">
        <f t="shared" si="301"/>
        <v>1804</v>
      </c>
    </row>
    <row r="1563" spans="1:31">
      <c r="A1563" s="6">
        <v>16</v>
      </c>
      <c r="B1563" s="6">
        <f t="shared" si="302"/>
        <v>43</v>
      </c>
      <c r="C1563" s="6" t="str">
        <f t="shared" si="294"/>
        <v>654590700ASU2ID CUSHION COMPONENTS CVR NON-WOVEN LH STD3895632454514500</v>
      </c>
      <c r="D1563" s="7" t="s">
        <v>403</v>
      </c>
      <c r="E1563" s="6" t="s">
        <v>477</v>
      </c>
      <c r="F1563" s="6"/>
      <c r="G1563" s="7" t="s">
        <v>330</v>
      </c>
      <c r="H1563" s="19"/>
      <c r="I1563" s="19"/>
      <c r="J1563" s="19"/>
      <c r="K1563" s="19"/>
      <c r="L1563" s="14">
        <v>3895632</v>
      </c>
      <c r="M1563" s="22">
        <v>45451</v>
      </c>
      <c r="N1563" s="19" t="s">
        <v>185</v>
      </c>
      <c r="O1563" s="19" t="s">
        <v>333</v>
      </c>
      <c r="P1563" s="15">
        <v>4500</v>
      </c>
      <c r="Q1563" s="15">
        <v>54824.13</v>
      </c>
      <c r="R1563" s="15">
        <v>87089500</v>
      </c>
      <c r="S1563" s="15">
        <v>5</v>
      </c>
      <c r="T1563" s="19" t="s">
        <v>346</v>
      </c>
      <c r="U1563" s="19" t="s">
        <v>178</v>
      </c>
      <c r="V1563" s="16">
        <f t="shared" si="295"/>
        <v>2741.2065000000002</v>
      </c>
      <c r="W1563" s="16">
        <f t="shared" si="296"/>
        <v>274.12065000000001</v>
      </c>
      <c r="X1563" s="16">
        <f t="shared" si="297"/>
        <v>3015.3271500000001</v>
      </c>
      <c r="Y1563" s="16">
        <f t="shared" si="298"/>
        <v>0.67007269999999997</v>
      </c>
      <c r="Z1563" s="16">
        <f t="shared" si="299"/>
        <v>12.18314</v>
      </c>
      <c r="AA1563" s="17">
        <f t="shared" si="300"/>
        <v>4500</v>
      </c>
      <c r="AB1563" s="10">
        <v>816</v>
      </c>
      <c r="AC1563" s="18">
        <f t="shared" si="293"/>
        <v>546.77932320000002</v>
      </c>
      <c r="AD1563" s="12">
        <f t="shared" si="292"/>
        <v>4472</v>
      </c>
      <c r="AE1563" s="13">
        <f t="shared" si="301"/>
        <v>28</v>
      </c>
    </row>
    <row r="1564" spans="1:31">
      <c r="A1564" s="6">
        <v>16</v>
      </c>
      <c r="B1564" s="6">
        <f t="shared" si="302"/>
        <v>44</v>
      </c>
      <c r="C1564" s="6" t="str">
        <f t="shared" si="294"/>
        <v>654590600ASU2ID STD CUSHION COMPON CVR NON-WOVEN RH3895632454514500</v>
      </c>
      <c r="D1564" s="7" t="s">
        <v>403</v>
      </c>
      <c r="E1564" s="6" t="s">
        <v>78</v>
      </c>
      <c r="F1564" s="6"/>
      <c r="G1564" s="7" t="s">
        <v>38</v>
      </c>
      <c r="H1564" s="19"/>
      <c r="I1564" s="19"/>
      <c r="J1564" s="19"/>
      <c r="K1564" s="19"/>
      <c r="L1564" s="14">
        <v>3895632</v>
      </c>
      <c r="M1564" s="22">
        <v>45451</v>
      </c>
      <c r="N1564" s="19" t="s">
        <v>185</v>
      </c>
      <c r="O1564" s="19" t="s">
        <v>333</v>
      </c>
      <c r="P1564" s="15">
        <v>4500</v>
      </c>
      <c r="Q1564" s="15">
        <v>54824.13</v>
      </c>
      <c r="R1564" s="15">
        <v>87089500</v>
      </c>
      <c r="S1564" s="15">
        <v>5</v>
      </c>
      <c r="T1564" s="19" t="s">
        <v>346</v>
      </c>
      <c r="U1564" s="19" t="s">
        <v>178</v>
      </c>
      <c r="V1564" s="16">
        <f t="shared" si="295"/>
        <v>2741.2065000000002</v>
      </c>
      <c r="W1564" s="16">
        <f t="shared" si="296"/>
        <v>274.12065000000001</v>
      </c>
      <c r="X1564" s="16">
        <f t="shared" si="297"/>
        <v>3015.3271500000001</v>
      </c>
      <c r="Y1564" s="16">
        <f t="shared" si="298"/>
        <v>0.67007269999999997</v>
      </c>
      <c r="Z1564" s="16">
        <f t="shared" si="299"/>
        <v>12.18314</v>
      </c>
      <c r="AA1564" s="17">
        <f t="shared" si="300"/>
        <v>4500</v>
      </c>
      <c r="AB1564" s="10">
        <v>1104</v>
      </c>
      <c r="AC1564" s="18">
        <f t="shared" si="293"/>
        <v>739.76026079999997</v>
      </c>
      <c r="AD1564" s="12">
        <f t="shared" si="292"/>
        <v>4256</v>
      </c>
      <c r="AE1564" s="13">
        <f t="shared" si="301"/>
        <v>244</v>
      </c>
    </row>
    <row r="1565" spans="1:31">
      <c r="A1565" s="6">
        <v>16</v>
      </c>
      <c r="B1565" s="6">
        <f t="shared" si="302"/>
        <v>45</v>
      </c>
      <c r="C1565" s="6" t="str">
        <f t="shared" si="294"/>
        <v>603171100BTAPE, ADHESIVE, TERAOKA TERAOKA NO.560S 283492694503640000</v>
      </c>
      <c r="D1565" s="7" t="s">
        <v>403</v>
      </c>
      <c r="E1565" s="6" t="s">
        <v>50</v>
      </c>
      <c r="F1565" s="6"/>
      <c r="G1565" s="7" t="s">
        <v>12</v>
      </c>
      <c r="H1565" s="19"/>
      <c r="I1565" s="19"/>
      <c r="J1565" s="19"/>
      <c r="K1565" s="19"/>
      <c r="L1565" s="14">
        <v>8349269</v>
      </c>
      <c r="M1565" s="22">
        <v>45036</v>
      </c>
      <c r="N1565" s="19" t="s">
        <v>180</v>
      </c>
      <c r="O1565" s="19" t="s">
        <v>333</v>
      </c>
      <c r="P1565" s="15">
        <v>40000</v>
      </c>
      <c r="Q1565" s="15">
        <v>180520.2</v>
      </c>
      <c r="R1565" s="15">
        <v>39199090</v>
      </c>
      <c r="S1565" s="15">
        <v>15</v>
      </c>
      <c r="T1565" s="19" t="s">
        <v>342</v>
      </c>
      <c r="U1565" s="19" t="s">
        <v>178</v>
      </c>
      <c r="V1565" s="16">
        <f t="shared" si="295"/>
        <v>27078.030000000002</v>
      </c>
      <c r="W1565" s="16">
        <f t="shared" si="296"/>
        <v>2707.8030000000003</v>
      </c>
      <c r="X1565" s="16">
        <f t="shared" si="297"/>
        <v>29785.833000000002</v>
      </c>
      <c r="Y1565" s="16">
        <f t="shared" si="298"/>
        <v>0.74464582500000009</v>
      </c>
      <c r="Z1565" s="16">
        <f t="shared" si="299"/>
        <v>4.5130050000000006</v>
      </c>
      <c r="AA1565" s="17">
        <f t="shared" si="300"/>
        <v>40000</v>
      </c>
      <c r="AB1565" s="10">
        <v>1411.1999999999998</v>
      </c>
      <c r="AC1565" s="18">
        <f t="shared" si="293"/>
        <v>1050.84418824</v>
      </c>
      <c r="AD1565" s="12">
        <f t="shared" si="292"/>
        <v>12498</v>
      </c>
      <c r="AE1565" s="13">
        <f t="shared" si="301"/>
        <v>27502</v>
      </c>
    </row>
    <row r="1566" spans="1:31">
      <c r="A1566" s="6">
        <v>16</v>
      </c>
      <c r="B1566" s="6">
        <f t="shared" si="302"/>
        <v>46</v>
      </c>
      <c r="C1566" s="6" t="str">
        <f t="shared" si="294"/>
        <v>NWB2834WASHER, WAVED 69498204512640000</v>
      </c>
      <c r="D1566" s="7" t="s">
        <v>403</v>
      </c>
      <c r="E1566" s="6" t="s">
        <v>77</v>
      </c>
      <c r="F1566" s="6"/>
      <c r="G1566" s="7" t="s">
        <v>37</v>
      </c>
      <c r="H1566" s="19"/>
      <c r="I1566" s="19"/>
      <c r="J1566" s="19"/>
      <c r="K1566" s="19"/>
      <c r="L1566" s="14">
        <v>6949820</v>
      </c>
      <c r="M1566" s="22">
        <v>45126</v>
      </c>
      <c r="N1566" s="19" t="s">
        <v>196</v>
      </c>
      <c r="O1566" s="19" t="s">
        <v>333</v>
      </c>
      <c r="P1566" s="15">
        <v>40000</v>
      </c>
      <c r="Q1566" s="15">
        <v>70563.69</v>
      </c>
      <c r="R1566" s="15">
        <v>87082900</v>
      </c>
      <c r="S1566" s="15">
        <v>15</v>
      </c>
      <c r="T1566" s="19" t="s">
        <v>207</v>
      </c>
      <c r="U1566" s="19" t="s">
        <v>178</v>
      </c>
      <c r="V1566" s="16">
        <f t="shared" si="295"/>
        <v>10584.5535</v>
      </c>
      <c r="W1566" s="16">
        <f t="shared" si="296"/>
        <v>1058.45535</v>
      </c>
      <c r="X1566" s="16">
        <f t="shared" si="297"/>
        <v>11643.00885</v>
      </c>
      <c r="Y1566" s="16">
        <f t="shared" si="298"/>
        <v>0.29107522125000002</v>
      </c>
      <c r="Z1566" s="16">
        <f t="shared" si="299"/>
        <v>1.76409225</v>
      </c>
      <c r="AA1566" s="17">
        <f t="shared" si="300"/>
        <v>40000</v>
      </c>
      <c r="AB1566" s="10">
        <v>1504</v>
      </c>
      <c r="AC1566" s="18">
        <f t="shared" si="293"/>
        <v>437.77713276000003</v>
      </c>
      <c r="AD1566" s="12">
        <f t="shared" si="292"/>
        <v>36128</v>
      </c>
      <c r="AE1566" s="13">
        <f t="shared" si="301"/>
        <v>3872</v>
      </c>
    </row>
    <row r="1567" spans="1:31">
      <c r="A1567" s="6">
        <v>16</v>
      </c>
      <c r="B1567" s="6">
        <f t="shared" si="302"/>
        <v>47</v>
      </c>
      <c r="C1567" s="6" t="str">
        <f t="shared" si="294"/>
        <v>566098600CWEBBING PIN, RETRACTOR, AGB, AGB-95POM FARBE:SCH432749644950120000</v>
      </c>
      <c r="D1567" s="7" t="s">
        <v>403</v>
      </c>
      <c r="E1567" s="6" t="s">
        <v>57</v>
      </c>
      <c r="F1567" s="6"/>
      <c r="G1567" s="7" t="s">
        <v>17</v>
      </c>
      <c r="H1567" s="19"/>
      <c r="I1567" s="19"/>
      <c r="J1567" s="19"/>
      <c r="K1567" s="19"/>
      <c r="L1567" s="14">
        <v>4327496</v>
      </c>
      <c r="M1567" s="22">
        <v>44950</v>
      </c>
      <c r="N1567" s="19" t="s">
        <v>199</v>
      </c>
      <c r="O1567" s="19" t="s">
        <v>332</v>
      </c>
      <c r="P1567" s="15">
        <v>120000</v>
      </c>
      <c r="Q1567" s="15">
        <v>117311.7</v>
      </c>
      <c r="R1567" s="15">
        <v>87082900</v>
      </c>
      <c r="S1567" s="15">
        <v>15</v>
      </c>
      <c r="T1567" s="19" t="s">
        <v>307</v>
      </c>
      <c r="U1567" s="19" t="s">
        <v>178</v>
      </c>
      <c r="V1567" s="16">
        <f t="shared" si="295"/>
        <v>17596.754999999997</v>
      </c>
      <c r="W1567" s="16">
        <f t="shared" si="296"/>
        <v>1759.6754999999998</v>
      </c>
      <c r="X1567" s="16">
        <f t="shared" si="297"/>
        <v>19356.430499999999</v>
      </c>
      <c r="Y1567" s="16">
        <f t="shared" si="298"/>
        <v>0.16130358749999998</v>
      </c>
      <c r="Z1567" s="16">
        <f t="shared" si="299"/>
        <v>0.97759750000000001</v>
      </c>
      <c r="AA1567" s="17">
        <f t="shared" si="300"/>
        <v>120000</v>
      </c>
      <c r="AB1567" s="10">
        <v>1956</v>
      </c>
      <c r="AC1567" s="18">
        <f t="shared" si="293"/>
        <v>315.50981714999995</v>
      </c>
      <c r="AD1567" s="12">
        <f t="shared" ref="AD1567:AD1630" si="303">SUMIF($C$2:$C$2284,C1567,$AB$2:$AB$2284)</f>
        <v>86652</v>
      </c>
      <c r="AE1567" s="13">
        <f t="shared" si="301"/>
        <v>33348</v>
      </c>
    </row>
    <row r="1568" spans="1:31">
      <c r="A1568" s="6">
        <v>16</v>
      </c>
      <c r="B1568" s="6">
        <f t="shared" si="302"/>
        <v>48</v>
      </c>
      <c r="C1568" s="6" t="str">
        <f t="shared" si="294"/>
        <v>6242999AABFELT, OTHER OTHER3185719454067200</v>
      </c>
      <c r="D1568" s="7" t="s">
        <v>403</v>
      </c>
      <c r="E1568" s="6" t="s">
        <v>127</v>
      </c>
      <c r="F1568" s="6"/>
      <c r="G1568" s="19" t="s">
        <v>105</v>
      </c>
      <c r="H1568" s="19"/>
      <c r="I1568" s="19"/>
      <c r="J1568" s="19"/>
      <c r="K1568" s="19"/>
      <c r="L1568" s="14">
        <v>3185719</v>
      </c>
      <c r="M1568" s="22">
        <v>45406</v>
      </c>
      <c r="N1568" s="19" t="s">
        <v>196</v>
      </c>
      <c r="O1568" s="19" t="s">
        <v>332</v>
      </c>
      <c r="P1568" s="15">
        <v>7200</v>
      </c>
      <c r="Q1568" s="15">
        <v>95405.8</v>
      </c>
      <c r="R1568" s="15">
        <v>87082900</v>
      </c>
      <c r="S1568" s="15">
        <v>15</v>
      </c>
      <c r="T1568" s="19" t="s">
        <v>354</v>
      </c>
      <c r="U1568" s="19" t="s">
        <v>178</v>
      </c>
      <c r="V1568" s="16">
        <f t="shared" si="295"/>
        <v>14310.87</v>
      </c>
      <c r="W1568" s="16">
        <f t="shared" si="296"/>
        <v>1431.0870000000002</v>
      </c>
      <c r="X1568" s="16">
        <f t="shared" si="297"/>
        <v>15741.957</v>
      </c>
      <c r="Y1568" s="16">
        <f t="shared" si="298"/>
        <v>2.1863829166666666</v>
      </c>
      <c r="Z1568" s="16">
        <f t="shared" si="299"/>
        <v>13.250805555555557</v>
      </c>
      <c r="AA1568" s="17">
        <f t="shared" si="300"/>
        <v>7200</v>
      </c>
      <c r="AB1568" s="10">
        <v>192</v>
      </c>
      <c r="AC1568" s="18">
        <f t="shared" si="293"/>
        <v>419.78552000000002</v>
      </c>
      <c r="AD1568" s="12">
        <f t="shared" si="303"/>
        <v>3836.12</v>
      </c>
      <c r="AE1568" s="13">
        <f t="shared" si="301"/>
        <v>3363.88</v>
      </c>
    </row>
    <row r="1569" spans="1:31">
      <c r="A1569" s="6">
        <v>16</v>
      </c>
      <c r="B1569" s="6">
        <f t="shared" si="302"/>
        <v>49</v>
      </c>
      <c r="C1569" s="6" t="str">
        <f t="shared" si="294"/>
        <v>625090202BTAPE, IC, CONTINUOUS, 13.0 MM., PET 3M 842196603534476311700</v>
      </c>
      <c r="D1569" s="7" t="s">
        <v>403</v>
      </c>
      <c r="E1569" s="6" t="s">
        <v>128</v>
      </c>
      <c r="F1569" s="6"/>
      <c r="G1569" s="19" t="s">
        <v>103</v>
      </c>
      <c r="H1569" s="19"/>
      <c r="I1569" s="19"/>
      <c r="J1569" s="19"/>
      <c r="K1569" s="19"/>
      <c r="L1569" s="14">
        <v>9660353</v>
      </c>
      <c r="M1569" s="22">
        <v>44763</v>
      </c>
      <c r="N1569" s="19" t="s">
        <v>196</v>
      </c>
      <c r="O1569" s="19" t="s">
        <v>333</v>
      </c>
      <c r="P1569" s="15">
        <v>11700</v>
      </c>
      <c r="Q1569" s="15">
        <v>147455.71</v>
      </c>
      <c r="R1569" s="15">
        <v>87089500</v>
      </c>
      <c r="S1569" s="15">
        <v>15</v>
      </c>
      <c r="T1569" s="19" t="s">
        <v>228</v>
      </c>
      <c r="U1569" s="19" t="s">
        <v>178</v>
      </c>
      <c r="V1569" s="16">
        <f t="shared" si="295"/>
        <v>22118.356499999998</v>
      </c>
      <c r="W1569" s="16">
        <f t="shared" si="296"/>
        <v>2211.83565</v>
      </c>
      <c r="X1569" s="16">
        <f t="shared" si="297"/>
        <v>24330.192149999999</v>
      </c>
      <c r="Y1569" s="16">
        <f t="shared" si="298"/>
        <v>2.0795036025641025</v>
      </c>
      <c r="Z1569" s="16">
        <f t="shared" si="299"/>
        <v>12.603052136752137</v>
      </c>
      <c r="AA1569" s="17">
        <f t="shared" si="300"/>
        <v>11700</v>
      </c>
      <c r="AB1569" s="10">
        <v>176.64000000000001</v>
      </c>
      <c r="AC1569" s="18">
        <f t="shared" si="293"/>
        <v>367.32351635692311</v>
      </c>
      <c r="AD1569" s="12">
        <f t="shared" si="303"/>
        <v>5418.24</v>
      </c>
      <c r="AE1569" s="13">
        <f t="shared" si="301"/>
        <v>6281.76</v>
      </c>
    </row>
    <row r="1570" spans="1:31">
      <c r="A1570" s="6">
        <v>16</v>
      </c>
      <c r="B1570" s="6">
        <f t="shared" si="302"/>
        <v>50</v>
      </c>
      <c r="C1570" s="6" t="str">
        <f t="shared" si="294"/>
        <v>656334900FAB Cushion ICAB FI 2 Row C KSID, ASP5.1, BUTTON HOL2169560447991980</v>
      </c>
      <c r="D1570" s="7" t="s">
        <v>403</v>
      </c>
      <c r="E1570" s="6" t="s">
        <v>474</v>
      </c>
      <c r="F1570" s="6"/>
      <c r="G1570" s="19" t="s">
        <v>243</v>
      </c>
      <c r="H1570" s="19"/>
      <c r="I1570" s="19"/>
      <c r="J1570" s="19"/>
      <c r="K1570" s="19"/>
      <c r="L1570" s="14">
        <v>2169560</v>
      </c>
      <c r="M1570" s="22">
        <v>44799</v>
      </c>
      <c r="N1570" s="19" t="s">
        <v>185</v>
      </c>
      <c r="O1570" s="19" t="s">
        <v>332</v>
      </c>
      <c r="P1570" s="15">
        <v>1980</v>
      </c>
      <c r="Q1570" s="15">
        <v>1782469.32</v>
      </c>
      <c r="R1570" s="15">
        <v>87089500</v>
      </c>
      <c r="S1570" s="15">
        <v>5</v>
      </c>
      <c r="T1570" s="19" t="s">
        <v>300</v>
      </c>
      <c r="U1570" s="19" t="s">
        <v>200</v>
      </c>
      <c r="V1570" s="16">
        <f t="shared" si="295"/>
        <v>89123.466000000015</v>
      </c>
      <c r="W1570" s="16">
        <f t="shared" si="296"/>
        <v>8912.3466000000026</v>
      </c>
      <c r="X1570" s="16">
        <f t="shared" si="297"/>
        <v>98035.812600000019</v>
      </c>
      <c r="Y1570" s="16">
        <f t="shared" si="298"/>
        <v>49.513036666666679</v>
      </c>
      <c r="Z1570" s="16">
        <f t="shared" si="299"/>
        <v>900.23703030303034</v>
      </c>
      <c r="AA1570" s="17">
        <f t="shared" si="300"/>
        <v>1980</v>
      </c>
      <c r="AB1570" s="10">
        <v>192</v>
      </c>
      <c r="AC1570" s="18">
        <f t="shared" si="293"/>
        <v>9506.5030400000032</v>
      </c>
      <c r="AD1570" s="12">
        <f t="shared" si="303"/>
        <v>1849</v>
      </c>
      <c r="AE1570" s="13">
        <f t="shared" si="301"/>
        <v>131</v>
      </c>
    </row>
    <row r="1571" spans="1:31">
      <c r="A1571" s="6">
        <v>17</v>
      </c>
      <c r="B1571" s="6">
        <v>1</v>
      </c>
      <c r="C1571" s="6" t="str">
        <f t="shared" si="294"/>
        <v>615795701BPILLAR LOOP, OVERMOULDED LIGHT GRAY, STD, WITH CA7029849456294000</v>
      </c>
      <c r="D1571" s="7" t="s">
        <v>409</v>
      </c>
      <c r="E1571" s="6" t="s">
        <v>67</v>
      </c>
      <c r="F1571" s="6"/>
      <c r="G1571" s="7" t="s">
        <v>27</v>
      </c>
      <c r="H1571" s="19"/>
      <c r="I1571" s="19"/>
      <c r="J1571" s="19"/>
      <c r="K1571" s="19"/>
      <c r="L1571" s="14">
        <v>7029849</v>
      </c>
      <c r="M1571" s="22">
        <v>45629</v>
      </c>
      <c r="N1571" s="19" t="s">
        <v>185</v>
      </c>
      <c r="O1571" s="19" t="s">
        <v>332</v>
      </c>
      <c r="P1571" s="15">
        <v>4000</v>
      </c>
      <c r="Q1571" s="15">
        <v>239479.7</v>
      </c>
      <c r="R1571" s="15">
        <v>87082900</v>
      </c>
      <c r="S1571" s="15">
        <v>15</v>
      </c>
      <c r="T1571" s="19" t="s">
        <v>198</v>
      </c>
      <c r="U1571" s="19" t="s">
        <v>178</v>
      </c>
      <c r="V1571" s="16">
        <f t="shared" si="295"/>
        <v>35921.955000000002</v>
      </c>
      <c r="W1571" s="16">
        <f t="shared" si="296"/>
        <v>3592.1955000000003</v>
      </c>
      <c r="X1571" s="16">
        <f t="shared" si="297"/>
        <v>39514.150500000003</v>
      </c>
      <c r="Y1571" s="16">
        <f t="shared" si="298"/>
        <v>9.8785376250000017</v>
      </c>
      <c r="Z1571" s="16">
        <f t="shared" si="299"/>
        <v>59.869925000000002</v>
      </c>
      <c r="AA1571" s="17">
        <f t="shared" si="300"/>
        <v>4000</v>
      </c>
      <c r="AB1571" s="10">
        <v>2328</v>
      </c>
      <c r="AC1571" s="18">
        <f t="shared" si="293"/>
        <v>22997.235591000004</v>
      </c>
      <c r="AD1571" s="12">
        <f t="shared" si="303"/>
        <v>4000</v>
      </c>
      <c r="AE1571" s="13">
        <f t="shared" si="301"/>
        <v>0</v>
      </c>
    </row>
    <row r="1572" spans="1:31">
      <c r="A1572" s="6">
        <v>17</v>
      </c>
      <c r="B1572" s="6">
        <f t="shared" si="302"/>
        <v>2</v>
      </c>
      <c r="C1572" s="6" t="str">
        <f t="shared" si="294"/>
        <v>666041100AAB Cushion ICAB FI 2 Row C22875444534610000</v>
      </c>
      <c r="D1572" s="7" t="s">
        <v>409</v>
      </c>
      <c r="E1572" s="6" t="s">
        <v>476</v>
      </c>
      <c r="F1572" s="6"/>
      <c r="G1572" s="7" t="s">
        <v>246</v>
      </c>
      <c r="H1572" s="19"/>
      <c r="I1572" s="19"/>
      <c r="J1572" s="19"/>
      <c r="K1572" s="19"/>
      <c r="L1572" s="14">
        <v>2287544</v>
      </c>
      <c r="M1572" s="22">
        <v>45346</v>
      </c>
      <c r="N1572" s="19" t="s">
        <v>185</v>
      </c>
      <c r="O1572" s="19" t="s">
        <v>332</v>
      </c>
      <c r="P1572" s="15">
        <v>10000</v>
      </c>
      <c r="Q1572" s="15">
        <v>8462664.5199999996</v>
      </c>
      <c r="R1572" s="15">
        <v>87089500</v>
      </c>
      <c r="S1572" s="15">
        <v>5</v>
      </c>
      <c r="T1572" s="19" t="s">
        <v>350</v>
      </c>
      <c r="U1572" s="19" t="s">
        <v>178</v>
      </c>
      <c r="V1572" s="16">
        <f t="shared" si="295"/>
        <v>423133.22600000002</v>
      </c>
      <c r="W1572" s="16">
        <f t="shared" si="296"/>
        <v>42313.322600000007</v>
      </c>
      <c r="X1572" s="16">
        <f t="shared" si="297"/>
        <v>465446.54860000004</v>
      </c>
      <c r="Y1572" s="16">
        <f t="shared" si="298"/>
        <v>46.544654860000001</v>
      </c>
      <c r="Z1572" s="16">
        <f t="shared" si="299"/>
        <v>846.26645199999996</v>
      </c>
      <c r="AA1572" s="17">
        <f t="shared" si="300"/>
        <v>10000</v>
      </c>
      <c r="AB1572" s="10">
        <v>960</v>
      </c>
      <c r="AC1572" s="18">
        <f t="shared" si="293"/>
        <v>44682.868665599999</v>
      </c>
      <c r="AD1572" s="12">
        <f t="shared" si="303"/>
        <v>9680</v>
      </c>
      <c r="AE1572" s="13">
        <f t="shared" si="301"/>
        <v>320</v>
      </c>
    </row>
    <row r="1573" spans="1:31">
      <c r="A1573" s="6">
        <v>17</v>
      </c>
      <c r="B1573" s="6">
        <f t="shared" si="302"/>
        <v>3</v>
      </c>
      <c r="C1573" s="6" t="str">
        <f t="shared" si="294"/>
        <v>640294000AAB INFLATOR, ASP-2, GEN15,23468634535010368</v>
      </c>
      <c r="D1573" s="7" t="s">
        <v>409</v>
      </c>
      <c r="E1573" s="6" t="s">
        <v>475</v>
      </c>
      <c r="F1573" s="6"/>
      <c r="G1573" s="7" t="s">
        <v>244</v>
      </c>
      <c r="H1573" s="19"/>
      <c r="I1573" s="19"/>
      <c r="J1573" s="19"/>
      <c r="K1573" s="19"/>
      <c r="L1573" s="14">
        <v>2346863</v>
      </c>
      <c r="M1573" s="22">
        <v>45350</v>
      </c>
      <c r="N1573" s="19" t="s">
        <v>197</v>
      </c>
      <c r="O1573" s="19" t="s">
        <v>333</v>
      </c>
      <c r="P1573" s="15">
        <v>10368</v>
      </c>
      <c r="Q1573" s="15">
        <v>2687626.04</v>
      </c>
      <c r="R1573" s="15">
        <v>87089500</v>
      </c>
      <c r="S1573" s="15">
        <v>15</v>
      </c>
      <c r="T1573" s="19" t="s">
        <v>202</v>
      </c>
      <c r="U1573" s="19" t="s">
        <v>200</v>
      </c>
      <c r="V1573" s="16">
        <f t="shared" si="295"/>
        <v>403143.90600000002</v>
      </c>
      <c r="W1573" s="16">
        <f t="shared" si="296"/>
        <v>40314.390600000006</v>
      </c>
      <c r="X1573" s="16">
        <f t="shared" si="297"/>
        <v>443458.2966</v>
      </c>
      <c r="Y1573" s="16">
        <f t="shared" si="298"/>
        <v>42.771826446759256</v>
      </c>
      <c r="Z1573" s="16">
        <f t="shared" si="299"/>
        <v>259.22319058641978</v>
      </c>
      <c r="AA1573" s="17">
        <f t="shared" si="300"/>
        <v>10368</v>
      </c>
      <c r="AB1573" s="10">
        <v>864</v>
      </c>
      <c r="AC1573" s="18">
        <f t="shared" si="293"/>
        <v>36954.858049999995</v>
      </c>
      <c r="AD1573" s="12">
        <f t="shared" si="303"/>
        <v>9872</v>
      </c>
      <c r="AE1573" s="13">
        <f t="shared" si="301"/>
        <v>496</v>
      </c>
    </row>
    <row r="1574" spans="1:31">
      <c r="A1574" s="6">
        <v>17</v>
      </c>
      <c r="B1574" s="6">
        <f t="shared" si="302"/>
        <v>4</v>
      </c>
      <c r="C1574" s="6" t="str">
        <f t="shared" si="294"/>
        <v>649421000AAB INFLATOR, ASP-5.1, P20, SRR, IMI, SERV, NO STUDS97125144530913824</v>
      </c>
      <c r="D1574" s="7" t="s">
        <v>409</v>
      </c>
      <c r="E1574" s="6" t="s">
        <v>56</v>
      </c>
      <c r="F1574" s="6"/>
      <c r="G1574" s="7" t="s">
        <v>245</v>
      </c>
      <c r="H1574" s="19"/>
      <c r="I1574" s="19"/>
      <c r="J1574" s="19"/>
      <c r="K1574" s="19"/>
      <c r="L1574" s="14">
        <v>9712514</v>
      </c>
      <c r="M1574" s="22">
        <v>45309</v>
      </c>
      <c r="N1574" s="19" t="s">
        <v>197</v>
      </c>
      <c r="O1574" s="19" t="s">
        <v>333</v>
      </c>
      <c r="P1574" s="15">
        <v>13824</v>
      </c>
      <c r="Q1574" s="15">
        <v>2091482.84</v>
      </c>
      <c r="R1574" s="15">
        <v>87089500</v>
      </c>
      <c r="S1574" s="15">
        <v>15</v>
      </c>
      <c r="T1574" s="19" t="s">
        <v>380</v>
      </c>
      <c r="U1574" s="19" t="s">
        <v>200</v>
      </c>
      <c r="V1574" s="16">
        <f t="shared" si="295"/>
        <v>313722.42599999998</v>
      </c>
      <c r="W1574" s="16">
        <f t="shared" si="296"/>
        <v>31372.242599999998</v>
      </c>
      <c r="X1574" s="16">
        <f t="shared" si="297"/>
        <v>345094.66859999998</v>
      </c>
      <c r="Y1574" s="16">
        <f t="shared" si="298"/>
        <v>24.963445355902778</v>
      </c>
      <c r="Z1574" s="16">
        <f t="shared" si="299"/>
        <v>151.29360821759261</v>
      </c>
      <c r="AA1574" s="17">
        <f t="shared" si="300"/>
        <v>13824</v>
      </c>
      <c r="AB1574" s="10">
        <v>192</v>
      </c>
      <c r="AC1574" s="18">
        <f t="shared" si="293"/>
        <v>4792.9815083333333</v>
      </c>
      <c r="AD1574" s="12">
        <f t="shared" si="303"/>
        <v>11712</v>
      </c>
      <c r="AE1574" s="13">
        <f t="shared" si="301"/>
        <v>2112</v>
      </c>
    </row>
    <row r="1575" spans="1:31">
      <c r="A1575" s="6">
        <v>17</v>
      </c>
      <c r="B1575" s="6">
        <f t="shared" si="302"/>
        <v>5</v>
      </c>
      <c r="C1575" s="6" t="str">
        <f t="shared" si="294"/>
        <v>566253211EADAPTER, CAR SENS, RETRA ALL VERSIONS390969644984216000</v>
      </c>
      <c r="D1575" s="7" t="s">
        <v>409</v>
      </c>
      <c r="E1575" s="6" t="s">
        <v>58</v>
      </c>
      <c r="F1575" s="6"/>
      <c r="G1575" s="7" t="s">
        <v>18</v>
      </c>
      <c r="H1575" s="19"/>
      <c r="I1575" s="19"/>
      <c r="J1575" s="19"/>
      <c r="K1575" s="19"/>
      <c r="L1575" s="14">
        <v>3909696</v>
      </c>
      <c r="M1575" s="22">
        <v>44984</v>
      </c>
      <c r="N1575" s="19" t="s">
        <v>199</v>
      </c>
      <c r="O1575" s="19" t="s">
        <v>332</v>
      </c>
      <c r="P1575" s="15">
        <v>216000</v>
      </c>
      <c r="Q1575" s="15">
        <v>549354.86</v>
      </c>
      <c r="R1575" s="15">
        <v>87082900</v>
      </c>
      <c r="S1575" s="15">
        <v>15</v>
      </c>
      <c r="T1575" s="19" t="s">
        <v>308</v>
      </c>
      <c r="U1575" s="19" t="s">
        <v>178</v>
      </c>
      <c r="V1575" s="16">
        <f t="shared" si="295"/>
        <v>82403.228999999992</v>
      </c>
      <c r="W1575" s="16">
        <f t="shared" si="296"/>
        <v>8240.3228999999992</v>
      </c>
      <c r="X1575" s="16">
        <f t="shared" si="297"/>
        <v>90643.551899999991</v>
      </c>
      <c r="Y1575" s="16">
        <f t="shared" si="298"/>
        <v>0.41964607361111106</v>
      </c>
      <c r="Z1575" s="16">
        <f t="shared" si="299"/>
        <v>2.5433095370370369</v>
      </c>
      <c r="AA1575" s="17">
        <f t="shared" si="300"/>
        <v>216000</v>
      </c>
      <c r="AB1575" s="10">
        <v>2328</v>
      </c>
      <c r="AC1575" s="18">
        <f t="shared" si="293"/>
        <v>976.93605936666654</v>
      </c>
      <c r="AD1575" s="12">
        <f t="shared" si="303"/>
        <v>86652</v>
      </c>
      <c r="AE1575" s="13">
        <f t="shared" si="301"/>
        <v>129348</v>
      </c>
    </row>
    <row r="1576" spans="1:31">
      <c r="A1576" s="6">
        <v>17</v>
      </c>
      <c r="B1576" s="6">
        <f t="shared" si="302"/>
        <v>6</v>
      </c>
      <c r="C1576" s="6" t="str">
        <f t="shared" si="294"/>
        <v>632154400AADHESIVE, PAD 40785224493620000</v>
      </c>
      <c r="D1576" s="7" t="s">
        <v>409</v>
      </c>
      <c r="E1576" s="6" t="s">
        <v>79</v>
      </c>
      <c r="F1576" s="6"/>
      <c r="G1576" s="7" t="s">
        <v>39</v>
      </c>
      <c r="H1576" s="19"/>
      <c r="I1576" s="19"/>
      <c r="J1576" s="19"/>
      <c r="K1576" s="19"/>
      <c r="L1576" s="14">
        <v>4078522</v>
      </c>
      <c r="M1576" s="22">
        <v>44936</v>
      </c>
      <c r="N1576" s="19" t="s">
        <v>196</v>
      </c>
      <c r="O1576" s="19" t="s">
        <v>333</v>
      </c>
      <c r="P1576" s="15">
        <v>20000</v>
      </c>
      <c r="Q1576" s="15">
        <v>66978.789999999994</v>
      </c>
      <c r="R1576" s="15">
        <v>87082900</v>
      </c>
      <c r="S1576" s="15">
        <v>15</v>
      </c>
      <c r="T1576" s="19" t="s">
        <v>201</v>
      </c>
      <c r="U1576" s="19" t="s">
        <v>178</v>
      </c>
      <c r="V1576" s="16">
        <f t="shared" si="295"/>
        <v>10046.818499999999</v>
      </c>
      <c r="W1576" s="16">
        <f t="shared" si="296"/>
        <v>1004.6818499999999</v>
      </c>
      <c r="X1576" s="16">
        <f t="shared" si="297"/>
        <v>11051.500349999998</v>
      </c>
      <c r="Y1576" s="16">
        <f t="shared" si="298"/>
        <v>0.55257501749999993</v>
      </c>
      <c r="Z1576" s="16">
        <f t="shared" si="299"/>
        <v>3.3489394999999997</v>
      </c>
      <c r="AA1576" s="17">
        <f t="shared" si="300"/>
        <v>20000</v>
      </c>
      <c r="AB1576" s="10">
        <v>2328</v>
      </c>
      <c r="AC1576" s="18">
        <f t="shared" si="293"/>
        <v>1286.3946407399999</v>
      </c>
      <c r="AD1576" s="12">
        <f t="shared" si="303"/>
        <v>18136</v>
      </c>
      <c r="AE1576" s="13">
        <f t="shared" si="301"/>
        <v>1864</v>
      </c>
    </row>
    <row r="1577" spans="1:31">
      <c r="A1577" s="6">
        <v>17</v>
      </c>
      <c r="B1577" s="6">
        <f t="shared" si="302"/>
        <v>7</v>
      </c>
      <c r="C1577" s="6" t="str">
        <f t="shared" si="294"/>
        <v>618470500EBEARING, CAR SENS, RETRA All Versions, Noise redu717838944902100800</v>
      </c>
      <c r="D1577" s="7" t="s">
        <v>409</v>
      </c>
      <c r="E1577" s="6" t="s">
        <v>68</v>
      </c>
      <c r="F1577" s="6"/>
      <c r="G1577" s="7" t="s">
        <v>28</v>
      </c>
      <c r="H1577" s="19"/>
      <c r="I1577" s="19"/>
      <c r="J1577" s="19"/>
      <c r="K1577" s="19"/>
      <c r="L1577" s="14">
        <v>7178389</v>
      </c>
      <c r="M1577" s="22">
        <v>44902</v>
      </c>
      <c r="N1577" s="19" t="s">
        <v>185</v>
      </c>
      <c r="O1577" s="19" t="s">
        <v>332</v>
      </c>
      <c r="P1577" s="15">
        <v>100800</v>
      </c>
      <c r="Q1577" s="15">
        <v>397158.13</v>
      </c>
      <c r="R1577" s="15">
        <v>87082900</v>
      </c>
      <c r="S1577" s="15">
        <v>15</v>
      </c>
      <c r="T1577" s="19" t="s">
        <v>315</v>
      </c>
      <c r="U1577" s="19" t="s">
        <v>178</v>
      </c>
      <c r="V1577" s="16">
        <f t="shared" si="295"/>
        <v>59573.719499999999</v>
      </c>
      <c r="W1577" s="16">
        <f t="shared" si="296"/>
        <v>5957.3719500000007</v>
      </c>
      <c r="X1577" s="16">
        <f t="shared" si="297"/>
        <v>65531.09145</v>
      </c>
      <c r="Y1577" s="16">
        <f t="shared" si="298"/>
        <v>0.65011003422619051</v>
      </c>
      <c r="Z1577" s="16">
        <f t="shared" si="299"/>
        <v>3.9400608134920634</v>
      </c>
      <c r="AA1577" s="17">
        <f t="shared" si="300"/>
        <v>100800</v>
      </c>
      <c r="AB1577" s="10">
        <v>2328</v>
      </c>
      <c r="AC1577" s="18">
        <f t="shared" si="293"/>
        <v>1513.4561596785716</v>
      </c>
      <c r="AD1577" s="12">
        <f t="shared" si="303"/>
        <v>31068</v>
      </c>
      <c r="AE1577" s="13">
        <f t="shared" si="301"/>
        <v>69732</v>
      </c>
    </row>
    <row r="1578" spans="1:31">
      <c r="A1578" s="6">
        <v>17</v>
      </c>
      <c r="B1578" s="6">
        <f t="shared" si="302"/>
        <v>8</v>
      </c>
      <c r="C1578" s="6" t="str">
        <f t="shared" si="294"/>
        <v>601256700GBUSH, RETRACTOR, R27, AL ALL VERSIONS405080544944160000</v>
      </c>
      <c r="D1578" s="7" t="s">
        <v>409</v>
      </c>
      <c r="E1578" s="6" t="s">
        <v>62</v>
      </c>
      <c r="F1578" s="6"/>
      <c r="G1578" s="7" t="s">
        <v>22</v>
      </c>
      <c r="H1578" s="19"/>
      <c r="I1578" s="19"/>
      <c r="J1578" s="19"/>
      <c r="K1578" s="19"/>
      <c r="L1578" s="14">
        <v>4050805</v>
      </c>
      <c r="M1578" s="22">
        <v>44944</v>
      </c>
      <c r="N1578" s="19" t="s">
        <v>196</v>
      </c>
      <c r="O1578" s="19" t="s">
        <v>333</v>
      </c>
      <c r="P1578" s="15">
        <v>160000</v>
      </c>
      <c r="Q1578" s="15">
        <v>278597.26</v>
      </c>
      <c r="R1578" s="15">
        <v>87082900</v>
      </c>
      <c r="S1578" s="15">
        <v>15</v>
      </c>
      <c r="T1578" s="19" t="s">
        <v>312</v>
      </c>
      <c r="U1578" s="19" t="s">
        <v>178</v>
      </c>
      <c r="V1578" s="16">
        <f t="shared" si="295"/>
        <v>41789.589</v>
      </c>
      <c r="W1578" s="16">
        <f t="shared" si="296"/>
        <v>4178.9589000000005</v>
      </c>
      <c r="X1578" s="16">
        <f t="shared" si="297"/>
        <v>45968.547899999998</v>
      </c>
      <c r="Y1578" s="16">
        <f t="shared" si="298"/>
        <v>0.287303424375</v>
      </c>
      <c r="Z1578" s="16">
        <f t="shared" si="299"/>
        <v>1.7412328750000001</v>
      </c>
      <c r="AA1578" s="17">
        <f t="shared" si="300"/>
        <v>160000</v>
      </c>
      <c r="AB1578" s="10">
        <v>2328</v>
      </c>
      <c r="AC1578" s="18">
        <f t="shared" si="293"/>
        <v>668.84237194499997</v>
      </c>
      <c r="AD1578" s="12">
        <f t="shared" si="303"/>
        <v>86652</v>
      </c>
      <c r="AE1578" s="13">
        <f t="shared" si="301"/>
        <v>73348</v>
      </c>
    </row>
    <row r="1579" spans="1:31">
      <c r="A1579" s="6">
        <v>17</v>
      </c>
      <c r="B1579" s="6">
        <f t="shared" si="302"/>
        <v>9</v>
      </c>
      <c r="C1579" s="6" t="str">
        <f t="shared" si="294"/>
        <v>560050622CCHANNEL, BUCKLE, K12 ROA K12A/AT, RIVET BUCKLE, S505596944994224000</v>
      </c>
      <c r="D1579" s="7" t="s">
        <v>409</v>
      </c>
      <c r="E1579" s="6" t="s">
        <v>72</v>
      </c>
      <c r="F1579" s="6"/>
      <c r="G1579" s="7" t="s">
        <v>32</v>
      </c>
      <c r="H1579" s="19"/>
      <c r="I1579" s="19"/>
      <c r="J1579" s="19"/>
      <c r="K1579" s="19"/>
      <c r="L1579" s="14">
        <v>5055969</v>
      </c>
      <c r="M1579" s="22">
        <v>44994</v>
      </c>
      <c r="N1579" s="19" t="s">
        <v>197</v>
      </c>
      <c r="O1579" s="19" t="s">
        <v>333</v>
      </c>
      <c r="P1579" s="15">
        <v>224000</v>
      </c>
      <c r="Q1579" s="15">
        <v>3980591.44</v>
      </c>
      <c r="R1579" s="15">
        <v>87082900</v>
      </c>
      <c r="S1579" s="15">
        <v>15</v>
      </c>
      <c r="T1579" s="19" t="s">
        <v>318</v>
      </c>
      <c r="U1579" s="19" t="s">
        <v>178</v>
      </c>
      <c r="V1579" s="16">
        <f t="shared" si="295"/>
        <v>597088.71600000001</v>
      </c>
      <c r="W1579" s="16">
        <f t="shared" si="296"/>
        <v>59708.871600000006</v>
      </c>
      <c r="X1579" s="16">
        <f t="shared" si="297"/>
        <v>656797.58759999997</v>
      </c>
      <c r="Y1579" s="16">
        <f t="shared" si="298"/>
        <v>2.9321320874999999</v>
      </c>
      <c r="Z1579" s="16">
        <f t="shared" si="299"/>
        <v>17.770497500000001</v>
      </c>
      <c r="AA1579" s="17">
        <f t="shared" si="300"/>
        <v>224000</v>
      </c>
      <c r="AB1579" s="10">
        <v>3936</v>
      </c>
      <c r="AC1579" s="18">
        <f t="shared" si="293"/>
        <v>11540.8718964</v>
      </c>
      <c r="AD1579" s="12">
        <f t="shared" si="303"/>
        <v>67232</v>
      </c>
      <c r="AE1579" s="13">
        <f t="shared" si="301"/>
        <v>156768</v>
      </c>
    </row>
    <row r="1580" spans="1:31">
      <c r="A1580" s="6">
        <v>17</v>
      </c>
      <c r="B1580" s="6">
        <f t="shared" si="302"/>
        <v>10</v>
      </c>
      <c r="C1580" s="6" t="str">
        <f t="shared" si="294"/>
        <v>601487200CCOVER, RETRACTOR, R27, S SYSTEMKAPPE DELRIN 100T822098745209144000</v>
      </c>
      <c r="D1580" s="7" t="s">
        <v>409</v>
      </c>
      <c r="E1580" s="6" t="s">
        <v>64</v>
      </c>
      <c r="F1580" s="6"/>
      <c r="G1580" s="7" t="s">
        <v>24</v>
      </c>
      <c r="H1580" s="19"/>
      <c r="I1580" s="19"/>
      <c r="J1580" s="19"/>
      <c r="K1580" s="19"/>
      <c r="L1580" s="14">
        <v>8220987</v>
      </c>
      <c r="M1580" s="22">
        <v>45209</v>
      </c>
      <c r="N1580" s="19" t="s">
        <v>199</v>
      </c>
      <c r="O1580" s="19" t="s">
        <v>332</v>
      </c>
      <c r="P1580" s="15">
        <v>144000</v>
      </c>
      <c r="Q1580" s="15">
        <v>1542266.14</v>
      </c>
      <c r="R1580" s="15">
        <v>87082900</v>
      </c>
      <c r="S1580" s="15">
        <v>15</v>
      </c>
      <c r="T1580" s="19" t="s">
        <v>307</v>
      </c>
      <c r="U1580" s="19" t="s">
        <v>178</v>
      </c>
      <c r="V1580" s="16">
        <f t="shared" si="295"/>
        <v>231339.92099999997</v>
      </c>
      <c r="W1580" s="16">
        <f t="shared" si="296"/>
        <v>23133.992099999999</v>
      </c>
      <c r="X1580" s="16">
        <f t="shared" si="297"/>
        <v>254473.91309999998</v>
      </c>
      <c r="Y1580" s="16">
        <f t="shared" si="298"/>
        <v>1.7671799520833331</v>
      </c>
      <c r="Z1580" s="16">
        <f t="shared" si="299"/>
        <v>10.710181527777777</v>
      </c>
      <c r="AA1580" s="17">
        <f t="shared" si="300"/>
        <v>144000</v>
      </c>
      <c r="AB1580" s="10">
        <v>1164</v>
      </c>
      <c r="AC1580" s="18">
        <f t="shared" si="293"/>
        <v>2056.9974642249999</v>
      </c>
      <c r="AD1580" s="12">
        <f t="shared" si="303"/>
        <v>16056</v>
      </c>
      <c r="AE1580" s="13">
        <f t="shared" si="301"/>
        <v>127944</v>
      </c>
    </row>
    <row r="1581" spans="1:31">
      <c r="A1581" s="6">
        <v>17</v>
      </c>
      <c r="B1581" s="6">
        <f t="shared" si="302"/>
        <v>11</v>
      </c>
      <c r="C1581" s="6" t="str">
        <f t="shared" si="294"/>
        <v>654590800ACUSHION COMPONENTS CVR NON-WOVEN RH SU2ID9128565447273600</v>
      </c>
      <c r="D1581" s="7" t="s">
        <v>409</v>
      </c>
      <c r="E1581" s="6" t="s">
        <v>480</v>
      </c>
      <c r="F1581" s="6"/>
      <c r="G1581" s="7" t="s">
        <v>396</v>
      </c>
      <c r="H1581" s="19"/>
      <c r="I1581" s="19"/>
      <c r="J1581" s="19"/>
      <c r="K1581" s="19"/>
      <c r="L1581" s="14">
        <v>9128565</v>
      </c>
      <c r="M1581" s="22">
        <v>44727</v>
      </c>
      <c r="N1581" s="19" t="s">
        <v>196</v>
      </c>
      <c r="O1581" s="19" t="s">
        <v>333</v>
      </c>
      <c r="P1581" s="15">
        <v>3600</v>
      </c>
      <c r="Q1581" s="15">
        <v>51213.09</v>
      </c>
      <c r="R1581" s="15">
        <v>87089500</v>
      </c>
      <c r="S1581" s="15">
        <v>15</v>
      </c>
      <c r="T1581" s="19" t="s">
        <v>347</v>
      </c>
      <c r="U1581" s="19" t="s">
        <v>178</v>
      </c>
      <c r="V1581" s="16">
        <f t="shared" si="295"/>
        <v>7681.9634999999989</v>
      </c>
      <c r="W1581" s="16">
        <f t="shared" si="296"/>
        <v>768.19634999999994</v>
      </c>
      <c r="X1581" s="16">
        <f t="shared" si="297"/>
        <v>8450.1598499999982</v>
      </c>
      <c r="Y1581" s="16">
        <f t="shared" si="298"/>
        <v>2.3472666249999996</v>
      </c>
      <c r="Z1581" s="16">
        <f t="shared" si="299"/>
        <v>14.225858333333333</v>
      </c>
      <c r="AA1581" s="17">
        <f t="shared" si="300"/>
        <v>3600</v>
      </c>
      <c r="AB1581" s="10">
        <v>864</v>
      </c>
      <c r="AC1581" s="18">
        <f t="shared" si="293"/>
        <v>2028.0383639999995</v>
      </c>
      <c r="AD1581" s="12">
        <f t="shared" si="303"/>
        <v>3160</v>
      </c>
      <c r="AE1581" s="13">
        <f t="shared" si="301"/>
        <v>440</v>
      </c>
    </row>
    <row r="1582" spans="1:31">
      <c r="A1582" s="6">
        <v>17</v>
      </c>
      <c r="B1582" s="6">
        <f t="shared" si="302"/>
        <v>12</v>
      </c>
      <c r="C1582" s="6" t="str">
        <f t="shared" si="294"/>
        <v>655226900AINFLATOR APP-4.6, 325KPA 1.8MOL, STANDARD MIB SQU9712514453096048</v>
      </c>
      <c r="D1582" s="7" t="s">
        <v>409</v>
      </c>
      <c r="E1582" s="6" t="s">
        <v>130</v>
      </c>
      <c r="F1582" s="6"/>
      <c r="G1582" s="7" t="s">
        <v>102</v>
      </c>
      <c r="H1582" s="19"/>
      <c r="I1582" s="19"/>
      <c r="J1582" s="19"/>
      <c r="K1582" s="19"/>
      <c r="L1582" s="14">
        <v>9712514</v>
      </c>
      <c r="M1582" s="22">
        <v>45309</v>
      </c>
      <c r="N1582" s="19" t="s">
        <v>197</v>
      </c>
      <c r="O1582" s="19" t="s">
        <v>333</v>
      </c>
      <c r="P1582" s="15">
        <v>6048</v>
      </c>
      <c r="Q1582" s="15">
        <v>1926932.35</v>
      </c>
      <c r="R1582" s="15">
        <v>87089500</v>
      </c>
      <c r="S1582" s="15">
        <v>15</v>
      </c>
      <c r="T1582" s="19" t="s">
        <v>380</v>
      </c>
      <c r="U1582" s="19" t="s">
        <v>200</v>
      </c>
      <c r="V1582" s="16">
        <f t="shared" si="295"/>
        <v>289039.85249999998</v>
      </c>
      <c r="W1582" s="16">
        <f t="shared" si="296"/>
        <v>28903.985249999998</v>
      </c>
      <c r="X1582" s="16">
        <f t="shared" si="297"/>
        <v>317943.83774999995</v>
      </c>
      <c r="Y1582" s="16">
        <f t="shared" si="298"/>
        <v>52.570078993055546</v>
      </c>
      <c r="Z1582" s="16">
        <f t="shared" si="299"/>
        <v>318.60653935185189</v>
      </c>
      <c r="AA1582" s="17">
        <f t="shared" si="300"/>
        <v>6048</v>
      </c>
      <c r="AB1582" s="10">
        <v>1080</v>
      </c>
      <c r="AC1582" s="18">
        <f t="shared" si="293"/>
        <v>56775.685312499991</v>
      </c>
      <c r="AD1582" s="12">
        <f t="shared" si="303"/>
        <v>4128</v>
      </c>
      <c r="AE1582" s="13">
        <f t="shared" si="301"/>
        <v>1920</v>
      </c>
    </row>
    <row r="1583" spans="1:31">
      <c r="A1583" s="6">
        <v>17</v>
      </c>
      <c r="B1583" s="6">
        <f t="shared" si="302"/>
        <v>13</v>
      </c>
      <c r="C1583" s="6" t="str">
        <f t="shared" si="294"/>
        <v>643302000AINFLATOR, ADP-1.3B, MP, MIB, SQUARE, NO STUD94867304529219872</v>
      </c>
      <c r="D1583" s="7" t="s">
        <v>409</v>
      </c>
      <c r="E1583" s="6" t="s">
        <v>46</v>
      </c>
      <c r="F1583" s="6"/>
      <c r="G1583" s="7" t="s">
        <v>8</v>
      </c>
      <c r="H1583" s="19"/>
      <c r="I1583" s="19"/>
      <c r="J1583" s="19"/>
      <c r="K1583" s="19"/>
      <c r="L1583" s="14">
        <v>9486730</v>
      </c>
      <c r="M1583" s="22">
        <v>45292</v>
      </c>
      <c r="N1583" s="19" t="s">
        <v>197</v>
      </c>
      <c r="O1583" s="19" t="s">
        <v>333</v>
      </c>
      <c r="P1583" s="15">
        <v>19872</v>
      </c>
      <c r="Q1583" s="15">
        <v>5160310.24</v>
      </c>
      <c r="R1583" s="15">
        <v>87089500</v>
      </c>
      <c r="S1583" s="15">
        <v>15</v>
      </c>
      <c r="T1583" s="19" t="s">
        <v>202</v>
      </c>
      <c r="U1583" s="19" t="s">
        <v>178</v>
      </c>
      <c r="V1583" s="16">
        <f t="shared" si="295"/>
        <v>774046.53599999996</v>
      </c>
      <c r="W1583" s="16">
        <f t="shared" si="296"/>
        <v>77404.653600000005</v>
      </c>
      <c r="X1583" s="16">
        <f t="shared" si="297"/>
        <v>851451.18959999993</v>
      </c>
      <c r="Y1583" s="16">
        <f t="shared" si="298"/>
        <v>42.846778864734297</v>
      </c>
      <c r="Z1583" s="16">
        <f t="shared" si="299"/>
        <v>259.67744766505638</v>
      </c>
      <c r="AA1583" s="17">
        <f t="shared" si="300"/>
        <v>19872</v>
      </c>
      <c r="AB1583" s="10">
        <v>1296</v>
      </c>
      <c r="AC1583" s="18">
        <f t="shared" si="293"/>
        <v>55529.42540869565</v>
      </c>
      <c r="AD1583" s="12">
        <f t="shared" si="303"/>
        <v>19872</v>
      </c>
      <c r="AE1583" s="13">
        <f t="shared" si="301"/>
        <v>0</v>
      </c>
    </row>
    <row r="1584" spans="1:31">
      <c r="A1584" s="6">
        <v>17</v>
      </c>
      <c r="B1584" s="6">
        <f t="shared" si="302"/>
        <v>14</v>
      </c>
      <c r="C1584" s="6" t="str">
        <f t="shared" si="294"/>
        <v>640294200AINFLATOR, ASP-2, GEN15,5415152450233456</v>
      </c>
      <c r="D1584" s="7" t="s">
        <v>409</v>
      </c>
      <c r="E1584" s="6" t="s">
        <v>470</v>
      </c>
      <c r="F1584" s="6"/>
      <c r="G1584" s="7" t="s">
        <v>238</v>
      </c>
      <c r="H1584" s="19"/>
      <c r="I1584" s="19"/>
      <c r="J1584" s="19"/>
      <c r="K1584" s="19"/>
      <c r="L1584" s="14">
        <v>5415152</v>
      </c>
      <c r="M1584" s="22">
        <v>45023</v>
      </c>
      <c r="N1584" s="19" t="s">
        <v>197</v>
      </c>
      <c r="O1584" s="19" t="s">
        <v>333</v>
      </c>
      <c r="P1584" s="15">
        <v>3456</v>
      </c>
      <c r="Q1584" s="15">
        <v>930335.43</v>
      </c>
      <c r="R1584" s="15">
        <v>87089500</v>
      </c>
      <c r="S1584" s="15">
        <v>15</v>
      </c>
      <c r="T1584" s="19" t="s">
        <v>202</v>
      </c>
      <c r="U1584" s="19" t="s">
        <v>200</v>
      </c>
      <c r="V1584" s="16">
        <f t="shared" si="295"/>
        <v>139550.31450000001</v>
      </c>
      <c r="W1584" s="16">
        <f t="shared" si="296"/>
        <v>13955.031450000002</v>
      </c>
      <c r="X1584" s="16">
        <f t="shared" si="297"/>
        <v>153505.34595000002</v>
      </c>
      <c r="Y1584" s="16">
        <f t="shared" si="298"/>
        <v>44.417056119791674</v>
      </c>
      <c r="Z1584" s="16">
        <f t="shared" si="299"/>
        <v>269.19427951388889</v>
      </c>
      <c r="AA1584" s="17">
        <f t="shared" si="300"/>
        <v>3456</v>
      </c>
      <c r="AB1584" s="10">
        <v>864</v>
      </c>
      <c r="AC1584" s="18">
        <f t="shared" si="293"/>
        <v>38376.336487500004</v>
      </c>
      <c r="AD1584" s="12">
        <f t="shared" si="303"/>
        <v>2592</v>
      </c>
      <c r="AE1584" s="13">
        <f t="shared" si="301"/>
        <v>864</v>
      </c>
    </row>
    <row r="1585" spans="1:31">
      <c r="A1585" s="6">
        <v>17</v>
      </c>
      <c r="B1585" s="6">
        <f t="shared" si="302"/>
        <v>15</v>
      </c>
      <c r="C1585" s="6" t="str">
        <f t="shared" si="294"/>
        <v>649421100AINFLATOR, ASP-5.1, P20, SRR, IMI, SERV, NO STUDS3855694449175184</v>
      </c>
      <c r="D1585" s="7" t="s">
        <v>409</v>
      </c>
      <c r="E1585" s="6" t="s">
        <v>469</v>
      </c>
      <c r="F1585" s="6"/>
      <c r="G1585" s="7" t="s">
        <v>16</v>
      </c>
      <c r="H1585" s="19"/>
      <c r="I1585" s="19"/>
      <c r="J1585" s="19"/>
      <c r="K1585" s="19"/>
      <c r="L1585" s="14">
        <v>3855694</v>
      </c>
      <c r="M1585" s="22">
        <v>44917</v>
      </c>
      <c r="N1585" s="19" t="s">
        <v>185</v>
      </c>
      <c r="O1585" s="19" t="s">
        <v>332</v>
      </c>
      <c r="P1585" s="15">
        <v>5184</v>
      </c>
      <c r="Q1585" s="15">
        <v>1007235.65</v>
      </c>
      <c r="R1585" s="15">
        <v>87089500</v>
      </c>
      <c r="S1585" s="15">
        <v>15</v>
      </c>
      <c r="T1585" s="19" t="s">
        <v>203</v>
      </c>
      <c r="U1585" s="19" t="s">
        <v>200</v>
      </c>
      <c r="V1585" s="16">
        <f t="shared" si="295"/>
        <v>151085.3475</v>
      </c>
      <c r="W1585" s="16">
        <f t="shared" si="296"/>
        <v>15108.534750000001</v>
      </c>
      <c r="X1585" s="16">
        <f t="shared" si="297"/>
        <v>166193.88225</v>
      </c>
      <c r="Y1585" s="16">
        <f t="shared" si="298"/>
        <v>32.059005063657409</v>
      </c>
      <c r="Z1585" s="16">
        <f t="shared" si="299"/>
        <v>194.29700038580248</v>
      </c>
      <c r="AA1585" s="17">
        <f t="shared" si="300"/>
        <v>5184</v>
      </c>
      <c r="AB1585" s="10">
        <v>960</v>
      </c>
      <c r="AC1585" s="18">
        <f t="shared" si="293"/>
        <v>30776.644861111112</v>
      </c>
      <c r="AD1585" s="12">
        <f t="shared" si="303"/>
        <v>4288</v>
      </c>
      <c r="AE1585" s="13">
        <f t="shared" si="301"/>
        <v>896</v>
      </c>
    </row>
    <row r="1586" spans="1:31">
      <c r="A1586" s="6">
        <v>17</v>
      </c>
      <c r="B1586" s="6">
        <f t="shared" si="302"/>
        <v>16</v>
      </c>
      <c r="C1586" s="6" t="str">
        <f t="shared" si="294"/>
        <v>655116100ALABEL, BLANK, 50.0, 25.0  LABEL, BLANK, 2PCS, 50X98316604531630000</v>
      </c>
      <c r="D1586" s="7" t="s">
        <v>409</v>
      </c>
      <c r="E1586" s="6" t="s">
        <v>49</v>
      </c>
      <c r="F1586" s="6"/>
      <c r="G1586" s="7" t="s">
        <v>11</v>
      </c>
      <c r="H1586" s="19"/>
      <c r="I1586" s="19"/>
      <c r="J1586" s="19"/>
      <c r="K1586" s="19"/>
      <c r="L1586" s="14">
        <v>9831660</v>
      </c>
      <c r="M1586" s="22">
        <v>45316</v>
      </c>
      <c r="N1586" s="19" t="s">
        <v>196</v>
      </c>
      <c r="O1586" s="19" t="s">
        <v>333</v>
      </c>
      <c r="P1586" s="15">
        <v>30000</v>
      </c>
      <c r="Q1586" s="15">
        <v>87652.89</v>
      </c>
      <c r="R1586" s="15">
        <v>87089500</v>
      </c>
      <c r="S1586" s="15">
        <v>15</v>
      </c>
      <c r="T1586" s="19" t="s">
        <v>303</v>
      </c>
      <c r="U1586" s="19" t="s">
        <v>178</v>
      </c>
      <c r="V1586" s="16">
        <f t="shared" si="295"/>
        <v>13147.933499999999</v>
      </c>
      <c r="W1586" s="16">
        <f t="shared" si="296"/>
        <v>1314.7933499999999</v>
      </c>
      <c r="X1586" s="16">
        <f t="shared" si="297"/>
        <v>14462.726849999999</v>
      </c>
      <c r="Y1586" s="16">
        <f t="shared" si="298"/>
        <v>0.48209089499999996</v>
      </c>
      <c r="Z1586" s="16">
        <f t="shared" si="299"/>
        <v>2.9217629999999999</v>
      </c>
      <c r="AA1586" s="17">
        <f t="shared" si="300"/>
        <v>30000</v>
      </c>
      <c r="AB1586" s="10">
        <v>1080</v>
      </c>
      <c r="AC1586" s="18">
        <f t="shared" si="293"/>
        <v>520.65816659999996</v>
      </c>
      <c r="AD1586" s="12">
        <f t="shared" si="303"/>
        <v>24771</v>
      </c>
      <c r="AE1586" s="13">
        <f t="shared" si="301"/>
        <v>5229</v>
      </c>
    </row>
    <row r="1587" spans="1:31">
      <c r="A1587" s="6">
        <v>17</v>
      </c>
      <c r="B1587" s="6">
        <f t="shared" si="302"/>
        <v>17</v>
      </c>
      <c r="C1587" s="6" t="str">
        <f t="shared" si="294"/>
        <v>642837500BLABEL, BLANK, BAR CODE953025945295100000</v>
      </c>
      <c r="D1587" s="7" t="s">
        <v>409</v>
      </c>
      <c r="E1587" s="6" t="s">
        <v>478</v>
      </c>
      <c r="F1587" s="6"/>
      <c r="G1587" s="7" t="s">
        <v>369</v>
      </c>
      <c r="H1587" s="19"/>
      <c r="I1587" s="19"/>
      <c r="J1587" s="19"/>
      <c r="K1587" s="19"/>
      <c r="L1587" s="14">
        <v>9530259</v>
      </c>
      <c r="M1587" s="22">
        <v>45295</v>
      </c>
      <c r="N1587" s="19" t="s">
        <v>196</v>
      </c>
      <c r="O1587" s="19" t="s">
        <v>333</v>
      </c>
      <c r="P1587" s="15">
        <v>100000</v>
      </c>
      <c r="Q1587" s="15">
        <v>17096.91</v>
      </c>
      <c r="R1587" s="15">
        <v>87082900</v>
      </c>
      <c r="S1587" s="15">
        <v>15</v>
      </c>
      <c r="T1587" s="19" t="s">
        <v>351</v>
      </c>
      <c r="U1587" s="19" t="s">
        <v>178</v>
      </c>
      <c r="V1587" s="16">
        <f t="shared" si="295"/>
        <v>2564.5364999999997</v>
      </c>
      <c r="W1587" s="16">
        <f t="shared" si="296"/>
        <v>256.45364999999998</v>
      </c>
      <c r="X1587" s="16">
        <f t="shared" si="297"/>
        <v>2820.9901499999996</v>
      </c>
      <c r="Y1587" s="16">
        <f t="shared" si="298"/>
        <v>2.8209901499999995E-2</v>
      </c>
      <c r="Z1587" s="16">
        <f t="shared" si="299"/>
        <v>0.17096909999999998</v>
      </c>
      <c r="AA1587" s="17">
        <f t="shared" si="300"/>
        <v>100000</v>
      </c>
      <c r="AB1587" s="10">
        <v>4320</v>
      </c>
      <c r="AC1587" s="18">
        <f t="shared" si="293"/>
        <v>121.86677447999998</v>
      </c>
      <c r="AD1587" s="12">
        <f t="shared" si="303"/>
        <v>100000</v>
      </c>
      <c r="AE1587" s="13">
        <f t="shared" si="301"/>
        <v>0</v>
      </c>
    </row>
    <row r="1588" spans="1:31">
      <c r="A1588" s="6">
        <v>17</v>
      </c>
      <c r="B1588" s="6">
        <f t="shared" si="302"/>
        <v>18</v>
      </c>
      <c r="C1588" s="6" t="str">
        <f t="shared" si="294"/>
        <v>622408300ALABEL, BLANK, BAR CODE,964466545303100000</v>
      </c>
      <c r="D1588" s="7" t="s">
        <v>409</v>
      </c>
      <c r="E1588" s="6" t="s">
        <v>473</v>
      </c>
      <c r="F1588" s="6"/>
      <c r="G1588" s="7" t="s">
        <v>239</v>
      </c>
      <c r="H1588" s="19"/>
      <c r="I1588" s="19"/>
      <c r="J1588" s="19"/>
      <c r="K1588" s="19"/>
      <c r="L1588" s="14">
        <v>9644665</v>
      </c>
      <c r="M1588" s="22">
        <v>45303</v>
      </c>
      <c r="N1588" s="19" t="s">
        <v>196</v>
      </c>
      <c r="O1588" s="19" t="s">
        <v>333</v>
      </c>
      <c r="P1588" s="15">
        <v>100000</v>
      </c>
      <c r="Q1588" s="15">
        <v>69765.98</v>
      </c>
      <c r="R1588" s="15">
        <v>87089500</v>
      </c>
      <c r="S1588" s="15">
        <v>15</v>
      </c>
      <c r="T1588" s="19" t="s">
        <v>351</v>
      </c>
      <c r="U1588" s="19" t="s">
        <v>178</v>
      </c>
      <c r="V1588" s="16">
        <f t="shared" si="295"/>
        <v>10464.896999999999</v>
      </c>
      <c r="W1588" s="16">
        <f t="shared" si="296"/>
        <v>1046.4896999999999</v>
      </c>
      <c r="X1588" s="16">
        <f t="shared" si="297"/>
        <v>11511.386699999999</v>
      </c>
      <c r="Y1588" s="16">
        <f t="shared" si="298"/>
        <v>0.11511386699999999</v>
      </c>
      <c r="Z1588" s="16">
        <f t="shared" si="299"/>
        <v>0.69765979999999994</v>
      </c>
      <c r="AA1588" s="17">
        <f t="shared" si="300"/>
        <v>100000</v>
      </c>
      <c r="AB1588" s="10">
        <v>1728</v>
      </c>
      <c r="AC1588" s="18">
        <f t="shared" si="293"/>
        <v>198.91676217599999</v>
      </c>
      <c r="AD1588" s="12">
        <f t="shared" si="303"/>
        <v>98136</v>
      </c>
      <c r="AE1588" s="13">
        <f t="shared" si="301"/>
        <v>1864</v>
      </c>
    </row>
    <row r="1589" spans="1:31">
      <c r="A1589" s="6">
        <v>17</v>
      </c>
      <c r="B1589" s="6">
        <f t="shared" si="302"/>
        <v>19</v>
      </c>
      <c r="C1589" s="6" t="str">
        <f t="shared" si="294"/>
        <v>630580800ALABEL, RAW MATERIAL, BLA K12 TPC BUCKLE5160585449362400000</v>
      </c>
      <c r="D1589" s="7" t="s">
        <v>409</v>
      </c>
      <c r="E1589" s="6" t="s">
        <v>71</v>
      </c>
      <c r="F1589" s="6"/>
      <c r="G1589" s="7" t="s">
        <v>31</v>
      </c>
      <c r="H1589" s="19"/>
      <c r="I1589" s="19"/>
      <c r="J1589" s="19"/>
      <c r="K1589" s="19"/>
      <c r="L1589" s="14">
        <v>5160585</v>
      </c>
      <c r="M1589" s="22">
        <v>44936</v>
      </c>
      <c r="N1589" s="19" t="s">
        <v>196</v>
      </c>
      <c r="O1589" s="19" t="s">
        <v>333</v>
      </c>
      <c r="P1589" s="15">
        <v>2400000</v>
      </c>
      <c r="Q1589" s="15">
        <v>86522.34</v>
      </c>
      <c r="R1589" s="15">
        <v>87082900</v>
      </c>
      <c r="S1589" s="15">
        <v>15</v>
      </c>
      <c r="T1589" s="19" t="s">
        <v>265</v>
      </c>
      <c r="U1589" s="19" t="s">
        <v>178</v>
      </c>
      <c r="V1589" s="16">
        <f t="shared" si="295"/>
        <v>12978.350999999999</v>
      </c>
      <c r="W1589" s="16">
        <f t="shared" si="296"/>
        <v>1297.8351</v>
      </c>
      <c r="X1589" s="16">
        <f t="shared" si="297"/>
        <v>14276.186099999999</v>
      </c>
      <c r="Y1589" s="16">
        <f t="shared" si="298"/>
        <v>5.9484108749999999E-3</v>
      </c>
      <c r="Z1589" s="16">
        <f t="shared" si="299"/>
        <v>3.6050974999999999E-2</v>
      </c>
      <c r="AA1589" s="17">
        <f t="shared" si="300"/>
        <v>2400000</v>
      </c>
      <c r="AB1589" s="10">
        <v>8232</v>
      </c>
      <c r="AC1589" s="18">
        <f t="shared" si="293"/>
        <v>48.967318323000001</v>
      </c>
      <c r="AD1589" s="12">
        <f t="shared" si="303"/>
        <v>548546</v>
      </c>
      <c r="AE1589" s="13">
        <f t="shared" si="301"/>
        <v>1851454</v>
      </c>
    </row>
    <row r="1590" spans="1:31">
      <c r="A1590" s="6">
        <v>17</v>
      </c>
      <c r="B1590" s="6">
        <f t="shared" si="302"/>
        <v>20</v>
      </c>
      <c r="C1590" s="6" t="str">
        <f t="shared" si="294"/>
        <v>560762022ALATCH, BUCKLE, K12 ROADM K12A/AT, SILVER, LATCH W54569304493980000</v>
      </c>
      <c r="D1590" s="7" t="s">
        <v>409</v>
      </c>
      <c r="E1590" s="6" t="s">
        <v>74</v>
      </c>
      <c r="F1590" s="6"/>
      <c r="G1590" s="7" t="s">
        <v>34</v>
      </c>
      <c r="H1590" s="19"/>
      <c r="I1590" s="19"/>
      <c r="J1590" s="19"/>
      <c r="K1590" s="19"/>
      <c r="L1590" s="14">
        <v>5456930</v>
      </c>
      <c r="M1590" s="22">
        <v>44939</v>
      </c>
      <c r="N1590" s="19" t="s">
        <v>185</v>
      </c>
      <c r="O1590" s="19" t="s">
        <v>332</v>
      </c>
      <c r="P1590" s="15">
        <v>80000</v>
      </c>
      <c r="Q1590" s="15">
        <v>680240</v>
      </c>
      <c r="R1590" s="15">
        <v>87082900</v>
      </c>
      <c r="S1590" s="15">
        <v>15</v>
      </c>
      <c r="T1590" s="19" t="s">
        <v>320</v>
      </c>
      <c r="U1590" s="19" t="s">
        <v>178</v>
      </c>
      <c r="V1590" s="16">
        <f t="shared" si="295"/>
        <v>102036</v>
      </c>
      <c r="W1590" s="16">
        <f t="shared" si="296"/>
        <v>10203.6</v>
      </c>
      <c r="X1590" s="16">
        <f t="shared" si="297"/>
        <v>112239.6</v>
      </c>
      <c r="Y1590" s="16">
        <f t="shared" si="298"/>
        <v>1.402995</v>
      </c>
      <c r="Z1590" s="16">
        <f t="shared" si="299"/>
        <v>8.5030000000000001</v>
      </c>
      <c r="AA1590" s="17">
        <f t="shared" si="300"/>
        <v>80000</v>
      </c>
      <c r="AB1590" s="10">
        <v>3936</v>
      </c>
      <c r="AC1590" s="18">
        <f t="shared" si="293"/>
        <v>5522.1883200000002</v>
      </c>
      <c r="AD1590" s="12">
        <f t="shared" si="303"/>
        <v>74976</v>
      </c>
      <c r="AE1590" s="13">
        <f t="shared" si="301"/>
        <v>5024</v>
      </c>
    </row>
    <row r="1591" spans="1:31">
      <c r="A1591" s="6">
        <v>17</v>
      </c>
      <c r="B1591" s="6">
        <f t="shared" si="302"/>
        <v>21</v>
      </c>
      <c r="C1591" s="6" t="str">
        <f t="shared" si="294"/>
        <v>601472600ALATCH, RETRACTOR, R27, A ALL VERSIONS421598844951162000</v>
      </c>
      <c r="D1591" s="7" t="s">
        <v>409</v>
      </c>
      <c r="E1591" s="6" t="s">
        <v>63</v>
      </c>
      <c r="F1591" s="6"/>
      <c r="G1591" s="7" t="s">
        <v>23</v>
      </c>
      <c r="H1591" s="19"/>
      <c r="I1591" s="19"/>
      <c r="J1591" s="19"/>
      <c r="K1591" s="19"/>
      <c r="L1591" s="14">
        <v>4215988</v>
      </c>
      <c r="M1591" s="22">
        <v>44951</v>
      </c>
      <c r="N1591" s="19" t="s">
        <v>199</v>
      </c>
      <c r="O1591" s="19" t="s">
        <v>332</v>
      </c>
      <c r="P1591" s="15">
        <v>162000</v>
      </c>
      <c r="Q1591" s="15">
        <v>1167023.94</v>
      </c>
      <c r="R1591" s="15">
        <v>87082900</v>
      </c>
      <c r="S1591" s="15">
        <v>15</v>
      </c>
      <c r="T1591" s="19" t="s">
        <v>313</v>
      </c>
      <c r="U1591" s="19" t="s">
        <v>178</v>
      </c>
      <c r="V1591" s="16">
        <f t="shared" si="295"/>
        <v>175053.59099999999</v>
      </c>
      <c r="W1591" s="16">
        <f t="shared" si="296"/>
        <v>17505.359099999998</v>
      </c>
      <c r="X1591" s="16">
        <f t="shared" si="297"/>
        <v>192558.95009999999</v>
      </c>
      <c r="Y1591" s="16">
        <f t="shared" si="298"/>
        <v>1.1886354944444444</v>
      </c>
      <c r="Z1591" s="16">
        <f t="shared" si="299"/>
        <v>7.2038514814814816</v>
      </c>
      <c r="AA1591" s="17">
        <f t="shared" si="300"/>
        <v>162000</v>
      </c>
      <c r="AB1591" s="10">
        <v>2328</v>
      </c>
      <c r="AC1591" s="18">
        <f t="shared" ref="AC1591:AC1613" si="304">AB1591*Y1591</f>
        <v>2767.1434310666664</v>
      </c>
      <c r="AD1591" s="12">
        <f t="shared" si="303"/>
        <v>86652</v>
      </c>
      <c r="AE1591" s="13">
        <f t="shared" si="301"/>
        <v>75348</v>
      </c>
    </row>
    <row r="1592" spans="1:31">
      <c r="A1592" s="6">
        <v>17</v>
      </c>
      <c r="B1592" s="6">
        <f t="shared" si="302"/>
        <v>22</v>
      </c>
      <c r="C1592" s="6" t="str">
        <f t="shared" si="294"/>
        <v>618472000BLEVER, CAR SENS, RETRACT ALL VERSIONS, NOISE REDU408531144933170000</v>
      </c>
      <c r="D1592" s="7" t="s">
        <v>409</v>
      </c>
      <c r="E1592" s="6" t="s">
        <v>69</v>
      </c>
      <c r="F1592" s="6"/>
      <c r="G1592" s="7" t="s">
        <v>29</v>
      </c>
      <c r="H1592" s="19"/>
      <c r="I1592" s="19"/>
      <c r="J1592" s="19"/>
      <c r="K1592" s="19"/>
      <c r="L1592" s="14">
        <v>4085311</v>
      </c>
      <c r="M1592" s="22">
        <v>44933</v>
      </c>
      <c r="N1592" s="19" t="s">
        <v>196</v>
      </c>
      <c r="O1592" s="19" t="s">
        <v>333</v>
      </c>
      <c r="P1592" s="15">
        <v>170000</v>
      </c>
      <c r="Q1592" s="15">
        <v>247799.42</v>
      </c>
      <c r="R1592" s="15">
        <v>87082900</v>
      </c>
      <c r="S1592" s="15">
        <v>15</v>
      </c>
      <c r="T1592" s="19" t="s">
        <v>316</v>
      </c>
      <c r="U1592" s="19" t="s">
        <v>178</v>
      </c>
      <c r="V1592" s="16">
        <f t="shared" si="295"/>
        <v>37169.913</v>
      </c>
      <c r="W1592" s="16">
        <f t="shared" si="296"/>
        <v>3716.9913000000001</v>
      </c>
      <c r="X1592" s="16">
        <f t="shared" si="297"/>
        <v>40886.904300000002</v>
      </c>
      <c r="Y1592" s="16">
        <f t="shared" si="298"/>
        <v>0.24051120176470589</v>
      </c>
      <c r="Z1592" s="16">
        <f t="shared" si="299"/>
        <v>1.4576436470588237</v>
      </c>
      <c r="AA1592" s="17">
        <f t="shared" si="300"/>
        <v>170000</v>
      </c>
      <c r="AB1592" s="10">
        <v>2328</v>
      </c>
      <c r="AC1592" s="18">
        <f t="shared" si="304"/>
        <v>559.91007770823535</v>
      </c>
      <c r="AD1592" s="12">
        <f t="shared" si="303"/>
        <v>86652</v>
      </c>
      <c r="AE1592" s="13">
        <f t="shared" si="301"/>
        <v>83348</v>
      </c>
    </row>
    <row r="1593" spans="1:31">
      <c r="A1593" s="6">
        <v>17</v>
      </c>
      <c r="B1593" s="6">
        <f t="shared" si="302"/>
        <v>23</v>
      </c>
      <c r="C1593" s="6" t="str">
        <f t="shared" si="294"/>
        <v>600188700BLEVER, WEB SENS, RETRACT ALL VERSIONS421599144956270000</v>
      </c>
      <c r="D1593" s="7" t="s">
        <v>409</v>
      </c>
      <c r="E1593" s="6" t="s">
        <v>60</v>
      </c>
      <c r="F1593" s="6"/>
      <c r="G1593" s="7" t="s">
        <v>20</v>
      </c>
      <c r="H1593" s="19"/>
      <c r="I1593" s="19"/>
      <c r="J1593" s="19"/>
      <c r="K1593" s="19"/>
      <c r="L1593" s="14">
        <v>4215991</v>
      </c>
      <c r="M1593" s="22">
        <v>44956</v>
      </c>
      <c r="N1593" s="19" t="s">
        <v>199</v>
      </c>
      <c r="O1593" s="19" t="s">
        <v>332</v>
      </c>
      <c r="P1593" s="15">
        <v>270000</v>
      </c>
      <c r="Q1593" s="15">
        <v>1513733.76</v>
      </c>
      <c r="R1593" s="15">
        <v>87082900</v>
      </c>
      <c r="S1593" s="15">
        <v>15</v>
      </c>
      <c r="T1593" s="19" t="s">
        <v>310</v>
      </c>
      <c r="U1593" s="19" t="s">
        <v>178</v>
      </c>
      <c r="V1593" s="16">
        <f t="shared" si="295"/>
        <v>227060.06399999998</v>
      </c>
      <c r="W1593" s="16">
        <f t="shared" si="296"/>
        <v>22706.006399999998</v>
      </c>
      <c r="X1593" s="16">
        <f t="shared" si="297"/>
        <v>249766.07039999997</v>
      </c>
      <c r="Y1593" s="16">
        <f t="shared" si="298"/>
        <v>0.92505951999999991</v>
      </c>
      <c r="Z1593" s="16">
        <f t="shared" si="299"/>
        <v>5.6064213333333335</v>
      </c>
      <c r="AA1593" s="17">
        <f t="shared" si="300"/>
        <v>270000</v>
      </c>
      <c r="AB1593" s="10">
        <v>2328</v>
      </c>
      <c r="AC1593" s="18">
        <f t="shared" si="304"/>
        <v>2153.5385625599997</v>
      </c>
      <c r="AD1593" s="12">
        <f t="shared" si="303"/>
        <v>86652</v>
      </c>
      <c r="AE1593" s="13">
        <f t="shared" si="301"/>
        <v>183348</v>
      </c>
    </row>
    <row r="1594" spans="1:31">
      <c r="A1594" s="6">
        <v>17</v>
      </c>
      <c r="B1594" s="6">
        <f t="shared" si="302"/>
        <v>24</v>
      </c>
      <c r="C1594" s="6" t="str">
        <f t="shared" si="294"/>
        <v>604213200ALOCKING BAR, BUCKLE, K12 K12A/AT, L=34.3, silver415111844909306000</v>
      </c>
      <c r="D1594" s="7" t="s">
        <v>409</v>
      </c>
      <c r="E1594" s="6" t="s">
        <v>75</v>
      </c>
      <c r="F1594" s="6"/>
      <c r="G1594" s="7" t="s">
        <v>35</v>
      </c>
      <c r="H1594" s="19"/>
      <c r="I1594" s="19"/>
      <c r="J1594" s="19"/>
      <c r="K1594" s="19"/>
      <c r="L1594" s="14">
        <v>4151118</v>
      </c>
      <c r="M1594" s="22">
        <v>44909</v>
      </c>
      <c r="N1594" s="19" t="s">
        <v>199</v>
      </c>
      <c r="O1594" s="19" t="s">
        <v>332</v>
      </c>
      <c r="P1594" s="15">
        <v>306000</v>
      </c>
      <c r="Q1594" s="15">
        <v>347494.89</v>
      </c>
      <c r="R1594" s="15">
        <v>87082900</v>
      </c>
      <c r="S1594" s="15">
        <v>15</v>
      </c>
      <c r="T1594" s="19" t="s">
        <v>319</v>
      </c>
      <c r="U1594" s="19" t="s">
        <v>178</v>
      </c>
      <c r="V1594" s="16">
        <f t="shared" si="295"/>
        <v>52124.233500000002</v>
      </c>
      <c r="W1594" s="16">
        <f t="shared" si="296"/>
        <v>5212.4233500000009</v>
      </c>
      <c r="X1594" s="16">
        <f t="shared" si="297"/>
        <v>57336.656849999999</v>
      </c>
      <c r="Y1594" s="16">
        <f t="shared" si="298"/>
        <v>0.1873746955882353</v>
      </c>
      <c r="Z1594" s="16">
        <f t="shared" si="299"/>
        <v>1.1356042156862745</v>
      </c>
      <c r="AA1594" s="17">
        <f t="shared" si="300"/>
        <v>306000</v>
      </c>
      <c r="AB1594" s="10">
        <v>3936</v>
      </c>
      <c r="AC1594" s="18">
        <f t="shared" si="304"/>
        <v>737.50680183529414</v>
      </c>
      <c r="AD1594" s="12">
        <f t="shared" si="303"/>
        <v>94048</v>
      </c>
      <c r="AE1594" s="13">
        <f t="shared" si="301"/>
        <v>211952</v>
      </c>
    </row>
    <row r="1595" spans="1:31">
      <c r="A1595" s="6">
        <v>17</v>
      </c>
      <c r="B1595" s="6">
        <f t="shared" si="302"/>
        <v>25</v>
      </c>
      <c r="C1595" s="6" t="str">
        <f t="shared" si="294"/>
        <v>618472300CMASS, CAR SENS, RETRACTO ALL VERSIONS, CAR 2-PIN406183045012209560</v>
      </c>
      <c r="D1595" s="7" t="s">
        <v>409</v>
      </c>
      <c r="E1595" s="6" t="s">
        <v>70</v>
      </c>
      <c r="F1595" s="6"/>
      <c r="G1595" s="7" t="s">
        <v>30</v>
      </c>
      <c r="H1595" s="19"/>
      <c r="I1595" s="19"/>
      <c r="J1595" s="19"/>
      <c r="K1595" s="19"/>
      <c r="L1595" s="14">
        <v>4061830</v>
      </c>
      <c r="M1595" s="22">
        <v>45012</v>
      </c>
      <c r="N1595" s="19" t="s">
        <v>196</v>
      </c>
      <c r="O1595" s="19" t="s">
        <v>333</v>
      </c>
      <c r="P1595" s="15">
        <v>209560</v>
      </c>
      <c r="Q1595" s="15">
        <v>786307.66</v>
      </c>
      <c r="R1595" s="15">
        <v>87082900</v>
      </c>
      <c r="S1595" s="15">
        <v>15</v>
      </c>
      <c r="T1595" s="19" t="s">
        <v>317</v>
      </c>
      <c r="U1595" s="19" t="s">
        <v>178</v>
      </c>
      <c r="V1595" s="16">
        <f t="shared" si="295"/>
        <v>117946.149</v>
      </c>
      <c r="W1595" s="16">
        <f t="shared" si="296"/>
        <v>11794.6149</v>
      </c>
      <c r="X1595" s="16">
        <f t="shared" si="297"/>
        <v>129740.76390000001</v>
      </c>
      <c r="Y1595" s="16">
        <f t="shared" si="298"/>
        <v>0.61911034500858941</v>
      </c>
      <c r="Z1595" s="16">
        <f t="shared" si="299"/>
        <v>3.7521839091429663</v>
      </c>
      <c r="AA1595" s="17">
        <f t="shared" si="300"/>
        <v>209560</v>
      </c>
      <c r="AB1595" s="10">
        <v>2328</v>
      </c>
      <c r="AC1595" s="18">
        <f t="shared" si="304"/>
        <v>1441.2888831799962</v>
      </c>
      <c r="AD1595" s="12">
        <f t="shared" si="303"/>
        <v>86652</v>
      </c>
      <c r="AE1595" s="13">
        <f t="shared" si="301"/>
        <v>122908</v>
      </c>
    </row>
    <row r="1596" spans="1:31">
      <c r="A1596" s="6">
        <v>17</v>
      </c>
      <c r="B1596" s="6">
        <f t="shared" si="302"/>
        <v>26</v>
      </c>
      <c r="C1596" s="6" t="str">
        <f t="shared" si="294"/>
        <v>661147800BMetal Emblem, HMC,64468564559712960</v>
      </c>
      <c r="D1596" s="7" t="s">
        <v>409</v>
      </c>
      <c r="E1596" s="6" t="s">
        <v>479</v>
      </c>
      <c r="F1596" s="6"/>
      <c r="G1596" s="7" t="s">
        <v>395</v>
      </c>
      <c r="H1596" s="19"/>
      <c r="I1596" s="19"/>
      <c r="J1596" s="19"/>
      <c r="K1596" s="19"/>
      <c r="L1596" s="14">
        <v>6446856</v>
      </c>
      <c r="M1596" s="22">
        <v>45597</v>
      </c>
      <c r="N1596" s="19" t="s">
        <v>196</v>
      </c>
      <c r="O1596" s="19" t="s">
        <v>333</v>
      </c>
      <c r="P1596" s="15">
        <v>12960</v>
      </c>
      <c r="Q1596" s="15">
        <v>4105628.64</v>
      </c>
      <c r="R1596" s="15">
        <v>87089500</v>
      </c>
      <c r="S1596" s="15">
        <v>15</v>
      </c>
      <c r="T1596" s="19" t="s">
        <v>398</v>
      </c>
      <c r="U1596" s="19" t="s">
        <v>178</v>
      </c>
      <c r="V1596" s="16">
        <f t="shared" si="295"/>
        <v>615844.29599999997</v>
      </c>
      <c r="W1596" s="16">
        <f t="shared" si="296"/>
        <v>61584.429600000003</v>
      </c>
      <c r="X1596" s="16">
        <f t="shared" si="297"/>
        <v>677428.72560000001</v>
      </c>
      <c r="Y1596" s="16">
        <f t="shared" si="298"/>
        <v>52.270735000000002</v>
      </c>
      <c r="Z1596" s="16">
        <f t="shared" si="299"/>
        <v>316.79233333333332</v>
      </c>
      <c r="AA1596" s="17">
        <f t="shared" si="300"/>
        <v>12960</v>
      </c>
      <c r="AB1596" s="10">
        <v>1090</v>
      </c>
      <c r="AC1596" s="18">
        <f t="shared" si="304"/>
        <v>56975.101150000002</v>
      </c>
      <c r="AD1596" s="12">
        <f t="shared" si="303"/>
        <v>10453</v>
      </c>
      <c r="AE1596" s="13">
        <f t="shared" si="301"/>
        <v>2507</v>
      </c>
    </row>
    <row r="1597" spans="1:31">
      <c r="A1597" s="6">
        <v>17</v>
      </c>
      <c r="B1597" s="6">
        <f t="shared" si="302"/>
        <v>27</v>
      </c>
      <c r="C1597" s="6" t="str">
        <f t="shared" si="294"/>
        <v>621343500CNUT, ISO, M5, NYLON INSE NYLON INSERT2175457453381105000</v>
      </c>
      <c r="D1597" s="7" t="s">
        <v>409</v>
      </c>
      <c r="E1597" s="6" t="s">
        <v>45</v>
      </c>
      <c r="F1597" s="6"/>
      <c r="G1597" s="7" t="s">
        <v>7</v>
      </c>
      <c r="H1597" s="19"/>
      <c r="I1597" s="19"/>
      <c r="J1597" s="19"/>
      <c r="K1597" s="19"/>
      <c r="L1597" s="14">
        <v>2175457</v>
      </c>
      <c r="M1597" s="22">
        <v>45338</v>
      </c>
      <c r="N1597" s="19" t="s">
        <v>182</v>
      </c>
      <c r="O1597" s="19" t="s">
        <v>333</v>
      </c>
      <c r="P1597" s="15">
        <v>1105000</v>
      </c>
      <c r="Q1597" s="15">
        <v>1881273.11</v>
      </c>
      <c r="R1597" s="15">
        <v>87089500</v>
      </c>
      <c r="S1597" s="15">
        <v>15</v>
      </c>
      <c r="T1597" s="19" t="s">
        <v>404</v>
      </c>
      <c r="U1597" s="19" t="s">
        <v>178</v>
      </c>
      <c r="V1597" s="16">
        <f t="shared" si="295"/>
        <v>282190.96649999998</v>
      </c>
      <c r="W1597" s="16">
        <f t="shared" si="296"/>
        <v>28219.096649999999</v>
      </c>
      <c r="X1597" s="16">
        <f t="shared" si="297"/>
        <v>310410.06315</v>
      </c>
      <c r="Y1597" s="16">
        <f t="shared" si="298"/>
        <v>0.28091408429864251</v>
      </c>
      <c r="Z1597" s="16">
        <f t="shared" si="299"/>
        <v>1.7025096018099548</v>
      </c>
      <c r="AA1597" s="17">
        <f t="shared" si="300"/>
        <v>1105000</v>
      </c>
      <c r="AB1597" s="10">
        <v>9544</v>
      </c>
      <c r="AC1597" s="18">
        <f t="shared" si="304"/>
        <v>2681.0440205462442</v>
      </c>
      <c r="AD1597" s="12">
        <f t="shared" si="303"/>
        <v>375112</v>
      </c>
      <c r="AE1597" s="13">
        <f t="shared" si="301"/>
        <v>729888</v>
      </c>
    </row>
    <row r="1598" spans="1:31">
      <c r="A1598" s="6">
        <v>17</v>
      </c>
      <c r="B1598" s="6">
        <f t="shared" si="302"/>
        <v>28</v>
      </c>
      <c r="C1598" s="6" t="str">
        <f t="shared" si="294"/>
        <v>616531900ARING, CRIMP, CLAMP, BAND95511574529740000</v>
      </c>
      <c r="D1598" s="7" t="s">
        <v>409</v>
      </c>
      <c r="E1598" s="6" t="s">
        <v>52</v>
      </c>
      <c r="F1598" s="6"/>
      <c r="G1598" s="7" t="s">
        <v>410</v>
      </c>
      <c r="H1598" s="19"/>
      <c r="I1598" s="19"/>
      <c r="J1598" s="19"/>
      <c r="K1598" s="19"/>
      <c r="L1598" s="14">
        <v>9551157</v>
      </c>
      <c r="M1598" s="22">
        <v>45297</v>
      </c>
      <c r="N1598" s="19" t="s">
        <v>196</v>
      </c>
      <c r="O1598" s="19" t="s">
        <v>333</v>
      </c>
      <c r="P1598" s="15">
        <v>40000</v>
      </c>
      <c r="Q1598" s="15">
        <v>781226.49</v>
      </c>
      <c r="R1598" s="15">
        <v>87089500</v>
      </c>
      <c r="S1598" s="15">
        <v>15</v>
      </c>
      <c r="T1598" s="19" t="s">
        <v>364</v>
      </c>
      <c r="U1598" s="19" t="s">
        <v>178</v>
      </c>
      <c r="V1598" s="16">
        <f t="shared" si="295"/>
        <v>117183.97349999999</v>
      </c>
      <c r="W1598" s="16">
        <f t="shared" si="296"/>
        <v>11718.397349999999</v>
      </c>
      <c r="X1598" s="16">
        <f t="shared" si="297"/>
        <v>128902.37084999999</v>
      </c>
      <c r="Y1598" s="16">
        <f t="shared" si="298"/>
        <v>3.2225592712499997</v>
      </c>
      <c r="Z1598" s="16">
        <f t="shared" si="299"/>
        <v>19.530662249999999</v>
      </c>
      <c r="AA1598" s="17">
        <f t="shared" si="300"/>
        <v>40000</v>
      </c>
      <c r="AB1598" s="10">
        <v>2304</v>
      </c>
      <c r="AC1598" s="18">
        <f t="shared" si="304"/>
        <v>7424.7765609599992</v>
      </c>
      <c r="AD1598" s="12">
        <f t="shared" si="303"/>
        <v>38592</v>
      </c>
      <c r="AE1598" s="13">
        <f t="shared" si="301"/>
        <v>1408</v>
      </c>
    </row>
    <row r="1599" spans="1:31">
      <c r="A1599" s="6">
        <v>17</v>
      </c>
      <c r="B1599" s="6">
        <f t="shared" si="302"/>
        <v>29</v>
      </c>
      <c r="C1599" s="6" t="str">
        <f t="shared" si="294"/>
        <v>NPB10271-ZKSCREW, SELF-TAPPING, MET OTHER, HEXALOBULAR INTER406701444998150000</v>
      </c>
      <c r="D1599" s="7" t="s">
        <v>409</v>
      </c>
      <c r="E1599" s="6" t="s">
        <v>76</v>
      </c>
      <c r="F1599" s="6"/>
      <c r="G1599" s="7" t="s">
        <v>36</v>
      </c>
      <c r="H1599" s="19"/>
      <c r="I1599" s="19"/>
      <c r="J1599" s="19"/>
      <c r="K1599" s="19"/>
      <c r="L1599" s="14">
        <v>4067014</v>
      </c>
      <c r="M1599" s="22">
        <v>44998</v>
      </c>
      <c r="N1599" s="19" t="s">
        <v>196</v>
      </c>
      <c r="O1599" s="19" t="s">
        <v>333</v>
      </c>
      <c r="P1599" s="15">
        <v>150000</v>
      </c>
      <c r="Q1599" s="15">
        <v>146157.25</v>
      </c>
      <c r="R1599" s="15">
        <v>87082900</v>
      </c>
      <c r="S1599" s="15">
        <v>15</v>
      </c>
      <c r="T1599" s="19" t="s">
        <v>321</v>
      </c>
      <c r="U1599" s="19" t="s">
        <v>178</v>
      </c>
      <c r="V1599" s="16">
        <f t="shared" si="295"/>
        <v>21923.587499999998</v>
      </c>
      <c r="W1599" s="16">
        <f t="shared" si="296"/>
        <v>2192.3587499999999</v>
      </c>
      <c r="X1599" s="16">
        <f t="shared" si="297"/>
        <v>24115.946249999997</v>
      </c>
      <c r="Y1599" s="16">
        <f t="shared" si="298"/>
        <v>0.16077297499999998</v>
      </c>
      <c r="Z1599" s="16">
        <f t="shared" si="299"/>
        <v>0.9743816666666667</v>
      </c>
      <c r="AA1599" s="17">
        <f t="shared" si="300"/>
        <v>150000</v>
      </c>
      <c r="AB1599" s="10">
        <v>7872</v>
      </c>
      <c r="AC1599" s="18">
        <f t="shared" si="304"/>
        <v>1265.6048592</v>
      </c>
      <c r="AD1599" s="12">
        <f t="shared" si="303"/>
        <v>149952</v>
      </c>
      <c r="AE1599" s="13">
        <f t="shared" si="301"/>
        <v>48</v>
      </c>
    </row>
    <row r="1600" spans="1:31">
      <c r="A1600" s="6">
        <v>17</v>
      </c>
      <c r="B1600" s="6">
        <f t="shared" si="302"/>
        <v>30</v>
      </c>
      <c r="C1600" s="6" t="str">
        <f t="shared" si="294"/>
        <v>PC47516-3810SNAP-IN-FASTENER, PUSH P PUSH PIN, BLACK98316324531614000</v>
      </c>
      <c r="D1600" s="7" t="s">
        <v>409</v>
      </c>
      <c r="E1600" s="6" t="s">
        <v>54</v>
      </c>
      <c r="F1600" s="6"/>
      <c r="G1600" s="7" t="s">
        <v>14</v>
      </c>
      <c r="H1600" s="19"/>
      <c r="I1600" s="19"/>
      <c r="J1600" s="19"/>
      <c r="K1600" s="19"/>
      <c r="L1600" s="14">
        <v>9831632</v>
      </c>
      <c r="M1600" s="22">
        <v>45316</v>
      </c>
      <c r="N1600" s="19" t="s">
        <v>196</v>
      </c>
      <c r="O1600" s="19" t="s">
        <v>333</v>
      </c>
      <c r="P1600" s="15">
        <v>14000</v>
      </c>
      <c r="Q1600" s="15">
        <v>16391.05</v>
      </c>
      <c r="R1600" s="15">
        <v>87089500</v>
      </c>
      <c r="S1600" s="15">
        <v>15</v>
      </c>
      <c r="T1600" s="19" t="s">
        <v>306</v>
      </c>
      <c r="U1600" s="19" t="s">
        <v>178</v>
      </c>
      <c r="V1600" s="16">
        <f t="shared" si="295"/>
        <v>2458.6574999999998</v>
      </c>
      <c r="W1600" s="16">
        <f t="shared" si="296"/>
        <v>245.86574999999999</v>
      </c>
      <c r="X1600" s="16">
        <f t="shared" si="297"/>
        <v>2704.5232499999997</v>
      </c>
      <c r="Y1600" s="16">
        <f t="shared" si="298"/>
        <v>0.19318023214285712</v>
      </c>
      <c r="Z1600" s="16">
        <f t="shared" si="299"/>
        <v>1.1707892857142856</v>
      </c>
      <c r="AA1600" s="17">
        <f t="shared" si="300"/>
        <v>14000</v>
      </c>
      <c r="AB1600" s="10">
        <v>960</v>
      </c>
      <c r="AC1600" s="18">
        <f t="shared" si="304"/>
        <v>185.45302285714283</v>
      </c>
      <c r="AD1600" s="12">
        <f t="shared" si="303"/>
        <v>12672</v>
      </c>
      <c r="AE1600" s="13">
        <f t="shared" si="301"/>
        <v>1328</v>
      </c>
    </row>
    <row r="1601" spans="1:31">
      <c r="A1601" s="6">
        <v>17</v>
      </c>
      <c r="B1601" s="6">
        <f t="shared" si="302"/>
        <v>31</v>
      </c>
      <c r="C1601" s="6" t="str">
        <f t="shared" si="294"/>
        <v>601182600ASPINDLE, RETRACTOR, R27, STD98117254531517920</v>
      </c>
      <c r="D1601" s="7" t="s">
        <v>409</v>
      </c>
      <c r="E1601" s="6" t="s">
        <v>61</v>
      </c>
      <c r="F1601" s="6"/>
      <c r="G1601" s="7" t="s">
        <v>21</v>
      </c>
      <c r="H1601" s="19"/>
      <c r="I1601" s="19"/>
      <c r="J1601" s="19"/>
      <c r="K1601" s="19"/>
      <c r="L1601" s="14">
        <v>9811725</v>
      </c>
      <c r="M1601" s="22">
        <v>45315</v>
      </c>
      <c r="N1601" s="19" t="s">
        <v>185</v>
      </c>
      <c r="O1601" s="19" t="s">
        <v>332</v>
      </c>
      <c r="P1601" s="15">
        <v>17920</v>
      </c>
      <c r="Q1601" s="15">
        <v>781622.05</v>
      </c>
      <c r="R1601" s="15">
        <v>87082900</v>
      </c>
      <c r="S1601" s="15">
        <v>15</v>
      </c>
      <c r="T1601" s="19" t="s">
        <v>371</v>
      </c>
      <c r="U1601" s="19" t="s">
        <v>178</v>
      </c>
      <c r="V1601" s="16">
        <f t="shared" si="295"/>
        <v>117243.30750000001</v>
      </c>
      <c r="W1601" s="16">
        <f t="shared" si="296"/>
        <v>11724.330750000001</v>
      </c>
      <c r="X1601" s="16">
        <f t="shared" si="297"/>
        <v>128967.63825000002</v>
      </c>
      <c r="Y1601" s="16">
        <f t="shared" si="298"/>
        <v>7.196854813058037</v>
      </c>
      <c r="Z1601" s="16">
        <f t="shared" si="299"/>
        <v>43.617301897321433</v>
      </c>
      <c r="AA1601" s="17">
        <f t="shared" si="300"/>
        <v>17920</v>
      </c>
      <c r="AB1601" s="10">
        <v>2328</v>
      </c>
      <c r="AC1601" s="18">
        <f t="shared" si="304"/>
        <v>16754.278004799111</v>
      </c>
      <c r="AD1601" s="12">
        <f t="shared" si="303"/>
        <v>17676</v>
      </c>
      <c r="AE1601" s="13">
        <f t="shared" si="301"/>
        <v>244</v>
      </c>
    </row>
    <row r="1602" spans="1:31">
      <c r="A1602" s="6">
        <v>17</v>
      </c>
      <c r="B1602" s="6">
        <f t="shared" si="302"/>
        <v>32</v>
      </c>
      <c r="C1602" s="6" t="str">
        <f t="shared" ref="C1602:C1665" si="305">E1602&amp;G1602&amp;L1602&amp;M1602&amp;P1602</f>
        <v>566305721BSPRING, SHEET, LEAF, RET ALL VERSIONS, WS ECE4742807449445000</v>
      </c>
      <c r="D1602" s="7" t="s">
        <v>409</v>
      </c>
      <c r="E1602" s="6" t="s">
        <v>59</v>
      </c>
      <c r="F1602" s="6"/>
      <c r="G1602" s="7" t="s">
        <v>19</v>
      </c>
      <c r="H1602" s="19"/>
      <c r="I1602" s="19"/>
      <c r="J1602" s="19"/>
      <c r="K1602" s="19"/>
      <c r="L1602" s="14">
        <v>4742807</v>
      </c>
      <c r="M1602" s="22">
        <v>44944</v>
      </c>
      <c r="N1602" s="19" t="s">
        <v>196</v>
      </c>
      <c r="O1602" s="19" t="s">
        <v>337</v>
      </c>
      <c r="P1602" s="15">
        <v>5000</v>
      </c>
      <c r="Q1602" s="15">
        <v>143362.42000000001</v>
      </c>
      <c r="R1602" s="15">
        <v>87082900</v>
      </c>
      <c r="S1602" s="15">
        <v>15</v>
      </c>
      <c r="T1602" s="19" t="s">
        <v>309</v>
      </c>
      <c r="U1602" s="19" t="s">
        <v>178</v>
      </c>
      <c r="V1602" s="16">
        <f t="shared" si="295"/>
        <v>21504.363000000001</v>
      </c>
      <c r="W1602" s="16">
        <f t="shared" si="296"/>
        <v>2150.4363000000003</v>
      </c>
      <c r="X1602" s="16">
        <f t="shared" si="297"/>
        <v>23654.799300000002</v>
      </c>
      <c r="Y1602" s="16">
        <f t="shared" si="298"/>
        <v>4.7309598600000005</v>
      </c>
      <c r="Z1602" s="16">
        <f t="shared" si="299"/>
        <v>28.672484000000004</v>
      </c>
      <c r="AA1602" s="17">
        <f t="shared" si="300"/>
        <v>5000</v>
      </c>
      <c r="AB1602" s="10">
        <v>43.067999999999998</v>
      </c>
      <c r="AC1602" s="18">
        <f t="shared" si="304"/>
        <v>203.75297925048</v>
      </c>
      <c r="AD1602" s="12">
        <f t="shared" si="303"/>
        <v>1540.98</v>
      </c>
      <c r="AE1602" s="13">
        <v>0</v>
      </c>
    </row>
    <row r="1603" spans="1:31">
      <c r="A1603" s="6">
        <v>17</v>
      </c>
      <c r="B1603" s="6">
        <f t="shared" si="302"/>
        <v>33</v>
      </c>
      <c r="C1603" s="6" t="str">
        <f t="shared" si="305"/>
        <v>605151600ASPRING, SHEET, LEAF, RET ALL VERSIONS, WS US407852744933100000</v>
      </c>
      <c r="D1603" s="7" t="s">
        <v>409</v>
      </c>
      <c r="E1603" s="6" t="s">
        <v>65</v>
      </c>
      <c r="F1603" s="6"/>
      <c r="G1603" s="7" t="s">
        <v>25</v>
      </c>
      <c r="H1603" s="19"/>
      <c r="I1603" s="19"/>
      <c r="J1603" s="19"/>
      <c r="K1603" s="19"/>
      <c r="L1603" s="14">
        <v>4078527</v>
      </c>
      <c r="M1603" s="22">
        <v>44933</v>
      </c>
      <c r="N1603" s="19" t="s">
        <v>196</v>
      </c>
      <c r="O1603" s="19" t="s">
        <v>333</v>
      </c>
      <c r="P1603" s="15">
        <v>100000</v>
      </c>
      <c r="Q1603" s="15">
        <v>147318.03</v>
      </c>
      <c r="R1603" s="15">
        <v>87082900</v>
      </c>
      <c r="S1603" s="15">
        <v>15</v>
      </c>
      <c r="T1603" s="19" t="s">
        <v>314</v>
      </c>
      <c r="U1603" s="19" t="s">
        <v>178</v>
      </c>
      <c r="V1603" s="16">
        <f t="shared" si="295"/>
        <v>22097.7045</v>
      </c>
      <c r="W1603" s="16">
        <f t="shared" si="296"/>
        <v>2209.77045</v>
      </c>
      <c r="X1603" s="16">
        <f t="shared" si="297"/>
        <v>24307.47495</v>
      </c>
      <c r="Y1603" s="16">
        <f t="shared" si="298"/>
        <v>0.24307474949999999</v>
      </c>
      <c r="Z1603" s="16">
        <f t="shared" si="299"/>
        <v>1.4731802999999999</v>
      </c>
      <c r="AA1603" s="17">
        <f t="shared" si="300"/>
        <v>100000</v>
      </c>
      <c r="AB1603" s="10">
        <v>2328</v>
      </c>
      <c r="AC1603" s="18">
        <f t="shared" si="304"/>
        <v>565.87801683600003</v>
      </c>
      <c r="AD1603" s="12">
        <f t="shared" si="303"/>
        <v>86652</v>
      </c>
      <c r="AE1603" s="13">
        <f t="shared" si="301"/>
        <v>13348</v>
      </c>
    </row>
    <row r="1604" spans="1:31">
      <c r="A1604" s="6">
        <v>17</v>
      </c>
      <c r="B1604" s="6">
        <f t="shared" si="302"/>
        <v>34</v>
      </c>
      <c r="C1604" s="6" t="str">
        <f t="shared" si="305"/>
        <v>560130122ASPRING, WIRE, COMPRESSIO K12A/AT495151045028300000</v>
      </c>
      <c r="D1604" s="7" t="s">
        <v>409</v>
      </c>
      <c r="E1604" s="6" t="s">
        <v>73</v>
      </c>
      <c r="F1604" s="6"/>
      <c r="G1604" s="7" t="s">
        <v>33</v>
      </c>
      <c r="H1604" s="19"/>
      <c r="I1604" s="19"/>
      <c r="J1604" s="19"/>
      <c r="K1604" s="19"/>
      <c r="L1604" s="14">
        <v>4951510</v>
      </c>
      <c r="M1604" s="22">
        <v>45028</v>
      </c>
      <c r="N1604" s="19" t="s">
        <v>199</v>
      </c>
      <c r="O1604" s="19" t="s">
        <v>332</v>
      </c>
      <c r="P1604" s="15">
        <v>300000</v>
      </c>
      <c r="Q1604" s="15">
        <v>285155.93</v>
      </c>
      <c r="R1604" s="15">
        <v>87082900</v>
      </c>
      <c r="S1604" s="15">
        <v>15</v>
      </c>
      <c r="T1604" s="19" t="s">
        <v>319</v>
      </c>
      <c r="U1604" s="19" t="s">
        <v>178</v>
      </c>
      <c r="V1604" s="16">
        <f t="shared" ref="V1604:V1613" si="306">Q1604*S1604%</f>
        <v>42773.389499999997</v>
      </c>
      <c r="W1604" s="16">
        <f t="shared" ref="W1604:W1613" si="307">V1604*0.1</f>
        <v>4277.3389500000003</v>
      </c>
      <c r="X1604" s="16">
        <f t="shared" ref="X1604:X1613" si="308">V1604+W1604</f>
        <v>47050.728449999995</v>
      </c>
      <c r="Y1604" s="16">
        <f t="shared" ref="Y1604:Y1613" si="309">X1604/P1604</f>
        <v>0.15683576149999998</v>
      </c>
      <c r="Z1604" s="16">
        <f t="shared" ref="Z1604:Z1613" si="310">Q1604/P1604</f>
        <v>0.9505197666666666</v>
      </c>
      <c r="AA1604" s="17">
        <f t="shared" ref="AA1604:AA1613" si="311">P1604</f>
        <v>300000</v>
      </c>
      <c r="AB1604" s="10">
        <v>3936</v>
      </c>
      <c r="AC1604" s="18">
        <f t="shared" si="304"/>
        <v>617.30555726399996</v>
      </c>
      <c r="AD1604" s="12">
        <f t="shared" si="303"/>
        <v>94048</v>
      </c>
      <c r="AE1604" s="13">
        <f t="shared" ref="AE1604:AE1613" si="312">AA1604-AD1604</f>
        <v>205952</v>
      </c>
    </row>
    <row r="1605" spans="1:31">
      <c r="A1605" s="6">
        <v>17</v>
      </c>
      <c r="B1605" s="6">
        <f t="shared" si="302"/>
        <v>35</v>
      </c>
      <c r="C1605" s="6" t="str">
        <f t="shared" si="305"/>
        <v>605555507ESTEERING DISC NATURE WHITE717838944902100800</v>
      </c>
      <c r="D1605" s="7" t="s">
        <v>409</v>
      </c>
      <c r="E1605" s="6" t="s">
        <v>66</v>
      </c>
      <c r="F1605" s="6"/>
      <c r="G1605" s="7" t="s">
        <v>26</v>
      </c>
      <c r="H1605" s="19"/>
      <c r="I1605" s="19"/>
      <c r="J1605" s="19"/>
      <c r="K1605" s="19"/>
      <c r="L1605" s="14">
        <v>7178389</v>
      </c>
      <c r="M1605" s="22">
        <v>44902</v>
      </c>
      <c r="N1605" s="19" t="s">
        <v>185</v>
      </c>
      <c r="O1605" s="19" t="s">
        <v>332</v>
      </c>
      <c r="P1605" s="15">
        <v>100800</v>
      </c>
      <c r="Q1605" s="15">
        <v>397158.13</v>
      </c>
      <c r="R1605" s="15">
        <v>87082900</v>
      </c>
      <c r="S1605" s="15">
        <v>15</v>
      </c>
      <c r="T1605" s="19" t="s">
        <v>315</v>
      </c>
      <c r="U1605" s="19" t="s">
        <v>178</v>
      </c>
      <c r="V1605" s="16">
        <f t="shared" si="306"/>
        <v>59573.719499999999</v>
      </c>
      <c r="W1605" s="16">
        <f t="shared" si="307"/>
        <v>5957.3719500000007</v>
      </c>
      <c r="X1605" s="16">
        <f t="shared" si="308"/>
        <v>65531.09145</v>
      </c>
      <c r="Y1605" s="16">
        <f t="shared" si="309"/>
        <v>0.65011003422619051</v>
      </c>
      <c r="Z1605" s="16">
        <f t="shared" si="310"/>
        <v>3.9400608134920634</v>
      </c>
      <c r="AA1605" s="17">
        <f t="shared" si="311"/>
        <v>100800</v>
      </c>
      <c r="AB1605" s="10">
        <v>2328</v>
      </c>
      <c r="AC1605" s="18">
        <f t="shared" si="304"/>
        <v>1513.4561596785716</v>
      </c>
      <c r="AD1605" s="12">
        <f t="shared" si="303"/>
        <v>80292</v>
      </c>
      <c r="AE1605" s="13">
        <f t="shared" si="312"/>
        <v>20508</v>
      </c>
    </row>
    <row r="1606" spans="1:31">
      <c r="A1606" s="6">
        <v>17</v>
      </c>
      <c r="B1606" s="6">
        <f t="shared" si="302"/>
        <v>36</v>
      </c>
      <c r="C1606" s="6" t="str">
        <f t="shared" si="305"/>
        <v>609183701ASTUD, M6 X 1.0, 16.036956764543984000</v>
      </c>
      <c r="D1606" s="7" t="s">
        <v>409</v>
      </c>
      <c r="E1606" s="6" t="s">
        <v>51</v>
      </c>
      <c r="F1606" s="6"/>
      <c r="G1606" s="7" t="s">
        <v>411</v>
      </c>
      <c r="H1606" s="19"/>
      <c r="I1606" s="19"/>
      <c r="J1606" s="19"/>
      <c r="K1606" s="19"/>
      <c r="L1606" s="14">
        <v>3695676</v>
      </c>
      <c r="M1606" s="22">
        <v>45439</v>
      </c>
      <c r="N1606" s="19" t="s">
        <v>185</v>
      </c>
      <c r="O1606" s="19" t="s">
        <v>332</v>
      </c>
      <c r="P1606" s="15">
        <v>84000</v>
      </c>
      <c r="Q1606" s="15">
        <v>238012.39</v>
      </c>
      <c r="R1606" s="15">
        <v>87089500</v>
      </c>
      <c r="S1606" s="15">
        <v>15</v>
      </c>
      <c r="T1606" s="19" t="s">
        <v>304</v>
      </c>
      <c r="U1606" s="19" t="s">
        <v>178</v>
      </c>
      <c r="V1606" s="16">
        <f t="shared" si="306"/>
        <v>35701.858500000002</v>
      </c>
      <c r="W1606" s="16">
        <f t="shared" si="307"/>
        <v>3570.1858500000003</v>
      </c>
      <c r="X1606" s="16">
        <f t="shared" si="308"/>
        <v>39272.044350000004</v>
      </c>
      <c r="Y1606" s="16">
        <f t="shared" si="309"/>
        <v>0.46752433750000005</v>
      </c>
      <c r="Z1606" s="16">
        <f t="shared" si="310"/>
        <v>2.8334808333333337</v>
      </c>
      <c r="AA1606" s="17">
        <f t="shared" si="311"/>
        <v>84000</v>
      </c>
      <c r="AB1606" s="10">
        <v>2688</v>
      </c>
      <c r="AC1606" s="18">
        <f t="shared" si="304"/>
        <v>1256.7054192000001</v>
      </c>
      <c r="AD1606" s="12">
        <f t="shared" si="303"/>
        <v>82196</v>
      </c>
      <c r="AE1606" s="13">
        <f t="shared" si="312"/>
        <v>1804</v>
      </c>
    </row>
    <row r="1607" spans="1:31">
      <c r="A1607" s="6">
        <v>17</v>
      </c>
      <c r="B1607" s="6">
        <f t="shared" si="302"/>
        <v>37</v>
      </c>
      <c r="C1607" s="6" t="str">
        <f t="shared" si="305"/>
        <v>654590700ASU2ID CUSHION COMPONENTS CVR NON-WOVEN LH STD3895632454514500</v>
      </c>
      <c r="D1607" s="7" t="s">
        <v>409</v>
      </c>
      <c r="E1607" s="6" t="s">
        <v>477</v>
      </c>
      <c r="F1607" s="6"/>
      <c r="G1607" s="7" t="s">
        <v>330</v>
      </c>
      <c r="H1607" s="19"/>
      <c r="I1607" s="19"/>
      <c r="J1607" s="19"/>
      <c r="K1607" s="19"/>
      <c r="L1607" s="14">
        <v>3895632</v>
      </c>
      <c r="M1607" s="22">
        <v>45451</v>
      </c>
      <c r="N1607" s="19" t="s">
        <v>185</v>
      </c>
      <c r="O1607" s="19" t="s">
        <v>333</v>
      </c>
      <c r="P1607" s="15">
        <v>4500</v>
      </c>
      <c r="Q1607" s="15">
        <v>54824.13</v>
      </c>
      <c r="R1607" s="15">
        <v>87089500</v>
      </c>
      <c r="S1607" s="15">
        <v>5</v>
      </c>
      <c r="T1607" s="19" t="s">
        <v>346</v>
      </c>
      <c r="U1607" s="19" t="s">
        <v>178</v>
      </c>
      <c r="V1607" s="16">
        <f t="shared" si="306"/>
        <v>2741.2065000000002</v>
      </c>
      <c r="W1607" s="16">
        <f t="shared" si="307"/>
        <v>274.12065000000001</v>
      </c>
      <c r="X1607" s="16">
        <f t="shared" si="308"/>
        <v>3015.3271500000001</v>
      </c>
      <c r="Y1607" s="16">
        <f t="shared" si="309"/>
        <v>0.67007269999999997</v>
      </c>
      <c r="Z1607" s="16">
        <f t="shared" si="310"/>
        <v>12.18314</v>
      </c>
      <c r="AA1607" s="17">
        <f t="shared" si="311"/>
        <v>4500</v>
      </c>
      <c r="AB1607" s="10">
        <v>288</v>
      </c>
      <c r="AC1607" s="18">
        <f t="shared" si="304"/>
        <v>192.9809376</v>
      </c>
      <c r="AD1607" s="12">
        <f t="shared" si="303"/>
        <v>4472</v>
      </c>
      <c r="AE1607" s="13">
        <f t="shared" si="312"/>
        <v>28</v>
      </c>
    </row>
    <row r="1608" spans="1:31">
      <c r="A1608" s="6">
        <v>17</v>
      </c>
      <c r="B1608" s="6">
        <f t="shared" si="302"/>
        <v>38</v>
      </c>
      <c r="C1608" s="6" t="str">
        <f t="shared" si="305"/>
        <v>603171100BTAPE, ADHESIVE, TERAOKA TERAOKA NO.560S 283492694503640000</v>
      </c>
      <c r="D1608" s="7" t="s">
        <v>409</v>
      </c>
      <c r="E1608" s="6" t="s">
        <v>50</v>
      </c>
      <c r="F1608" s="6"/>
      <c r="G1608" s="7" t="s">
        <v>12</v>
      </c>
      <c r="H1608" s="19"/>
      <c r="I1608" s="19"/>
      <c r="J1608" s="19"/>
      <c r="K1608" s="19"/>
      <c r="L1608" s="14">
        <v>8349269</v>
      </c>
      <c r="M1608" s="22">
        <v>45036</v>
      </c>
      <c r="N1608" s="19" t="s">
        <v>180</v>
      </c>
      <c r="O1608" s="19" t="s">
        <v>333</v>
      </c>
      <c r="P1608" s="15">
        <v>40000</v>
      </c>
      <c r="Q1608" s="15">
        <v>180520.2</v>
      </c>
      <c r="R1608" s="15">
        <v>39199090</v>
      </c>
      <c r="S1608" s="15">
        <v>15</v>
      </c>
      <c r="T1608" s="19" t="s">
        <v>342</v>
      </c>
      <c r="U1608" s="19" t="s">
        <v>178</v>
      </c>
      <c r="V1608" s="16">
        <f t="shared" si="306"/>
        <v>27078.030000000002</v>
      </c>
      <c r="W1608" s="16">
        <f t="shared" si="307"/>
        <v>2707.8030000000003</v>
      </c>
      <c r="X1608" s="16">
        <f t="shared" si="308"/>
        <v>29785.833000000002</v>
      </c>
      <c r="Y1608" s="16">
        <f t="shared" si="309"/>
        <v>0.74464582500000009</v>
      </c>
      <c r="Z1608" s="16">
        <f t="shared" si="310"/>
        <v>4.5130050000000006</v>
      </c>
      <c r="AA1608" s="17">
        <f t="shared" si="311"/>
        <v>40000</v>
      </c>
      <c r="AB1608" s="10">
        <v>288</v>
      </c>
      <c r="AC1608" s="18">
        <f t="shared" si="304"/>
        <v>214.45799760000003</v>
      </c>
      <c r="AD1608" s="12">
        <f t="shared" si="303"/>
        <v>12498</v>
      </c>
      <c r="AE1608" s="13">
        <f t="shared" si="312"/>
        <v>27502</v>
      </c>
    </row>
    <row r="1609" spans="1:31">
      <c r="A1609" s="6">
        <v>17</v>
      </c>
      <c r="B1609" s="6">
        <f t="shared" si="302"/>
        <v>39</v>
      </c>
      <c r="C1609" s="6" t="str">
        <f t="shared" si="305"/>
        <v>NWB2834WASHER, WAVED 69498204512640000</v>
      </c>
      <c r="D1609" s="7" t="s">
        <v>409</v>
      </c>
      <c r="E1609" s="6" t="s">
        <v>77</v>
      </c>
      <c r="F1609" s="6"/>
      <c r="G1609" s="7" t="s">
        <v>37</v>
      </c>
      <c r="H1609" s="19"/>
      <c r="I1609" s="19"/>
      <c r="J1609" s="19"/>
      <c r="K1609" s="19"/>
      <c r="L1609" s="14">
        <v>6949820</v>
      </c>
      <c r="M1609" s="22">
        <v>45126</v>
      </c>
      <c r="N1609" s="19" t="s">
        <v>196</v>
      </c>
      <c r="O1609" s="19" t="s">
        <v>333</v>
      </c>
      <c r="P1609" s="15">
        <v>40000</v>
      </c>
      <c r="Q1609" s="15">
        <v>70563.69</v>
      </c>
      <c r="R1609" s="15">
        <v>87082900</v>
      </c>
      <c r="S1609" s="15">
        <v>15</v>
      </c>
      <c r="T1609" s="19" t="s">
        <v>207</v>
      </c>
      <c r="U1609" s="19" t="s">
        <v>178</v>
      </c>
      <c r="V1609" s="16">
        <f t="shared" si="306"/>
        <v>10584.5535</v>
      </c>
      <c r="W1609" s="16">
        <f t="shared" si="307"/>
        <v>1058.45535</v>
      </c>
      <c r="X1609" s="16">
        <f t="shared" si="308"/>
        <v>11643.00885</v>
      </c>
      <c r="Y1609" s="16">
        <f t="shared" si="309"/>
        <v>0.29107522125000002</v>
      </c>
      <c r="Z1609" s="16">
        <f t="shared" si="310"/>
        <v>1.76409225</v>
      </c>
      <c r="AA1609" s="17">
        <f t="shared" si="311"/>
        <v>40000</v>
      </c>
      <c r="AB1609" s="10">
        <v>3936</v>
      </c>
      <c r="AC1609" s="18">
        <f t="shared" si="304"/>
        <v>1145.6720708400001</v>
      </c>
      <c r="AD1609" s="12">
        <f t="shared" si="303"/>
        <v>36128</v>
      </c>
      <c r="AE1609" s="13">
        <f t="shared" si="312"/>
        <v>3872</v>
      </c>
    </row>
    <row r="1610" spans="1:31">
      <c r="A1610" s="6">
        <v>17</v>
      </c>
      <c r="B1610" s="6">
        <f t="shared" si="302"/>
        <v>40</v>
      </c>
      <c r="C1610" s="6" t="str">
        <f t="shared" si="305"/>
        <v>566098600CWEBBING PIN, RETRACTOR, AGB, AGB-95POM FARBE:SCH432749644950120000</v>
      </c>
      <c r="D1610" s="7" t="s">
        <v>409</v>
      </c>
      <c r="E1610" s="6" t="s">
        <v>57</v>
      </c>
      <c r="F1610" s="6"/>
      <c r="G1610" s="7" t="s">
        <v>17</v>
      </c>
      <c r="H1610" s="19"/>
      <c r="I1610" s="19"/>
      <c r="J1610" s="19"/>
      <c r="K1610" s="19"/>
      <c r="L1610" s="14">
        <v>4327496</v>
      </c>
      <c r="M1610" s="22">
        <v>44950</v>
      </c>
      <c r="N1610" s="19" t="s">
        <v>199</v>
      </c>
      <c r="O1610" s="19" t="s">
        <v>332</v>
      </c>
      <c r="P1610" s="15">
        <v>120000</v>
      </c>
      <c r="Q1610" s="15">
        <v>117311.7</v>
      </c>
      <c r="R1610" s="15">
        <v>87082900</v>
      </c>
      <c r="S1610" s="15">
        <v>15</v>
      </c>
      <c r="T1610" s="19" t="s">
        <v>307</v>
      </c>
      <c r="U1610" s="19" t="s">
        <v>178</v>
      </c>
      <c r="V1610" s="16">
        <f t="shared" si="306"/>
        <v>17596.754999999997</v>
      </c>
      <c r="W1610" s="16">
        <f t="shared" si="307"/>
        <v>1759.6754999999998</v>
      </c>
      <c r="X1610" s="16">
        <f t="shared" si="308"/>
        <v>19356.430499999999</v>
      </c>
      <c r="Y1610" s="16">
        <f t="shared" si="309"/>
        <v>0.16130358749999998</v>
      </c>
      <c r="Z1610" s="16">
        <f t="shared" si="310"/>
        <v>0.97759750000000001</v>
      </c>
      <c r="AA1610" s="17">
        <f t="shared" si="311"/>
        <v>120000</v>
      </c>
      <c r="AB1610" s="10">
        <v>2328</v>
      </c>
      <c r="AC1610" s="18">
        <f t="shared" si="304"/>
        <v>375.51475169999998</v>
      </c>
      <c r="AD1610" s="12">
        <f t="shared" si="303"/>
        <v>86652</v>
      </c>
      <c r="AE1610" s="13">
        <f t="shared" si="312"/>
        <v>33348</v>
      </c>
    </row>
    <row r="1611" spans="1:31">
      <c r="A1611" s="6">
        <v>17</v>
      </c>
      <c r="B1611" s="6">
        <f t="shared" si="302"/>
        <v>41</v>
      </c>
      <c r="C1611" s="6" t="str">
        <f t="shared" si="305"/>
        <v>6242999AABFELT, OTHER OTHER7901235451922400</v>
      </c>
      <c r="D1611" s="7" t="s">
        <v>409</v>
      </c>
      <c r="E1611" s="6" t="s">
        <v>127</v>
      </c>
      <c r="F1611" s="6"/>
      <c r="G1611" s="19" t="s">
        <v>105</v>
      </c>
      <c r="H1611" s="19"/>
      <c r="I1611" s="19"/>
      <c r="J1611" s="19"/>
      <c r="K1611" s="19"/>
      <c r="L1611" s="14">
        <v>7901235</v>
      </c>
      <c r="M1611" s="22">
        <v>45192</v>
      </c>
      <c r="N1611" s="19" t="s">
        <v>196</v>
      </c>
      <c r="O1611" s="19" t="s">
        <v>333</v>
      </c>
      <c r="P1611" s="15">
        <v>2400</v>
      </c>
      <c r="Q1611" s="15">
        <v>32673.27</v>
      </c>
      <c r="R1611" s="15">
        <v>87082900</v>
      </c>
      <c r="S1611" s="15">
        <v>15</v>
      </c>
      <c r="T1611" s="19" t="s">
        <v>343</v>
      </c>
      <c r="U1611" s="19" t="s">
        <v>178</v>
      </c>
      <c r="V1611" s="16">
        <f t="shared" si="306"/>
        <v>4900.9904999999999</v>
      </c>
      <c r="W1611" s="16">
        <f t="shared" si="307"/>
        <v>490.09905000000003</v>
      </c>
      <c r="X1611" s="16">
        <f t="shared" si="308"/>
        <v>5391.0895499999997</v>
      </c>
      <c r="Y1611" s="16">
        <f t="shared" si="309"/>
        <v>2.2462873124999998</v>
      </c>
      <c r="Z1611" s="16">
        <f t="shared" si="310"/>
        <v>13.6138625</v>
      </c>
      <c r="AA1611" s="17">
        <f t="shared" si="311"/>
        <v>2400</v>
      </c>
      <c r="AB1611" s="10">
        <v>192</v>
      </c>
      <c r="AC1611" s="18">
        <f t="shared" si="304"/>
        <v>431.28716399999996</v>
      </c>
      <c r="AD1611" s="12">
        <f t="shared" si="303"/>
        <v>2196.48</v>
      </c>
      <c r="AE1611" s="13">
        <f t="shared" si="312"/>
        <v>203.51999999999998</v>
      </c>
    </row>
    <row r="1612" spans="1:31">
      <c r="A1612" s="6">
        <v>17</v>
      </c>
      <c r="B1612" s="6">
        <f t="shared" si="302"/>
        <v>42</v>
      </c>
      <c r="C1612" s="6" t="str">
        <f t="shared" si="305"/>
        <v>625090202BTAPE, IC, CONTINUOUS, 13.0 MM., PET 3M 842196603534476311700</v>
      </c>
      <c r="D1612" s="7" t="s">
        <v>409</v>
      </c>
      <c r="E1612" s="6" t="s">
        <v>128</v>
      </c>
      <c r="F1612" s="6"/>
      <c r="G1612" s="19" t="s">
        <v>103</v>
      </c>
      <c r="H1612" s="19"/>
      <c r="I1612" s="19"/>
      <c r="J1612" s="19"/>
      <c r="K1612" s="19"/>
      <c r="L1612" s="14">
        <v>9660353</v>
      </c>
      <c r="M1612" s="22">
        <v>44763</v>
      </c>
      <c r="N1612" s="19" t="s">
        <v>196</v>
      </c>
      <c r="O1612" s="19" t="s">
        <v>333</v>
      </c>
      <c r="P1612" s="15">
        <v>11700</v>
      </c>
      <c r="Q1612" s="15">
        <v>147455.71</v>
      </c>
      <c r="R1612" s="15">
        <v>87089500</v>
      </c>
      <c r="S1612" s="15">
        <v>15</v>
      </c>
      <c r="T1612" s="19" t="s">
        <v>228</v>
      </c>
      <c r="U1612" s="19" t="s">
        <v>178</v>
      </c>
      <c r="V1612" s="16">
        <f t="shared" si="306"/>
        <v>22118.356499999998</v>
      </c>
      <c r="W1612" s="16">
        <f t="shared" si="307"/>
        <v>2211.83565</v>
      </c>
      <c r="X1612" s="16">
        <f t="shared" si="308"/>
        <v>24330.192149999999</v>
      </c>
      <c r="Y1612" s="16">
        <f t="shared" si="309"/>
        <v>2.0795036025641025</v>
      </c>
      <c r="Z1612" s="16">
        <f t="shared" si="310"/>
        <v>12.603052136752137</v>
      </c>
      <c r="AA1612" s="17">
        <f t="shared" si="311"/>
        <v>11700</v>
      </c>
      <c r="AB1612" s="10">
        <v>176.64000000000001</v>
      </c>
      <c r="AC1612" s="18">
        <f t="shared" si="304"/>
        <v>367.32351635692311</v>
      </c>
      <c r="AD1612" s="12">
        <f t="shared" si="303"/>
        <v>5418.24</v>
      </c>
      <c r="AE1612" s="13">
        <f t="shared" si="312"/>
        <v>6281.76</v>
      </c>
    </row>
    <row r="1613" spans="1:31">
      <c r="A1613" s="6">
        <v>17</v>
      </c>
      <c r="B1613" s="6">
        <f t="shared" si="302"/>
        <v>43</v>
      </c>
      <c r="C1613" s="6" t="str">
        <f t="shared" si="305"/>
        <v>656334900FAB Cushion ICAB FI 2 Row C KSID, ASP5.1, BUTTON HOL4167367454681380</v>
      </c>
      <c r="D1613" s="7" t="s">
        <v>409</v>
      </c>
      <c r="E1613" s="6" t="s">
        <v>474</v>
      </c>
      <c r="F1613" s="6"/>
      <c r="G1613" s="19" t="s">
        <v>243</v>
      </c>
      <c r="H1613" s="19"/>
      <c r="I1613" s="19"/>
      <c r="J1613" s="19"/>
      <c r="K1613" s="19"/>
      <c r="L1613" s="14">
        <v>4167367</v>
      </c>
      <c r="M1613" s="22">
        <v>45468</v>
      </c>
      <c r="N1613" s="19" t="s">
        <v>197</v>
      </c>
      <c r="O1613" s="19" t="s">
        <v>333</v>
      </c>
      <c r="P1613" s="15">
        <v>1380</v>
      </c>
      <c r="Q1613" s="15">
        <v>898356.94</v>
      </c>
      <c r="R1613" s="15">
        <v>87089900</v>
      </c>
      <c r="S1613" s="15">
        <v>5</v>
      </c>
      <c r="T1613" s="19" t="s">
        <v>363</v>
      </c>
      <c r="U1613" s="19" t="s">
        <v>178</v>
      </c>
      <c r="V1613" s="16">
        <f t="shared" si="306"/>
        <v>44917.847000000002</v>
      </c>
      <c r="W1613" s="16">
        <f t="shared" si="307"/>
        <v>4491.7847000000002</v>
      </c>
      <c r="X1613" s="16">
        <f t="shared" si="308"/>
        <v>49409.631699999998</v>
      </c>
      <c r="Y1613" s="16">
        <f t="shared" si="309"/>
        <v>35.804080942028982</v>
      </c>
      <c r="Z1613" s="16">
        <f t="shared" si="310"/>
        <v>650.98328985507237</v>
      </c>
      <c r="AA1613" s="17">
        <f t="shared" si="311"/>
        <v>1380</v>
      </c>
      <c r="AB1613" s="10">
        <v>192</v>
      </c>
      <c r="AC1613" s="18">
        <f t="shared" si="304"/>
        <v>6874.383540869565</v>
      </c>
      <c r="AD1613" s="12">
        <f t="shared" si="303"/>
        <v>1152</v>
      </c>
      <c r="AE1613" s="13">
        <f t="shared" si="312"/>
        <v>228</v>
      </c>
    </row>
    <row r="1614" spans="1:31">
      <c r="A1614" s="6">
        <v>18</v>
      </c>
      <c r="B1614" s="6">
        <v>1</v>
      </c>
      <c r="C1614" s="6" t="str">
        <f t="shared" si="305"/>
        <v>655931500AARMATURE, MONOBLOCK ASW4, HYUNDAI BC3-CUV7371026456473240</v>
      </c>
      <c r="D1614" s="7" t="s">
        <v>439</v>
      </c>
      <c r="E1614" s="6" t="s">
        <v>157</v>
      </c>
      <c r="F1614" s="6"/>
      <c r="G1614" s="7" t="s">
        <v>134</v>
      </c>
      <c r="H1614" s="19"/>
      <c r="I1614" s="19"/>
      <c r="J1614" s="19"/>
      <c r="K1614" s="19"/>
      <c r="L1614" s="14">
        <v>7371026</v>
      </c>
      <c r="M1614" s="22">
        <v>45647</v>
      </c>
      <c r="N1614" s="19" t="s">
        <v>184</v>
      </c>
      <c r="O1614" s="19" t="s">
        <v>332</v>
      </c>
      <c r="P1614" s="15">
        <v>3240</v>
      </c>
      <c r="Q1614" s="15">
        <v>1317421.92</v>
      </c>
      <c r="R1614" s="15">
        <v>87089400</v>
      </c>
      <c r="S1614" s="15">
        <v>15</v>
      </c>
      <c r="T1614" s="19" t="s">
        <v>423</v>
      </c>
      <c r="U1614" s="19" t="s">
        <v>178</v>
      </c>
      <c r="V1614" s="16">
        <f t="shared" ref="V1614" si="313">Q1614*S1614%</f>
        <v>197613.28799999997</v>
      </c>
      <c r="W1614" s="16">
        <f t="shared" ref="W1614" si="314">V1614*0.1</f>
        <v>19761.328799999999</v>
      </c>
      <c r="X1614" s="16">
        <f t="shared" ref="X1614" si="315">V1614+W1614</f>
        <v>217374.61679999996</v>
      </c>
      <c r="Y1614" s="16">
        <f t="shared" ref="Y1614" si="316">X1614/P1614</f>
        <v>67.090931111111104</v>
      </c>
      <c r="Z1614" s="16">
        <f t="shared" ref="Z1614" si="317">Q1614/P1614</f>
        <v>406.61170370370365</v>
      </c>
      <c r="AA1614" s="17">
        <f t="shared" ref="AA1614" si="318">P1614</f>
        <v>3240</v>
      </c>
      <c r="AB1614" s="10">
        <v>3240</v>
      </c>
      <c r="AC1614" s="18">
        <f t="shared" ref="AC1614" si="319">AB1614*Y1614</f>
        <v>217374.61679999999</v>
      </c>
      <c r="AD1614" s="12">
        <f t="shared" si="303"/>
        <v>3240</v>
      </c>
      <c r="AE1614" s="13">
        <f t="shared" ref="AE1614" si="320">AA1614-AD1614</f>
        <v>0</v>
      </c>
    </row>
    <row r="1615" spans="1:31">
      <c r="A1615" s="6">
        <v>18</v>
      </c>
      <c r="B1615" s="6">
        <v>2</v>
      </c>
      <c r="C1615" s="6" t="str">
        <f t="shared" si="305"/>
        <v>655931500AARMATURE, MONOBLOCK ASW4, HYUNDAI BC3-CUV7627239456633240</v>
      </c>
      <c r="D1615" s="7" t="s">
        <v>439</v>
      </c>
      <c r="E1615" s="6" t="s">
        <v>157</v>
      </c>
      <c r="F1615" s="6"/>
      <c r="G1615" s="7" t="s">
        <v>134</v>
      </c>
      <c r="H1615" s="19"/>
      <c r="I1615" s="19"/>
      <c r="J1615" s="19"/>
      <c r="K1615" s="19"/>
      <c r="L1615" s="14">
        <v>7627239</v>
      </c>
      <c r="M1615" s="22">
        <v>45663</v>
      </c>
      <c r="N1615" s="19" t="s">
        <v>184</v>
      </c>
      <c r="O1615" s="19" t="s">
        <v>332</v>
      </c>
      <c r="P1615" s="15">
        <v>3240</v>
      </c>
      <c r="Q1615" s="15">
        <v>1329411.0900000001</v>
      </c>
      <c r="R1615" s="15">
        <v>87089400</v>
      </c>
      <c r="S1615" s="15">
        <v>15</v>
      </c>
      <c r="T1615" s="19" t="s">
        <v>423</v>
      </c>
      <c r="U1615" s="19" t="s">
        <v>178</v>
      </c>
      <c r="V1615" s="16">
        <f t="shared" ref="V1615:V1678" si="321">Q1615*S1615%</f>
        <v>199411.6635</v>
      </c>
      <c r="W1615" s="16">
        <f t="shared" ref="W1615:W1678" si="322">V1615*0.1</f>
        <v>19941.16635</v>
      </c>
      <c r="X1615" s="16">
        <f t="shared" ref="X1615:X1678" si="323">V1615+W1615</f>
        <v>219352.82984999998</v>
      </c>
      <c r="Y1615" s="16">
        <f t="shared" ref="Y1615:Y1678" si="324">X1615/P1615</f>
        <v>67.701490694444445</v>
      </c>
      <c r="Z1615" s="16">
        <f t="shared" ref="Z1615:Z1678" si="325">Q1615/P1615</f>
        <v>410.31206481481485</v>
      </c>
      <c r="AA1615" s="17">
        <f t="shared" ref="AA1615:AA1678" si="326">P1615</f>
        <v>3240</v>
      </c>
      <c r="AB1615" s="10">
        <v>3240</v>
      </c>
      <c r="AC1615" s="18">
        <f t="shared" ref="AC1615:AC1678" si="327">AB1615*Y1615</f>
        <v>219352.82985000001</v>
      </c>
      <c r="AD1615" s="12">
        <f t="shared" si="303"/>
        <v>3240</v>
      </c>
      <c r="AE1615" s="13">
        <f t="shared" ref="AE1615:AE1678" si="328">AA1615-AD1615</f>
        <v>0</v>
      </c>
    </row>
    <row r="1616" spans="1:31">
      <c r="A1616" s="6">
        <v>18</v>
      </c>
      <c r="B1616" s="6">
        <v>3</v>
      </c>
      <c r="C1616" s="6" t="str">
        <f t="shared" si="305"/>
        <v>655931500AARMATURE, MONOBLOCK ASW4, HYUNDAI BC3-CUV7705476456673564</v>
      </c>
      <c r="D1616" s="7" t="s">
        <v>439</v>
      </c>
      <c r="E1616" s="6" t="s">
        <v>157</v>
      </c>
      <c r="F1616" s="6"/>
      <c r="G1616" s="7" t="s">
        <v>134</v>
      </c>
      <c r="H1616" s="19"/>
      <c r="I1616" s="19"/>
      <c r="J1616" s="19"/>
      <c r="K1616" s="19"/>
      <c r="L1616" s="14">
        <v>7705476</v>
      </c>
      <c r="M1616" s="22">
        <v>45667</v>
      </c>
      <c r="N1616" s="19" t="s">
        <v>184</v>
      </c>
      <c r="O1616" s="19" t="s">
        <v>332</v>
      </c>
      <c r="P1616" s="15">
        <v>3564</v>
      </c>
      <c r="Q1616" s="15">
        <v>1461075.32</v>
      </c>
      <c r="R1616" s="15">
        <v>87089400</v>
      </c>
      <c r="S1616" s="15">
        <v>15</v>
      </c>
      <c r="T1616" s="19" t="s">
        <v>424</v>
      </c>
      <c r="U1616" s="19" t="s">
        <v>178</v>
      </c>
      <c r="V1616" s="16">
        <f t="shared" si="321"/>
        <v>219161.29800000001</v>
      </c>
      <c r="W1616" s="16">
        <f t="shared" si="322"/>
        <v>21916.129800000002</v>
      </c>
      <c r="X1616" s="16">
        <f t="shared" si="323"/>
        <v>241077.4278</v>
      </c>
      <c r="Y1616" s="16">
        <f t="shared" si="324"/>
        <v>67.642375925925933</v>
      </c>
      <c r="Z1616" s="16">
        <f t="shared" si="325"/>
        <v>409.95379349046016</v>
      </c>
      <c r="AA1616" s="17">
        <f t="shared" si="326"/>
        <v>3564</v>
      </c>
      <c r="AB1616" s="10">
        <v>3100</v>
      </c>
      <c r="AC1616" s="18">
        <f t="shared" si="327"/>
        <v>209691.36537037039</v>
      </c>
      <c r="AD1616" s="12">
        <f t="shared" si="303"/>
        <v>3100</v>
      </c>
      <c r="AE1616" s="13">
        <f t="shared" si="328"/>
        <v>464</v>
      </c>
    </row>
    <row r="1617" spans="1:31">
      <c r="A1617" s="6">
        <v>18</v>
      </c>
      <c r="B1617" s="6">
        <v>4</v>
      </c>
      <c r="C1617" s="6" t="str">
        <f t="shared" si="305"/>
        <v>639590100BSCREW SELF TAPPING INTERNAL T15, 15.0798510145681100000</v>
      </c>
      <c r="D1617" s="7" t="s">
        <v>439</v>
      </c>
      <c r="E1617" s="6" t="s">
        <v>165</v>
      </c>
      <c r="F1617" s="6"/>
      <c r="G1617" s="7" t="s">
        <v>143</v>
      </c>
      <c r="H1617" s="19"/>
      <c r="I1617" s="19"/>
      <c r="J1617" s="19"/>
      <c r="K1617" s="19"/>
      <c r="L1617" s="14">
        <v>7985101</v>
      </c>
      <c r="M1617" s="22">
        <v>45681</v>
      </c>
      <c r="N1617" s="19" t="s">
        <v>180</v>
      </c>
      <c r="O1617" s="19" t="s">
        <v>332</v>
      </c>
      <c r="P1617" s="15">
        <v>100000</v>
      </c>
      <c r="Q1617" s="15">
        <v>135898.69</v>
      </c>
      <c r="R1617" s="15">
        <v>87089400</v>
      </c>
      <c r="S1617" s="15">
        <v>15</v>
      </c>
      <c r="T1617" s="19" t="s">
        <v>425</v>
      </c>
      <c r="U1617" s="19" t="s">
        <v>178</v>
      </c>
      <c r="V1617" s="16">
        <f t="shared" si="321"/>
        <v>20384.803499999998</v>
      </c>
      <c r="W1617" s="16">
        <f t="shared" si="322"/>
        <v>2038.4803499999998</v>
      </c>
      <c r="X1617" s="16">
        <f t="shared" si="323"/>
        <v>22423.28385</v>
      </c>
      <c r="Y1617" s="16">
        <f t="shared" si="324"/>
        <v>0.2242328385</v>
      </c>
      <c r="Z1617" s="16">
        <f t="shared" si="325"/>
        <v>1.3589869000000001</v>
      </c>
      <c r="AA1617" s="17">
        <f t="shared" si="326"/>
        <v>100000</v>
      </c>
      <c r="AB1617" s="10">
        <v>51976</v>
      </c>
      <c r="AC1617" s="18">
        <f t="shared" si="327"/>
        <v>11654.726013875999</v>
      </c>
      <c r="AD1617" s="12">
        <f t="shared" si="303"/>
        <v>95936</v>
      </c>
      <c r="AE1617" s="13">
        <f t="shared" si="328"/>
        <v>4064</v>
      </c>
    </row>
    <row r="1618" spans="1:31">
      <c r="A1618" s="6">
        <v>18</v>
      </c>
      <c r="B1618" s="6">
        <v>5</v>
      </c>
      <c r="C1618" s="6" t="str">
        <f t="shared" si="305"/>
        <v>651409900ASCREW, STD METRIC M6 HEXALOBULAR INTERNAL, T470968704563330000</v>
      </c>
      <c r="D1618" s="7" t="s">
        <v>439</v>
      </c>
      <c r="E1618" s="6" t="s">
        <v>168</v>
      </c>
      <c r="F1618" s="6"/>
      <c r="G1618" s="7" t="s">
        <v>146</v>
      </c>
      <c r="H1618" s="19"/>
      <c r="I1618" s="19"/>
      <c r="J1618" s="19"/>
      <c r="K1618" s="19"/>
      <c r="L1618" s="14">
        <v>7096870</v>
      </c>
      <c r="M1618" s="22">
        <v>45633</v>
      </c>
      <c r="N1618" s="19" t="s">
        <v>189</v>
      </c>
      <c r="O1618" s="19" t="s">
        <v>333</v>
      </c>
      <c r="P1618" s="15">
        <v>30000</v>
      </c>
      <c r="Q1618" s="15">
        <v>101569.01</v>
      </c>
      <c r="R1618" s="15">
        <v>87089500</v>
      </c>
      <c r="S1618" s="15">
        <v>15</v>
      </c>
      <c r="T1618" s="19" t="s">
        <v>392</v>
      </c>
      <c r="U1618" s="19" t="s">
        <v>178</v>
      </c>
      <c r="V1618" s="16">
        <f t="shared" si="321"/>
        <v>15235.351499999999</v>
      </c>
      <c r="W1618" s="16">
        <f t="shared" si="322"/>
        <v>1523.5351499999999</v>
      </c>
      <c r="X1618" s="16">
        <f t="shared" si="323"/>
        <v>16758.88665</v>
      </c>
      <c r="Y1618" s="16">
        <f t="shared" si="324"/>
        <v>0.558629555</v>
      </c>
      <c r="Z1618" s="16">
        <f t="shared" si="325"/>
        <v>3.3856336666666667</v>
      </c>
      <c r="AA1618" s="17">
        <f t="shared" si="326"/>
        <v>30000</v>
      </c>
      <c r="AB1618" s="10">
        <v>19160</v>
      </c>
      <c r="AC1618" s="18">
        <f t="shared" si="327"/>
        <v>10703.342273800001</v>
      </c>
      <c r="AD1618" s="12">
        <f t="shared" si="303"/>
        <v>24880</v>
      </c>
      <c r="AE1618" s="13">
        <f t="shared" si="328"/>
        <v>5120</v>
      </c>
    </row>
    <row r="1619" spans="1:31">
      <c r="A1619" s="6">
        <v>18</v>
      </c>
      <c r="B1619" s="6">
        <v>6</v>
      </c>
      <c r="C1619" s="6" t="str">
        <f t="shared" si="305"/>
        <v>654590800ACUSHION COMPONENTS CVR NON-WOVEN RH SU2ID787136545675900</v>
      </c>
      <c r="D1619" s="7" t="s">
        <v>439</v>
      </c>
      <c r="E1619" s="6" t="s">
        <v>480</v>
      </c>
      <c r="F1619" s="6"/>
      <c r="G1619" s="7" t="s">
        <v>396</v>
      </c>
      <c r="H1619" s="19"/>
      <c r="I1619" s="19"/>
      <c r="J1619" s="19"/>
      <c r="K1619" s="19"/>
      <c r="L1619" s="14">
        <v>7871365</v>
      </c>
      <c r="M1619" s="22">
        <v>45675</v>
      </c>
      <c r="N1619" s="19" t="s">
        <v>196</v>
      </c>
      <c r="O1619" s="19" t="s">
        <v>333</v>
      </c>
      <c r="P1619" s="15">
        <v>900</v>
      </c>
      <c r="Q1619" s="15">
        <v>12541.35</v>
      </c>
      <c r="R1619" s="15">
        <v>87089500</v>
      </c>
      <c r="S1619" s="15">
        <v>15</v>
      </c>
      <c r="T1619" s="19" t="s">
        <v>227</v>
      </c>
      <c r="U1619" s="19" t="s">
        <v>178</v>
      </c>
      <c r="V1619" s="16">
        <f t="shared" si="321"/>
        <v>1881.2024999999999</v>
      </c>
      <c r="W1619" s="16">
        <f t="shared" si="322"/>
        <v>188.12025</v>
      </c>
      <c r="X1619" s="16">
        <f t="shared" si="323"/>
        <v>2069.3227499999998</v>
      </c>
      <c r="Y1619" s="16">
        <f t="shared" si="324"/>
        <v>2.2992474999999999</v>
      </c>
      <c r="Z1619" s="16">
        <f t="shared" si="325"/>
        <v>13.934833333333334</v>
      </c>
      <c r="AA1619" s="17">
        <f t="shared" si="326"/>
        <v>900</v>
      </c>
      <c r="AB1619" s="10">
        <v>900</v>
      </c>
      <c r="AC1619" s="18">
        <f t="shared" si="327"/>
        <v>2069.3227499999998</v>
      </c>
      <c r="AD1619" s="12">
        <f t="shared" si="303"/>
        <v>900</v>
      </c>
      <c r="AE1619" s="13">
        <f t="shared" si="328"/>
        <v>0</v>
      </c>
    </row>
    <row r="1620" spans="1:31">
      <c r="A1620" s="6">
        <v>18</v>
      </c>
      <c r="B1620" s="6">
        <v>7</v>
      </c>
      <c r="C1620" s="6" t="str">
        <f t="shared" si="305"/>
        <v>654590800ACUSHION COMPONENTS CVR NON-WOVEN RH SU2ID801448345683900</v>
      </c>
      <c r="D1620" s="7" t="s">
        <v>439</v>
      </c>
      <c r="E1620" s="6" t="s">
        <v>480</v>
      </c>
      <c r="F1620" s="6"/>
      <c r="G1620" s="7" t="s">
        <v>396</v>
      </c>
      <c r="H1620" s="19"/>
      <c r="I1620" s="19"/>
      <c r="J1620" s="19"/>
      <c r="K1620" s="19"/>
      <c r="L1620" s="14">
        <v>8014483</v>
      </c>
      <c r="M1620" s="22">
        <v>45683</v>
      </c>
      <c r="N1620" s="19" t="s">
        <v>185</v>
      </c>
      <c r="O1620" s="19" t="s">
        <v>333</v>
      </c>
      <c r="P1620" s="15">
        <v>900</v>
      </c>
      <c r="Q1620" s="15">
        <v>11169.47</v>
      </c>
      <c r="R1620" s="15">
        <v>87089500</v>
      </c>
      <c r="S1620" s="15">
        <v>5</v>
      </c>
      <c r="T1620" s="19" t="s">
        <v>426</v>
      </c>
      <c r="U1620" s="19" t="s">
        <v>178</v>
      </c>
      <c r="V1620" s="16">
        <f t="shared" si="321"/>
        <v>558.47349999999994</v>
      </c>
      <c r="W1620" s="16">
        <f t="shared" si="322"/>
        <v>55.847349999999999</v>
      </c>
      <c r="X1620" s="16">
        <f t="shared" si="323"/>
        <v>614.32084999999995</v>
      </c>
      <c r="Y1620" s="16">
        <f t="shared" si="324"/>
        <v>0.68257872222222216</v>
      </c>
      <c r="Z1620" s="16">
        <f t="shared" si="325"/>
        <v>12.410522222222221</v>
      </c>
      <c r="AA1620" s="17">
        <f t="shared" si="326"/>
        <v>900</v>
      </c>
      <c r="AB1620" s="10">
        <v>900</v>
      </c>
      <c r="AC1620" s="18">
        <f t="shared" si="327"/>
        <v>614.32084999999995</v>
      </c>
      <c r="AD1620" s="12">
        <f t="shared" si="303"/>
        <v>900</v>
      </c>
      <c r="AE1620" s="13">
        <f t="shared" si="328"/>
        <v>0</v>
      </c>
    </row>
    <row r="1621" spans="1:31">
      <c r="A1621" s="6">
        <v>18</v>
      </c>
      <c r="B1621" s="6">
        <v>8</v>
      </c>
      <c r="C1621" s="6" t="str">
        <f t="shared" si="305"/>
        <v>655818900BACTUATOR VIBRATION MOTOR ASSY WITH BRACKET BC3 CU64757664560014400</v>
      </c>
      <c r="D1621" s="7" t="s">
        <v>439</v>
      </c>
      <c r="E1621" s="6" t="s">
        <v>156</v>
      </c>
      <c r="F1621" s="6"/>
      <c r="G1621" s="7" t="s">
        <v>133</v>
      </c>
      <c r="H1621" s="19"/>
      <c r="I1621" s="19"/>
      <c r="J1621" s="19"/>
      <c r="K1621" s="19"/>
      <c r="L1621" s="14">
        <v>6475766</v>
      </c>
      <c r="M1621" s="22">
        <v>45600</v>
      </c>
      <c r="N1621" s="19" t="s">
        <v>189</v>
      </c>
      <c r="O1621" s="19" t="s">
        <v>333</v>
      </c>
      <c r="P1621" s="15">
        <v>14400</v>
      </c>
      <c r="Q1621" s="15">
        <v>4866307.05</v>
      </c>
      <c r="R1621" s="15">
        <v>87089400</v>
      </c>
      <c r="S1621" s="15">
        <v>15</v>
      </c>
      <c r="T1621" s="19" t="s">
        <v>376</v>
      </c>
      <c r="U1621" s="19" t="s">
        <v>178</v>
      </c>
      <c r="V1621" s="16">
        <f t="shared" si="321"/>
        <v>729946.0575</v>
      </c>
      <c r="W1621" s="16">
        <f t="shared" si="322"/>
        <v>72994.605750000002</v>
      </c>
      <c r="X1621" s="16">
        <f t="shared" si="323"/>
        <v>802940.66324999998</v>
      </c>
      <c r="Y1621" s="16">
        <f t="shared" si="324"/>
        <v>55.759768281249997</v>
      </c>
      <c r="Z1621" s="16">
        <f t="shared" si="325"/>
        <v>337.93798958333332</v>
      </c>
      <c r="AA1621" s="17">
        <f t="shared" si="326"/>
        <v>14400</v>
      </c>
      <c r="AB1621" s="10">
        <v>9580</v>
      </c>
      <c r="AC1621" s="18">
        <f t="shared" si="327"/>
        <v>534178.58013437502</v>
      </c>
      <c r="AD1621" s="12">
        <f t="shared" si="303"/>
        <v>9580</v>
      </c>
      <c r="AE1621" s="13">
        <f t="shared" si="328"/>
        <v>4820</v>
      </c>
    </row>
    <row r="1622" spans="1:31">
      <c r="A1622" s="6">
        <v>18</v>
      </c>
      <c r="B1622" s="6">
        <v>9</v>
      </c>
      <c r="C1622" s="6" t="str">
        <f t="shared" si="305"/>
        <v>651015300BELEMENT, HEATER, HYBRID 2315227453482520</v>
      </c>
      <c r="D1622" s="7" t="s">
        <v>439</v>
      </c>
      <c r="E1622" s="6" t="s">
        <v>155</v>
      </c>
      <c r="F1622" s="6"/>
      <c r="G1622" s="7" t="s">
        <v>137</v>
      </c>
      <c r="H1622" s="19"/>
      <c r="I1622" s="19"/>
      <c r="J1622" s="19"/>
      <c r="K1622" s="19"/>
      <c r="L1622" s="14">
        <v>2315227</v>
      </c>
      <c r="M1622" s="22">
        <v>45348</v>
      </c>
      <c r="N1622" s="19" t="s">
        <v>180</v>
      </c>
      <c r="O1622" s="19" t="s">
        <v>332</v>
      </c>
      <c r="P1622" s="15">
        <v>2520</v>
      </c>
      <c r="Q1622" s="15">
        <v>1527090.23</v>
      </c>
      <c r="R1622" s="15">
        <v>87089400</v>
      </c>
      <c r="S1622" s="15">
        <v>15</v>
      </c>
      <c r="T1622" s="19" t="s">
        <v>427</v>
      </c>
      <c r="U1622" s="19" t="s">
        <v>178</v>
      </c>
      <c r="V1622" s="16">
        <f t="shared" si="321"/>
        <v>229063.53449999998</v>
      </c>
      <c r="W1622" s="16">
        <f t="shared" si="322"/>
        <v>22906.353449999999</v>
      </c>
      <c r="X1622" s="16">
        <f t="shared" si="323"/>
        <v>251969.88794999997</v>
      </c>
      <c r="Y1622" s="16">
        <f t="shared" si="324"/>
        <v>99.988050773809519</v>
      </c>
      <c r="Z1622" s="16">
        <f t="shared" si="325"/>
        <v>605.98818650793646</v>
      </c>
      <c r="AA1622" s="17">
        <f t="shared" si="326"/>
        <v>2520</v>
      </c>
      <c r="AB1622" s="10">
        <v>2444</v>
      </c>
      <c r="AC1622" s="18">
        <f t="shared" si="327"/>
        <v>244370.79609119045</v>
      </c>
      <c r="AD1622" s="12">
        <f t="shared" si="303"/>
        <v>2444</v>
      </c>
      <c r="AE1622" s="13">
        <f t="shared" si="328"/>
        <v>76</v>
      </c>
    </row>
    <row r="1623" spans="1:31">
      <c r="A1623" s="6">
        <v>18</v>
      </c>
      <c r="B1623" s="6">
        <v>10</v>
      </c>
      <c r="C1623" s="6" t="str">
        <f t="shared" si="305"/>
        <v>634240200AHORN CONTACT, CU 681124845118600000</v>
      </c>
      <c r="D1623" s="7" t="s">
        <v>439</v>
      </c>
      <c r="E1623" s="6" t="s">
        <v>160</v>
      </c>
      <c r="F1623" s="6"/>
      <c r="G1623" s="7" t="s">
        <v>138</v>
      </c>
      <c r="H1623" s="19"/>
      <c r="I1623" s="19"/>
      <c r="J1623" s="19"/>
      <c r="K1623" s="19"/>
      <c r="L1623" s="14">
        <v>6811248</v>
      </c>
      <c r="M1623" s="22">
        <v>45118</v>
      </c>
      <c r="N1623" s="19" t="s">
        <v>189</v>
      </c>
      <c r="O1623" s="19" t="s">
        <v>332</v>
      </c>
      <c r="P1623" s="15">
        <v>600000</v>
      </c>
      <c r="Q1623" s="15">
        <v>627311.64</v>
      </c>
      <c r="R1623" s="15">
        <v>87089900</v>
      </c>
      <c r="S1623" s="15">
        <v>15</v>
      </c>
      <c r="T1623" s="19" t="s">
        <v>258</v>
      </c>
      <c r="U1623" s="19" t="s">
        <v>178</v>
      </c>
      <c r="V1623" s="16">
        <f t="shared" si="321"/>
        <v>94096.745999999999</v>
      </c>
      <c r="W1623" s="16">
        <f t="shared" si="322"/>
        <v>9409.6746000000003</v>
      </c>
      <c r="X1623" s="16">
        <f t="shared" si="323"/>
        <v>103506.4206</v>
      </c>
      <c r="Y1623" s="16">
        <f t="shared" si="324"/>
        <v>0.17251070099999999</v>
      </c>
      <c r="Z1623" s="16">
        <f t="shared" si="325"/>
        <v>1.0455194000000001</v>
      </c>
      <c r="AA1623" s="17">
        <f t="shared" si="326"/>
        <v>600000</v>
      </c>
      <c r="AB1623" s="10">
        <v>38320</v>
      </c>
      <c r="AC1623" s="18">
        <f t="shared" si="327"/>
        <v>6610.61006232</v>
      </c>
      <c r="AD1623" s="12">
        <f t="shared" si="303"/>
        <v>577364</v>
      </c>
      <c r="AE1623" s="13">
        <f t="shared" si="328"/>
        <v>22636</v>
      </c>
    </row>
    <row r="1624" spans="1:31">
      <c r="A1624" s="6">
        <v>18</v>
      </c>
      <c r="B1624" s="6">
        <v>11</v>
      </c>
      <c r="C1624" s="6" t="str">
        <f t="shared" si="305"/>
        <v>630580800ALABEL, RAW MATERIAL, BLA K12 TPC BUCKLE5160585449362400000</v>
      </c>
      <c r="D1624" s="7" t="s">
        <v>439</v>
      </c>
      <c r="E1624" s="6" t="s">
        <v>71</v>
      </c>
      <c r="F1624" s="6"/>
      <c r="G1624" s="7" t="s">
        <v>31</v>
      </c>
      <c r="H1624" s="19"/>
      <c r="I1624" s="19"/>
      <c r="J1624" s="19"/>
      <c r="K1624" s="19"/>
      <c r="L1624" s="14">
        <v>5160585</v>
      </c>
      <c r="M1624" s="22">
        <v>44936</v>
      </c>
      <c r="N1624" s="19" t="s">
        <v>196</v>
      </c>
      <c r="O1624" s="19" t="s">
        <v>333</v>
      </c>
      <c r="P1624" s="15">
        <v>2400000</v>
      </c>
      <c r="Q1624" s="15">
        <v>86522.34</v>
      </c>
      <c r="R1624" s="15">
        <v>87082900</v>
      </c>
      <c r="S1624" s="15">
        <v>15</v>
      </c>
      <c r="T1624" s="19" t="s">
        <v>265</v>
      </c>
      <c r="U1624" s="19" t="s">
        <v>178</v>
      </c>
      <c r="V1624" s="16">
        <f t="shared" si="321"/>
        <v>12978.350999999999</v>
      </c>
      <c r="W1624" s="16">
        <f t="shared" si="322"/>
        <v>1297.8351</v>
      </c>
      <c r="X1624" s="16">
        <f t="shared" si="323"/>
        <v>14276.186099999999</v>
      </c>
      <c r="Y1624" s="16">
        <f t="shared" si="324"/>
        <v>5.9484108749999999E-3</v>
      </c>
      <c r="Z1624" s="16">
        <f t="shared" si="325"/>
        <v>3.6050974999999999E-2</v>
      </c>
      <c r="AA1624" s="17">
        <f t="shared" si="326"/>
        <v>2400000</v>
      </c>
      <c r="AB1624" s="10">
        <v>23332</v>
      </c>
      <c r="AC1624" s="18">
        <f t="shared" si="327"/>
        <v>138.78832253549999</v>
      </c>
      <c r="AD1624" s="12">
        <f t="shared" si="303"/>
        <v>548546</v>
      </c>
      <c r="AE1624" s="13">
        <f t="shared" si="328"/>
        <v>1851454</v>
      </c>
    </row>
    <row r="1625" spans="1:31">
      <c r="A1625" s="6">
        <v>18</v>
      </c>
      <c r="B1625" s="6">
        <v>12</v>
      </c>
      <c r="C1625" s="6" t="str">
        <f t="shared" si="305"/>
        <v>644345600ASCREW, SELF-TAPPING, PLA PLASTIC, 3.0, CROSS54768324554235000</v>
      </c>
      <c r="D1625" s="7" t="s">
        <v>439</v>
      </c>
      <c r="E1625" s="6" t="s">
        <v>166</v>
      </c>
      <c r="F1625" s="6"/>
      <c r="G1625" s="7" t="s">
        <v>144</v>
      </c>
      <c r="H1625" s="19"/>
      <c r="I1625" s="19"/>
      <c r="J1625" s="19"/>
      <c r="K1625" s="19"/>
      <c r="L1625" s="14">
        <v>5476832</v>
      </c>
      <c r="M1625" s="22">
        <v>45542</v>
      </c>
      <c r="N1625" s="19" t="s">
        <v>189</v>
      </c>
      <c r="O1625" s="19" t="s">
        <v>333</v>
      </c>
      <c r="P1625" s="15">
        <v>35000</v>
      </c>
      <c r="Q1625" s="15">
        <v>27345.25</v>
      </c>
      <c r="R1625" s="15">
        <v>87089500</v>
      </c>
      <c r="S1625" s="15">
        <v>15</v>
      </c>
      <c r="T1625" s="19" t="s">
        <v>392</v>
      </c>
      <c r="U1625" s="19" t="s">
        <v>178</v>
      </c>
      <c r="V1625" s="16">
        <f t="shared" si="321"/>
        <v>4101.7874999999995</v>
      </c>
      <c r="W1625" s="16">
        <f t="shared" si="322"/>
        <v>410.17874999999998</v>
      </c>
      <c r="X1625" s="16">
        <f t="shared" si="323"/>
        <v>4511.9662499999995</v>
      </c>
      <c r="Y1625" s="16">
        <f t="shared" si="324"/>
        <v>0.12891332142857143</v>
      </c>
      <c r="Z1625" s="16">
        <f t="shared" si="325"/>
        <v>0.78129285714285712</v>
      </c>
      <c r="AA1625" s="17">
        <f t="shared" si="326"/>
        <v>35000</v>
      </c>
      <c r="AB1625" s="10">
        <v>19160</v>
      </c>
      <c r="AC1625" s="18">
        <f t="shared" si="327"/>
        <v>2469.9792385714286</v>
      </c>
      <c r="AD1625" s="12">
        <f t="shared" si="303"/>
        <v>33280</v>
      </c>
      <c r="AE1625" s="13">
        <f t="shared" si="328"/>
        <v>1720</v>
      </c>
    </row>
    <row r="1626" spans="1:31">
      <c r="A1626" s="6">
        <v>18</v>
      </c>
      <c r="B1626" s="6">
        <v>13</v>
      </c>
      <c r="C1626" s="6" t="str">
        <f t="shared" si="305"/>
        <v>628408700ASCREW, STANDARD, METRIC, M5, HEXALOBULAR INTERNAL48952584550920000</v>
      </c>
      <c r="D1626" s="7" t="s">
        <v>439</v>
      </c>
      <c r="E1626" s="6" t="s">
        <v>167</v>
      </c>
      <c r="F1626" s="6"/>
      <c r="G1626" s="7" t="s">
        <v>145</v>
      </c>
      <c r="H1626" s="19"/>
      <c r="I1626" s="19"/>
      <c r="J1626" s="19"/>
      <c r="K1626" s="19"/>
      <c r="L1626" s="14">
        <v>4895258</v>
      </c>
      <c r="M1626" s="22">
        <v>45509</v>
      </c>
      <c r="N1626" s="19" t="s">
        <v>180</v>
      </c>
      <c r="O1626" s="19" t="s">
        <v>333</v>
      </c>
      <c r="P1626" s="15">
        <v>20000</v>
      </c>
      <c r="Q1626" s="15">
        <v>105598.39999999999</v>
      </c>
      <c r="R1626" s="15">
        <v>87089400</v>
      </c>
      <c r="S1626" s="15">
        <v>15</v>
      </c>
      <c r="T1626" s="19" t="s">
        <v>387</v>
      </c>
      <c r="U1626" s="19" t="s">
        <v>178</v>
      </c>
      <c r="V1626" s="16">
        <f t="shared" si="321"/>
        <v>15839.759999999998</v>
      </c>
      <c r="W1626" s="16">
        <f t="shared" si="322"/>
        <v>1583.9759999999999</v>
      </c>
      <c r="X1626" s="16">
        <f t="shared" si="323"/>
        <v>17423.735999999997</v>
      </c>
      <c r="Y1626" s="16">
        <f t="shared" si="324"/>
        <v>0.87118679999999982</v>
      </c>
      <c r="Z1626" s="16">
        <f t="shared" si="325"/>
        <v>5.2799199999999997</v>
      </c>
      <c r="AA1626" s="17">
        <f t="shared" si="326"/>
        <v>20000</v>
      </c>
      <c r="AB1626" s="10">
        <v>20000</v>
      </c>
      <c r="AC1626" s="18">
        <f t="shared" si="327"/>
        <v>17423.735999999997</v>
      </c>
      <c r="AD1626" s="12">
        <f t="shared" si="303"/>
        <v>20000</v>
      </c>
      <c r="AE1626" s="13">
        <f t="shared" si="328"/>
        <v>0</v>
      </c>
    </row>
    <row r="1627" spans="1:31">
      <c r="A1627" s="6">
        <v>18</v>
      </c>
      <c r="B1627" s="6">
        <v>14</v>
      </c>
      <c r="C1627" s="6" t="str">
        <f t="shared" si="305"/>
        <v>628408700ASCREW, STANDARD, METRIC, M5, HEXALOBULAR INTERNAL56284784555125000</v>
      </c>
      <c r="D1627" s="7" t="s">
        <v>439</v>
      </c>
      <c r="E1627" s="6" t="s">
        <v>167</v>
      </c>
      <c r="F1627" s="6"/>
      <c r="G1627" s="7" t="s">
        <v>145</v>
      </c>
      <c r="H1627" s="19"/>
      <c r="I1627" s="19"/>
      <c r="J1627" s="19"/>
      <c r="K1627" s="19"/>
      <c r="L1627" s="14">
        <v>5628478</v>
      </c>
      <c r="M1627" s="22">
        <v>45551</v>
      </c>
      <c r="N1627" s="19" t="s">
        <v>180</v>
      </c>
      <c r="O1627" s="19" t="s">
        <v>333</v>
      </c>
      <c r="P1627" s="15">
        <v>25000</v>
      </c>
      <c r="Q1627" s="15">
        <v>132466.07</v>
      </c>
      <c r="R1627" s="15">
        <v>87089400</v>
      </c>
      <c r="S1627" s="15">
        <v>15</v>
      </c>
      <c r="T1627" s="19" t="s">
        <v>387</v>
      </c>
      <c r="U1627" s="19" t="s">
        <v>178</v>
      </c>
      <c r="V1627" s="16">
        <f t="shared" si="321"/>
        <v>19869.910500000002</v>
      </c>
      <c r="W1627" s="16">
        <f t="shared" si="322"/>
        <v>1986.9910500000003</v>
      </c>
      <c r="X1627" s="16">
        <f t="shared" si="323"/>
        <v>21856.901550000002</v>
      </c>
      <c r="Y1627" s="16">
        <f t="shared" si="324"/>
        <v>0.87427606200000008</v>
      </c>
      <c r="Z1627" s="16">
        <f t="shared" si="325"/>
        <v>5.2986428000000005</v>
      </c>
      <c r="AA1627" s="17">
        <f t="shared" si="326"/>
        <v>25000</v>
      </c>
      <c r="AB1627" s="10">
        <v>8740</v>
      </c>
      <c r="AC1627" s="18">
        <f t="shared" si="327"/>
        <v>7641.1727818800009</v>
      </c>
      <c r="AD1627" s="12">
        <f t="shared" si="303"/>
        <v>24920</v>
      </c>
      <c r="AE1627" s="13">
        <f t="shared" si="328"/>
        <v>80</v>
      </c>
    </row>
    <row r="1628" spans="1:31">
      <c r="A1628" s="6">
        <v>18</v>
      </c>
      <c r="B1628" s="6">
        <v>15</v>
      </c>
      <c r="C1628" s="6" t="str">
        <f t="shared" si="305"/>
        <v>608225700ASCREW,STD METRIIC HEXALOBULAR  M5 T25 12MM96111084530110000</v>
      </c>
      <c r="D1628" s="7" t="s">
        <v>439</v>
      </c>
      <c r="E1628" s="6" t="s">
        <v>169</v>
      </c>
      <c r="F1628" s="6"/>
      <c r="G1628" s="7" t="s">
        <v>147</v>
      </c>
      <c r="H1628" s="19"/>
      <c r="I1628" s="19"/>
      <c r="J1628" s="19"/>
      <c r="K1628" s="19"/>
      <c r="L1628" s="14">
        <v>9611108</v>
      </c>
      <c r="M1628" s="22">
        <v>45301</v>
      </c>
      <c r="N1628" s="19" t="s">
        <v>180</v>
      </c>
      <c r="O1628" s="19" t="s">
        <v>332</v>
      </c>
      <c r="P1628" s="15">
        <v>10000</v>
      </c>
      <c r="Q1628" s="15">
        <v>36913.120000000003</v>
      </c>
      <c r="R1628" s="15">
        <v>87089400</v>
      </c>
      <c r="S1628" s="15">
        <v>15</v>
      </c>
      <c r="T1628" s="19" t="s">
        <v>275</v>
      </c>
      <c r="U1628" s="19" t="s">
        <v>178</v>
      </c>
      <c r="V1628" s="16">
        <f t="shared" si="321"/>
        <v>5536.9679999999998</v>
      </c>
      <c r="W1628" s="16">
        <f t="shared" si="322"/>
        <v>553.69680000000005</v>
      </c>
      <c r="X1628" s="16">
        <f t="shared" si="323"/>
        <v>6090.6647999999996</v>
      </c>
      <c r="Y1628" s="16">
        <f t="shared" si="324"/>
        <v>0.60906647999999997</v>
      </c>
      <c r="Z1628" s="16">
        <f t="shared" si="325"/>
        <v>3.6913120000000004</v>
      </c>
      <c r="AA1628" s="17">
        <f t="shared" si="326"/>
        <v>10000</v>
      </c>
      <c r="AB1628" s="10">
        <v>1196</v>
      </c>
      <c r="AC1628" s="18">
        <f t="shared" si="327"/>
        <v>728.44351008000001</v>
      </c>
      <c r="AD1628" s="12">
        <f t="shared" si="303"/>
        <v>10000</v>
      </c>
      <c r="AE1628" s="13">
        <f t="shared" si="328"/>
        <v>0</v>
      </c>
    </row>
    <row r="1629" spans="1:31">
      <c r="A1629" s="6">
        <v>18</v>
      </c>
      <c r="B1629" s="6">
        <v>16</v>
      </c>
      <c r="C1629" s="6" t="str">
        <f t="shared" si="305"/>
        <v>608225700ASCREW,STD METRIIC HEXALOBULAR  M5 T25 12MM66767534561055000</v>
      </c>
      <c r="D1629" s="7" t="s">
        <v>439</v>
      </c>
      <c r="E1629" s="6" t="s">
        <v>169</v>
      </c>
      <c r="F1629" s="6"/>
      <c r="G1629" s="7" t="s">
        <v>147</v>
      </c>
      <c r="H1629" s="19"/>
      <c r="I1629" s="19"/>
      <c r="J1629" s="19"/>
      <c r="K1629" s="19"/>
      <c r="L1629" s="14">
        <v>6676753</v>
      </c>
      <c r="M1629" s="22">
        <v>45610</v>
      </c>
      <c r="N1629" s="19" t="s">
        <v>189</v>
      </c>
      <c r="O1629" s="19" t="s">
        <v>333</v>
      </c>
      <c r="P1629" s="15">
        <v>55000</v>
      </c>
      <c r="Q1629" s="15">
        <v>182574.3</v>
      </c>
      <c r="R1629" s="15">
        <v>87089400</v>
      </c>
      <c r="S1629" s="15">
        <v>15</v>
      </c>
      <c r="T1629" s="19" t="s">
        <v>393</v>
      </c>
      <c r="U1629" s="19" t="s">
        <v>178</v>
      </c>
      <c r="V1629" s="16">
        <f t="shared" si="321"/>
        <v>27386.144999999997</v>
      </c>
      <c r="W1629" s="16">
        <f t="shared" si="322"/>
        <v>2738.6144999999997</v>
      </c>
      <c r="X1629" s="16">
        <f t="shared" si="323"/>
        <v>30124.759499999996</v>
      </c>
      <c r="Y1629" s="16">
        <f t="shared" si="324"/>
        <v>0.5477228999999999</v>
      </c>
      <c r="Z1629" s="16">
        <f t="shared" si="325"/>
        <v>3.3195327272727271</v>
      </c>
      <c r="AA1629" s="17">
        <f t="shared" si="326"/>
        <v>55000</v>
      </c>
      <c r="AB1629" s="10">
        <v>17964</v>
      </c>
      <c r="AC1629" s="18">
        <f t="shared" si="327"/>
        <v>9839.2941755999982</v>
      </c>
      <c r="AD1629" s="12">
        <f t="shared" si="303"/>
        <v>54960</v>
      </c>
      <c r="AE1629" s="13">
        <f t="shared" si="328"/>
        <v>40</v>
      </c>
    </row>
    <row r="1630" spans="1:31">
      <c r="A1630" s="6">
        <v>18</v>
      </c>
      <c r="B1630" s="6">
        <v>17</v>
      </c>
      <c r="C1630" s="6" t="str">
        <f t="shared" si="305"/>
        <v>651166400CSPRING, COIL, UPPER 60650984557650000</v>
      </c>
      <c r="D1630" s="7" t="s">
        <v>439</v>
      </c>
      <c r="E1630" s="6" t="s">
        <v>170</v>
      </c>
      <c r="F1630" s="6"/>
      <c r="G1630" s="7" t="s">
        <v>148</v>
      </c>
      <c r="H1630" s="19"/>
      <c r="I1630" s="19"/>
      <c r="J1630" s="19"/>
      <c r="K1630" s="19"/>
      <c r="L1630" s="14">
        <v>6065098</v>
      </c>
      <c r="M1630" s="22">
        <v>45576</v>
      </c>
      <c r="N1630" s="19" t="s">
        <v>189</v>
      </c>
      <c r="O1630" s="19" t="s">
        <v>333</v>
      </c>
      <c r="P1630" s="15">
        <v>50000</v>
      </c>
      <c r="Q1630" s="15">
        <v>94566.97</v>
      </c>
      <c r="R1630" s="15">
        <v>87089500</v>
      </c>
      <c r="S1630" s="15">
        <v>15</v>
      </c>
      <c r="T1630" s="19" t="s">
        <v>386</v>
      </c>
      <c r="U1630" s="19" t="s">
        <v>178</v>
      </c>
      <c r="V1630" s="16">
        <f t="shared" si="321"/>
        <v>14185.0455</v>
      </c>
      <c r="W1630" s="16">
        <f t="shared" si="322"/>
        <v>1418.5045500000001</v>
      </c>
      <c r="X1630" s="16">
        <f t="shared" si="323"/>
        <v>15603.55005</v>
      </c>
      <c r="Y1630" s="16">
        <f t="shared" si="324"/>
        <v>0.31207100100000001</v>
      </c>
      <c r="Z1630" s="16">
        <f t="shared" si="325"/>
        <v>1.8913394000000001</v>
      </c>
      <c r="AA1630" s="17">
        <f t="shared" si="326"/>
        <v>50000</v>
      </c>
      <c r="AB1630" s="10">
        <v>8600</v>
      </c>
      <c r="AC1630" s="18">
        <f t="shared" si="327"/>
        <v>2683.8106086000003</v>
      </c>
      <c r="AD1630" s="12">
        <f t="shared" si="303"/>
        <v>50000</v>
      </c>
      <c r="AE1630" s="13">
        <f t="shared" si="328"/>
        <v>0</v>
      </c>
    </row>
    <row r="1631" spans="1:31">
      <c r="A1631" s="6">
        <v>18</v>
      </c>
      <c r="B1631" s="6">
        <v>18</v>
      </c>
      <c r="C1631" s="6" t="str">
        <f t="shared" si="305"/>
        <v>651166400CSPRING, COIL, UPPER 67696774561645000</v>
      </c>
      <c r="D1631" s="7" t="s">
        <v>439</v>
      </c>
      <c r="E1631" s="6" t="s">
        <v>170</v>
      </c>
      <c r="F1631" s="6"/>
      <c r="G1631" s="7" t="s">
        <v>148</v>
      </c>
      <c r="H1631" s="19"/>
      <c r="I1631" s="19"/>
      <c r="J1631" s="19"/>
      <c r="K1631" s="19"/>
      <c r="L1631" s="14">
        <v>6769677</v>
      </c>
      <c r="M1631" s="22">
        <v>45616</v>
      </c>
      <c r="N1631" s="19" t="s">
        <v>189</v>
      </c>
      <c r="O1631" s="19" t="s">
        <v>333</v>
      </c>
      <c r="P1631" s="15">
        <v>45000</v>
      </c>
      <c r="Q1631" s="15">
        <v>85565.71</v>
      </c>
      <c r="R1631" s="15">
        <v>87089500</v>
      </c>
      <c r="S1631" s="15">
        <v>15</v>
      </c>
      <c r="T1631" s="19" t="s">
        <v>386</v>
      </c>
      <c r="U1631" s="19" t="s">
        <v>178</v>
      </c>
      <c r="V1631" s="16">
        <f t="shared" si="321"/>
        <v>12834.8565</v>
      </c>
      <c r="W1631" s="16">
        <f t="shared" si="322"/>
        <v>1283.4856500000001</v>
      </c>
      <c r="X1631" s="16">
        <f t="shared" si="323"/>
        <v>14118.34215</v>
      </c>
      <c r="Y1631" s="16">
        <f t="shared" si="324"/>
        <v>0.31374093666666669</v>
      </c>
      <c r="Z1631" s="16">
        <f t="shared" si="325"/>
        <v>1.9014602222222223</v>
      </c>
      <c r="AA1631" s="17">
        <f t="shared" si="326"/>
        <v>45000</v>
      </c>
      <c r="AB1631" s="10">
        <v>20140</v>
      </c>
      <c r="AC1631" s="18">
        <f t="shared" si="327"/>
        <v>6318.7424644666671</v>
      </c>
      <c r="AD1631" s="12">
        <f t="shared" ref="AD1631:AD1694" si="329">SUMIF($C$2:$C$2284,C1631,$AB$2:$AB$2284)</f>
        <v>38068</v>
      </c>
      <c r="AE1631" s="13">
        <f t="shared" si="328"/>
        <v>6932</v>
      </c>
    </row>
    <row r="1632" spans="1:31">
      <c r="A1632" s="6">
        <v>18</v>
      </c>
      <c r="B1632" s="6">
        <v>19</v>
      </c>
      <c r="C1632" s="6" t="str">
        <f t="shared" si="305"/>
        <v>609183701ASTUD, M6 X 1.0, 16.0561310344974140000</v>
      </c>
      <c r="D1632" s="7" t="s">
        <v>439</v>
      </c>
      <c r="E1632" s="6" t="s">
        <v>51</v>
      </c>
      <c r="F1632" s="6"/>
      <c r="G1632" s="7" t="s">
        <v>411</v>
      </c>
      <c r="H1632" s="19"/>
      <c r="I1632" s="19"/>
      <c r="J1632" s="19"/>
      <c r="K1632" s="19"/>
      <c r="L1632" s="14">
        <v>5613103</v>
      </c>
      <c r="M1632" s="22">
        <v>44974</v>
      </c>
      <c r="N1632" s="19" t="s">
        <v>185</v>
      </c>
      <c r="O1632" s="19" t="s">
        <v>332</v>
      </c>
      <c r="P1632" s="15">
        <v>140000</v>
      </c>
      <c r="Q1632" s="15">
        <v>402663.89</v>
      </c>
      <c r="R1632" s="15">
        <v>87082900</v>
      </c>
      <c r="S1632" s="15">
        <v>15</v>
      </c>
      <c r="T1632" s="19" t="s">
        <v>304</v>
      </c>
      <c r="U1632" s="19" t="s">
        <v>178</v>
      </c>
      <c r="V1632" s="16">
        <f t="shared" si="321"/>
        <v>60399.583500000001</v>
      </c>
      <c r="W1632" s="16">
        <f t="shared" si="322"/>
        <v>6039.9583500000008</v>
      </c>
      <c r="X1632" s="16">
        <f t="shared" si="323"/>
        <v>66439.541850000009</v>
      </c>
      <c r="Y1632" s="16">
        <f t="shared" si="324"/>
        <v>0.47456815607142866</v>
      </c>
      <c r="Z1632" s="16">
        <f t="shared" si="325"/>
        <v>2.8761706428571427</v>
      </c>
      <c r="AA1632" s="17">
        <f t="shared" si="326"/>
        <v>140000</v>
      </c>
      <c r="AB1632" s="10">
        <v>6912</v>
      </c>
      <c r="AC1632" s="18">
        <f t="shared" si="327"/>
        <v>3280.2150947657151</v>
      </c>
      <c r="AD1632" s="12">
        <f t="shared" si="329"/>
        <v>140000</v>
      </c>
      <c r="AE1632" s="13">
        <f t="shared" si="328"/>
        <v>0</v>
      </c>
    </row>
    <row r="1633" spans="1:33">
      <c r="A1633" s="6">
        <v>18</v>
      </c>
      <c r="B1633" s="6">
        <v>20</v>
      </c>
      <c r="C1633" s="6" t="str">
        <f t="shared" si="305"/>
        <v>616531900ARING, CRIMP, CLAMP, BAND95511574529740000</v>
      </c>
      <c r="D1633" s="7" t="s">
        <v>439</v>
      </c>
      <c r="E1633" s="6" t="s">
        <v>52</v>
      </c>
      <c r="F1633" s="6"/>
      <c r="G1633" s="7" t="s">
        <v>410</v>
      </c>
      <c r="H1633" s="19"/>
      <c r="I1633" s="19"/>
      <c r="J1633" s="19"/>
      <c r="K1633" s="19"/>
      <c r="L1633" s="14">
        <v>9551157</v>
      </c>
      <c r="M1633" s="22">
        <v>45297</v>
      </c>
      <c r="N1633" s="19" t="s">
        <v>196</v>
      </c>
      <c r="O1633" s="19" t="s">
        <v>333</v>
      </c>
      <c r="P1633" s="15">
        <v>40000</v>
      </c>
      <c r="Q1633" s="15">
        <v>781226.49</v>
      </c>
      <c r="R1633" s="15">
        <v>87089500</v>
      </c>
      <c r="S1633" s="15">
        <v>15</v>
      </c>
      <c r="T1633" s="19" t="s">
        <v>364</v>
      </c>
      <c r="U1633" s="19" t="s">
        <v>178</v>
      </c>
      <c r="V1633" s="16">
        <f t="shared" si="321"/>
        <v>117183.97349999999</v>
      </c>
      <c r="W1633" s="16">
        <f t="shared" si="322"/>
        <v>11718.397349999999</v>
      </c>
      <c r="X1633" s="16">
        <f t="shared" si="323"/>
        <v>128902.37084999999</v>
      </c>
      <c r="Y1633" s="16">
        <f t="shared" si="324"/>
        <v>3.2225592712499997</v>
      </c>
      <c r="Z1633" s="16">
        <f t="shared" si="325"/>
        <v>19.530662249999999</v>
      </c>
      <c r="AA1633" s="17">
        <f t="shared" si="326"/>
        <v>40000</v>
      </c>
      <c r="AB1633" s="10">
        <v>3456</v>
      </c>
      <c r="AC1633" s="18">
        <f t="shared" si="327"/>
        <v>11137.164841439999</v>
      </c>
      <c r="AD1633" s="12">
        <f t="shared" si="329"/>
        <v>38592</v>
      </c>
      <c r="AE1633" s="13">
        <f t="shared" si="328"/>
        <v>1408</v>
      </c>
    </row>
    <row r="1634" spans="1:33">
      <c r="A1634" s="6">
        <v>18</v>
      </c>
      <c r="B1634" s="6">
        <v>21</v>
      </c>
      <c r="C1634" s="6" t="str">
        <f t="shared" si="305"/>
        <v>625090202BTAPE, IC, CONTINUOUS, 13.0 MM., PET 3M 842196603534476311700</v>
      </c>
      <c r="D1634" s="7" t="s">
        <v>439</v>
      </c>
      <c r="E1634" s="6" t="s">
        <v>128</v>
      </c>
      <c r="F1634" s="6"/>
      <c r="G1634" s="19" t="s">
        <v>103</v>
      </c>
      <c r="H1634" s="19"/>
      <c r="I1634" s="19"/>
      <c r="J1634" s="19"/>
      <c r="K1634" s="19"/>
      <c r="L1634" s="14">
        <v>9660353</v>
      </c>
      <c r="M1634" s="22">
        <v>44763</v>
      </c>
      <c r="N1634" s="19" t="s">
        <v>196</v>
      </c>
      <c r="O1634" s="19" t="s">
        <v>333</v>
      </c>
      <c r="P1634" s="15">
        <v>11700</v>
      </c>
      <c r="Q1634" s="15">
        <v>147455.71</v>
      </c>
      <c r="R1634" s="15">
        <v>87089500</v>
      </c>
      <c r="S1634" s="15">
        <v>15</v>
      </c>
      <c r="T1634" s="19" t="s">
        <v>228</v>
      </c>
      <c r="U1634" s="19" t="s">
        <v>178</v>
      </c>
      <c r="V1634" s="16">
        <f t="shared" si="321"/>
        <v>22118.356499999998</v>
      </c>
      <c r="W1634" s="16">
        <f t="shared" si="322"/>
        <v>2211.83565</v>
      </c>
      <c r="X1634" s="16">
        <f t="shared" si="323"/>
        <v>24330.192149999999</v>
      </c>
      <c r="Y1634" s="16">
        <f t="shared" si="324"/>
        <v>2.0795036025641025</v>
      </c>
      <c r="Z1634" s="16">
        <f t="shared" si="325"/>
        <v>12.603052136752137</v>
      </c>
      <c r="AA1634" s="17">
        <f t="shared" si="326"/>
        <v>11700</v>
      </c>
      <c r="AB1634" s="10">
        <v>1589.7600000000002</v>
      </c>
      <c r="AC1634" s="18">
        <f t="shared" si="327"/>
        <v>3305.9116472123083</v>
      </c>
      <c r="AD1634" s="12">
        <f t="shared" si="329"/>
        <v>5418.24</v>
      </c>
      <c r="AE1634" s="13">
        <f t="shared" si="328"/>
        <v>6281.76</v>
      </c>
    </row>
    <row r="1635" spans="1:33">
      <c r="A1635" s="6">
        <v>18</v>
      </c>
      <c r="B1635" s="6">
        <v>22</v>
      </c>
      <c r="C1635" s="6" t="str">
        <f t="shared" si="305"/>
        <v>649421100AINFLATOR, ASP-5.1, P20, SRR, IMI, SERV, NO STUDS65265414560212096</v>
      </c>
      <c r="D1635" s="7" t="s">
        <v>439</v>
      </c>
      <c r="E1635" s="6" t="s">
        <v>469</v>
      </c>
      <c r="F1635" s="6"/>
      <c r="G1635" s="7" t="s">
        <v>16</v>
      </c>
      <c r="H1635" s="19"/>
      <c r="I1635" s="19"/>
      <c r="J1635" s="19"/>
      <c r="K1635" s="19"/>
      <c r="L1635" s="14">
        <v>6526541</v>
      </c>
      <c r="M1635" s="22">
        <v>45602</v>
      </c>
      <c r="N1635" s="19" t="s">
        <v>185</v>
      </c>
      <c r="O1635" s="19" t="s">
        <v>332</v>
      </c>
      <c r="P1635" s="15">
        <v>12096</v>
      </c>
      <c r="Q1635" s="15">
        <v>2275845.88</v>
      </c>
      <c r="R1635" s="15">
        <v>87089500</v>
      </c>
      <c r="S1635" s="15">
        <v>15</v>
      </c>
      <c r="T1635" s="19" t="s">
        <v>388</v>
      </c>
      <c r="U1635" s="19" t="s">
        <v>178</v>
      </c>
      <c r="V1635" s="16">
        <f t="shared" si="321"/>
        <v>341376.88199999998</v>
      </c>
      <c r="W1635" s="16">
        <f t="shared" si="322"/>
        <v>34137.688199999997</v>
      </c>
      <c r="X1635" s="16">
        <f t="shared" si="323"/>
        <v>375514.57019999996</v>
      </c>
      <c r="Y1635" s="16">
        <f t="shared" si="324"/>
        <v>31.044524652777774</v>
      </c>
      <c r="Z1635" s="16">
        <f t="shared" si="325"/>
        <v>188.14863425925924</v>
      </c>
      <c r="AA1635" s="17">
        <f t="shared" si="326"/>
        <v>12096</v>
      </c>
      <c r="AB1635" s="10">
        <v>5760</v>
      </c>
      <c r="AC1635" s="18">
        <f t="shared" si="327"/>
        <v>178816.46199999997</v>
      </c>
      <c r="AD1635" s="12">
        <f t="shared" si="329"/>
        <v>11424</v>
      </c>
      <c r="AE1635" s="13">
        <f t="shared" si="328"/>
        <v>672</v>
      </c>
    </row>
    <row r="1636" spans="1:33">
      <c r="A1636" s="6">
        <v>18</v>
      </c>
      <c r="B1636" s="6">
        <v>23</v>
      </c>
      <c r="C1636" s="6" t="str">
        <f t="shared" si="305"/>
        <v>656334800FCushion ICAB FI 2 Row C KSID, ASP5.1, BUTTON HOL4167367454681200</v>
      </c>
      <c r="D1636" s="7" t="s">
        <v>439</v>
      </c>
      <c r="E1636" s="6" t="s">
        <v>131</v>
      </c>
      <c r="F1636" s="6"/>
      <c r="G1636" s="19" t="s">
        <v>104</v>
      </c>
      <c r="H1636" s="19"/>
      <c r="I1636" s="19"/>
      <c r="J1636" s="19"/>
      <c r="K1636" s="19"/>
      <c r="L1636" s="14">
        <v>4167367</v>
      </c>
      <c r="M1636" s="22">
        <v>45468</v>
      </c>
      <c r="N1636" s="19" t="s">
        <v>197</v>
      </c>
      <c r="O1636" s="19" t="s">
        <v>333</v>
      </c>
      <c r="P1636" s="15">
        <v>1200</v>
      </c>
      <c r="Q1636" s="15">
        <v>781179.94</v>
      </c>
      <c r="R1636" s="15">
        <v>87089900</v>
      </c>
      <c r="S1636" s="15">
        <v>5</v>
      </c>
      <c r="T1636" s="19" t="s">
        <v>363</v>
      </c>
      <c r="U1636" s="19" t="s">
        <v>200</v>
      </c>
      <c r="V1636" s="16">
        <f t="shared" si="321"/>
        <v>39058.996999999996</v>
      </c>
      <c r="W1636" s="16">
        <f t="shared" si="322"/>
        <v>3905.8996999999999</v>
      </c>
      <c r="X1636" s="16">
        <f t="shared" si="323"/>
        <v>42964.896699999998</v>
      </c>
      <c r="Y1636" s="16">
        <f t="shared" si="324"/>
        <v>35.804080583333331</v>
      </c>
      <c r="Z1636" s="16">
        <f t="shared" si="325"/>
        <v>650.98328333333325</v>
      </c>
      <c r="AA1636" s="17">
        <f t="shared" si="326"/>
        <v>1200</v>
      </c>
      <c r="AB1636" s="10">
        <v>1152</v>
      </c>
      <c r="AC1636" s="18">
        <f t="shared" si="327"/>
        <v>41246.300831999994</v>
      </c>
      <c r="AD1636" s="12">
        <f t="shared" si="329"/>
        <v>2340</v>
      </c>
      <c r="AE1636" s="13">
        <v>0</v>
      </c>
    </row>
    <row r="1637" spans="1:33">
      <c r="A1637" s="6">
        <v>18</v>
      </c>
      <c r="B1637" s="6">
        <v>24</v>
      </c>
      <c r="C1637" s="6" t="str">
        <f t="shared" si="305"/>
        <v>6242999AABFELT, OTHER OTHER7901235451922400</v>
      </c>
      <c r="D1637" s="7" t="s">
        <v>439</v>
      </c>
      <c r="E1637" s="6" t="s">
        <v>127</v>
      </c>
      <c r="F1637" s="6"/>
      <c r="G1637" s="19" t="s">
        <v>105</v>
      </c>
      <c r="H1637" s="19"/>
      <c r="I1637" s="19"/>
      <c r="J1637" s="19"/>
      <c r="K1637" s="19"/>
      <c r="L1637" s="14">
        <v>7901235</v>
      </c>
      <c r="M1637" s="22">
        <v>45192</v>
      </c>
      <c r="N1637" s="19" t="s">
        <v>196</v>
      </c>
      <c r="O1637" s="19" t="s">
        <v>333</v>
      </c>
      <c r="P1637" s="15">
        <v>2400</v>
      </c>
      <c r="Q1637" s="15">
        <v>32673.27</v>
      </c>
      <c r="R1637" s="15">
        <v>87082900</v>
      </c>
      <c r="S1637" s="15">
        <v>15</v>
      </c>
      <c r="T1637" s="19" t="s">
        <v>343</v>
      </c>
      <c r="U1637" s="19" t="s">
        <v>178</v>
      </c>
      <c r="V1637" s="16">
        <f t="shared" si="321"/>
        <v>4900.9904999999999</v>
      </c>
      <c r="W1637" s="16">
        <f t="shared" si="322"/>
        <v>490.09905000000003</v>
      </c>
      <c r="X1637" s="16">
        <f t="shared" si="323"/>
        <v>5391.0895499999997</v>
      </c>
      <c r="Y1637" s="16">
        <f t="shared" si="324"/>
        <v>2.2462873124999998</v>
      </c>
      <c r="Z1637" s="16">
        <f t="shared" si="325"/>
        <v>13.6138625</v>
      </c>
      <c r="AA1637" s="17">
        <f t="shared" si="326"/>
        <v>2400</v>
      </c>
      <c r="AB1637" s="10">
        <v>576</v>
      </c>
      <c r="AC1637" s="18">
        <f t="shared" si="327"/>
        <v>1293.861492</v>
      </c>
      <c r="AD1637" s="12">
        <f t="shared" si="329"/>
        <v>2196.48</v>
      </c>
      <c r="AE1637" s="13">
        <f t="shared" si="328"/>
        <v>203.51999999999998</v>
      </c>
    </row>
    <row r="1638" spans="1:33">
      <c r="A1638" s="6">
        <v>18</v>
      </c>
      <c r="B1638" s="6">
        <v>25</v>
      </c>
      <c r="C1638" s="6" t="str">
        <f t="shared" si="305"/>
        <v>649421000AAB INFLATOR, ASP-5.1, P20, SRR, IMI, SERV, NO STUDS97125144530913824</v>
      </c>
      <c r="D1638" s="7" t="s">
        <v>439</v>
      </c>
      <c r="E1638" s="6" t="s">
        <v>56</v>
      </c>
      <c r="F1638" s="6"/>
      <c r="G1638" s="7" t="s">
        <v>245</v>
      </c>
      <c r="H1638" s="19"/>
      <c r="I1638" s="19"/>
      <c r="J1638" s="19"/>
      <c r="K1638" s="19"/>
      <c r="L1638" s="14">
        <v>9712514</v>
      </c>
      <c r="M1638" s="22">
        <v>45309</v>
      </c>
      <c r="N1638" s="19" t="s">
        <v>197</v>
      </c>
      <c r="O1638" s="19" t="s">
        <v>333</v>
      </c>
      <c r="P1638" s="15">
        <v>13824</v>
      </c>
      <c r="Q1638" s="15">
        <v>2091482.84</v>
      </c>
      <c r="R1638" s="15">
        <v>87089500</v>
      </c>
      <c r="S1638" s="15">
        <v>15</v>
      </c>
      <c r="T1638" s="19" t="s">
        <v>380</v>
      </c>
      <c r="U1638" s="19" t="s">
        <v>200</v>
      </c>
      <c r="V1638" s="16">
        <f t="shared" si="321"/>
        <v>313722.42599999998</v>
      </c>
      <c r="W1638" s="16">
        <f t="shared" si="322"/>
        <v>31372.242599999998</v>
      </c>
      <c r="X1638" s="16">
        <f t="shared" si="323"/>
        <v>345094.66859999998</v>
      </c>
      <c r="Y1638" s="16">
        <f t="shared" si="324"/>
        <v>24.963445355902778</v>
      </c>
      <c r="Z1638" s="16">
        <f t="shared" si="325"/>
        <v>151.29360821759261</v>
      </c>
      <c r="AA1638" s="17">
        <f t="shared" si="326"/>
        <v>13824</v>
      </c>
      <c r="AB1638" s="10">
        <v>5184</v>
      </c>
      <c r="AC1638" s="18">
        <f t="shared" si="327"/>
        <v>129410.50072500001</v>
      </c>
      <c r="AD1638" s="12">
        <f t="shared" si="329"/>
        <v>11712</v>
      </c>
      <c r="AE1638" s="13">
        <f t="shared" si="328"/>
        <v>2112</v>
      </c>
      <c r="AG1638" s="25"/>
    </row>
    <row r="1639" spans="1:33">
      <c r="A1639" s="6">
        <v>18</v>
      </c>
      <c r="B1639" s="6">
        <v>26</v>
      </c>
      <c r="C1639" s="6" t="str">
        <f t="shared" si="305"/>
        <v>656334900FAB Cushion ICAB FI 2 Row C KSID, ASP5.1, BUTTON HOL4167367454681380</v>
      </c>
      <c r="D1639" s="7" t="s">
        <v>439</v>
      </c>
      <c r="E1639" s="6" t="s">
        <v>474</v>
      </c>
      <c r="F1639" s="6"/>
      <c r="G1639" s="19" t="s">
        <v>243</v>
      </c>
      <c r="H1639" s="19"/>
      <c r="I1639" s="19"/>
      <c r="J1639" s="19"/>
      <c r="K1639" s="19"/>
      <c r="L1639" s="14">
        <v>4167367</v>
      </c>
      <c r="M1639" s="22">
        <v>45468</v>
      </c>
      <c r="N1639" s="19" t="s">
        <v>197</v>
      </c>
      <c r="O1639" s="19" t="s">
        <v>333</v>
      </c>
      <c r="P1639" s="15">
        <v>1380</v>
      </c>
      <c r="Q1639" s="15">
        <v>898356.94</v>
      </c>
      <c r="R1639" s="15">
        <v>87089900</v>
      </c>
      <c r="S1639" s="15">
        <v>5</v>
      </c>
      <c r="T1639" s="19" t="s">
        <v>363</v>
      </c>
      <c r="U1639" s="19" t="s">
        <v>178</v>
      </c>
      <c r="V1639" s="16">
        <f t="shared" si="321"/>
        <v>44917.847000000002</v>
      </c>
      <c r="W1639" s="16">
        <f t="shared" si="322"/>
        <v>4491.7847000000002</v>
      </c>
      <c r="X1639" s="16">
        <f t="shared" si="323"/>
        <v>49409.631699999998</v>
      </c>
      <c r="Y1639" s="16">
        <f t="shared" si="324"/>
        <v>35.804080942028982</v>
      </c>
      <c r="Z1639" s="16">
        <f t="shared" si="325"/>
        <v>650.98328985507237</v>
      </c>
      <c r="AA1639" s="17">
        <f t="shared" si="326"/>
        <v>1380</v>
      </c>
      <c r="AB1639" s="10">
        <v>576</v>
      </c>
      <c r="AC1639" s="18">
        <f t="shared" si="327"/>
        <v>20623.150622608693</v>
      </c>
      <c r="AD1639" s="12">
        <f t="shared" si="329"/>
        <v>1152</v>
      </c>
      <c r="AE1639" s="13">
        <f t="shared" si="328"/>
        <v>228</v>
      </c>
    </row>
    <row r="1640" spans="1:33">
      <c r="A1640" s="6">
        <v>18</v>
      </c>
      <c r="B1640" s="6">
        <v>27</v>
      </c>
      <c r="C1640" s="6" t="str">
        <f t="shared" si="305"/>
        <v>621343500CNUT, ISO, M5, NYLON INSE NYLON INSERT2175457453381105000</v>
      </c>
      <c r="D1640" s="7" t="s">
        <v>439</v>
      </c>
      <c r="E1640" s="6" t="s">
        <v>45</v>
      </c>
      <c r="F1640" s="6"/>
      <c r="G1640" s="7" t="s">
        <v>7</v>
      </c>
      <c r="H1640" s="19"/>
      <c r="I1640" s="19"/>
      <c r="J1640" s="19"/>
      <c r="K1640" s="19"/>
      <c r="L1640" s="14">
        <v>2175457</v>
      </c>
      <c r="M1640" s="22">
        <v>45338</v>
      </c>
      <c r="N1640" s="19" t="s">
        <v>182</v>
      </c>
      <c r="O1640" s="19" t="s">
        <v>333</v>
      </c>
      <c r="P1640" s="15">
        <v>1105000</v>
      </c>
      <c r="Q1640" s="15">
        <v>1881273.11</v>
      </c>
      <c r="R1640" s="15">
        <v>87089500</v>
      </c>
      <c r="S1640" s="15">
        <v>15</v>
      </c>
      <c r="T1640" s="19" t="s">
        <v>404</v>
      </c>
      <c r="U1640" s="19" t="s">
        <v>178</v>
      </c>
      <c r="V1640" s="16">
        <f t="shared" si="321"/>
        <v>282190.96649999998</v>
      </c>
      <c r="W1640" s="16">
        <f t="shared" si="322"/>
        <v>28219.096649999999</v>
      </c>
      <c r="X1640" s="16">
        <f t="shared" si="323"/>
        <v>310410.06315</v>
      </c>
      <c r="Y1640" s="16">
        <f t="shared" si="324"/>
        <v>0.28091408429864251</v>
      </c>
      <c r="Z1640" s="16">
        <f t="shared" si="325"/>
        <v>1.7025096018099548</v>
      </c>
      <c r="AA1640" s="17">
        <f t="shared" si="326"/>
        <v>1105000</v>
      </c>
      <c r="AB1640" s="10">
        <v>72504</v>
      </c>
      <c r="AC1640" s="18">
        <f t="shared" si="327"/>
        <v>20367.394767988775</v>
      </c>
      <c r="AD1640" s="12">
        <f t="shared" si="329"/>
        <v>375112</v>
      </c>
      <c r="AE1640" s="13">
        <f t="shared" si="328"/>
        <v>729888</v>
      </c>
    </row>
    <row r="1641" spans="1:33">
      <c r="A1641" s="6">
        <v>18</v>
      </c>
      <c r="B1641" s="6">
        <v>28</v>
      </c>
      <c r="C1641" s="6" t="str">
        <f t="shared" si="305"/>
        <v>643302000AINFLATOR, ADP-1.3B, MP, MIB, SQUARE, NO STUD55141074554512960</v>
      </c>
      <c r="D1641" s="7" t="s">
        <v>439</v>
      </c>
      <c r="E1641" s="6" t="s">
        <v>46</v>
      </c>
      <c r="F1641" s="6"/>
      <c r="G1641" s="7" t="s">
        <v>8</v>
      </c>
      <c r="H1641" s="19"/>
      <c r="I1641" s="19"/>
      <c r="J1641" s="19"/>
      <c r="K1641" s="19"/>
      <c r="L1641" s="14">
        <v>5514107</v>
      </c>
      <c r="M1641" s="22">
        <v>45545</v>
      </c>
      <c r="N1641" s="19" t="s">
        <v>197</v>
      </c>
      <c r="O1641" s="19" t="s">
        <v>333</v>
      </c>
      <c r="P1641" s="15">
        <v>12960</v>
      </c>
      <c r="Q1641" s="15">
        <v>4565704.08</v>
      </c>
      <c r="R1641" s="15">
        <v>87089500</v>
      </c>
      <c r="S1641" s="15">
        <v>15</v>
      </c>
      <c r="T1641" s="19" t="s">
        <v>428</v>
      </c>
      <c r="U1641" s="19" t="s">
        <v>200</v>
      </c>
      <c r="V1641" s="16">
        <f t="shared" si="321"/>
        <v>684855.61199999996</v>
      </c>
      <c r="W1641" s="16">
        <f t="shared" si="322"/>
        <v>68485.561199999996</v>
      </c>
      <c r="X1641" s="16">
        <f t="shared" si="323"/>
        <v>753341.17319999996</v>
      </c>
      <c r="Y1641" s="16">
        <f t="shared" si="324"/>
        <v>58.128176944444441</v>
      </c>
      <c r="Z1641" s="16">
        <f t="shared" si="325"/>
        <v>352.29198148148151</v>
      </c>
      <c r="AA1641" s="17">
        <f t="shared" si="326"/>
        <v>12960</v>
      </c>
      <c r="AB1641" s="10">
        <v>8388</v>
      </c>
      <c r="AC1641" s="18">
        <f t="shared" si="327"/>
        <v>487579.14820999996</v>
      </c>
      <c r="AD1641" s="12">
        <f t="shared" si="329"/>
        <v>12606</v>
      </c>
      <c r="AE1641" s="13">
        <f t="shared" si="328"/>
        <v>354</v>
      </c>
    </row>
    <row r="1642" spans="1:33">
      <c r="A1642" s="6">
        <v>18</v>
      </c>
      <c r="B1642" s="6">
        <v>29</v>
      </c>
      <c r="C1642" s="6" t="str">
        <f t="shared" si="305"/>
        <v>560050622CCHANNEL, BUCKLE, K12 ROA K12A/AT, RIVET BUCKLE, S490021945510145600</v>
      </c>
      <c r="D1642" s="7" t="s">
        <v>439</v>
      </c>
      <c r="E1642" s="6" t="s">
        <v>72</v>
      </c>
      <c r="F1642" s="6"/>
      <c r="G1642" s="7" t="s">
        <v>32</v>
      </c>
      <c r="H1642" s="19"/>
      <c r="I1642" s="19"/>
      <c r="J1642" s="19"/>
      <c r="K1642" s="19"/>
      <c r="L1642" s="14">
        <v>4900219</v>
      </c>
      <c r="M1642" s="22">
        <v>45510</v>
      </c>
      <c r="N1642" s="19" t="s">
        <v>197</v>
      </c>
      <c r="O1642" s="19" t="s">
        <v>333</v>
      </c>
      <c r="P1642" s="15">
        <v>145600</v>
      </c>
      <c r="Q1642" s="15">
        <v>2640438.61</v>
      </c>
      <c r="R1642" s="15">
        <v>87082900</v>
      </c>
      <c r="S1642" s="15">
        <v>15</v>
      </c>
      <c r="T1642" s="19" t="s">
        <v>429</v>
      </c>
      <c r="U1642" s="19" t="s">
        <v>178</v>
      </c>
      <c r="V1642" s="16">
        <f t="shared" si="321"/>
        <v>396065.79149999999</v>
      </c>
      <c r="W1642" s="16">
        <f t="shared" si="322"/>
        <v>39606.579150000005</v>
      </c>
      <c r="X1642" s="16">
        <f t="shared" si="323"/>
        <v>435672.37065</v>
      </c>
      <c r="Y1642" s="16">
        <f t="shared" si="324"/>
        <v>2.9922552929258242</v>
      </c>
      <c r="Z1642" s="16">
        <f t="shared" si="325"/>
        <v>18.134880563186812</v>
      </c>
      <c r="AA1642" s="17">
        <f t="shared" si="326"/>
        <v>145600</v>
      </c>
      <c r="AB1642" s="10">
        <v>5056</v>
      </c>
      <c r="AC1642" s="18">
        <f t="shared" si="327"/>
        <v>15128.842761032967</v>
      </c>
      <c r="AD1642" s="12">
        <f t="shared" si="329"/>
        <v>26816</v>
      </c>
      <c r="AE1642" s="13">
        <f t="shared" si="328"/>
        <v>118784</v>
      </c>
    </row>
    <row r="1643" spans="1:33">
      <c r="A1643" s="6">
        <v>18</v>
      </c>
      <c r="B1643" s="6">
        <v>30</v>
      </c>
      <c r="C1643" s="6" t="str">
        <f t="shared" si="305"/>
        <v>560130122ASPRING, WIRE, COMPRESSIO K12A/AT495151045028300000</v>
      </c>
      <c r="D1643" s="7" t="s">
        <v>439</v>
      </c>
      <c r="E1643" s="6" t="s">
        <v>73</v>
      </c>
      <c r="F1643" s="6"/>
      <c r="G1643" s="7" t="s">
        <v>33</v>
      </c>
      <c r="H1643" s="19"/>
      <c r="I1643" s="19"/>
      <c r="J1643" s="19"/>
      <c r="K1643" s="19"/>
      <c r="L1643" s="14">
        <v>4951510</v>
      </c>
      <c r="M1643" s="22">
        <v>45028</v>
      </c>
      <c r="N1643" s="19" t="s">
        <v>199</v>
      </c>
      <c r="O1643" s="19" t="s">
        <v>332</v>
      </c>
      <c r="P1643" s="15">
        <v>300000</v>
      </c>
      <c r="Q1643" s="15">
        <v>285155.93</v>
      </c>
      <c r="R1643" s="15">
        <v>87082900</v>
      </c>
      <c r="S1643" s="15">
        <v>15</v>
      </c>
      <c r="T1643" s="19" t="s">
        <v>319</v>
      </c>
      <c r="U1643" s="19" t="s">
        <v>178</v>
      </c>
      <c r="V1643" s="16">
        <f t="shared" si="321"/>
        <v>42773.389499999997</v>
      </c>
      <c r="W1643" s="16">
        <f t="shared" si="322"/>
        <v>4277.3389500000003</v>
      </c>
      <c r="X1643" s="16">
        <f t="shared" si="323"/>
        <v>47050.728449999995</v>
      </c>
      <c r="Y1643" s="16">
        <f t="shared" si="324"/>
        <v>0.15683576149999998</v>
      </c>
      <c r="Z1643" s="16">
        <f t="shared" si="325"/>
        <v>0.9505197666666666</v>
      </c>
      <c r="AA1643" s="17">
        <f t="shared" si="326"/>
        <v>300000</v>
      </c>
      <c r="AB1643" s="10">
        <v>5056</v>
      </c>
      <c r="AC1643" s="18">
        <f t="shared" si="327"/>
        <v>792.96161014399991</v>
      </c>
      <c r="AD1643" s="12">
        <f t="shared" si="329"/>
        <v>94048</v>
      </c>
      <c r="AE1643" s="13">
        <f t="shared" si="328"/>
        <v>205952</v>
      </c>
    </row>
    <row r="1644" spans="1:33">
      <c r="A1644" s="6">
        <v>18</v>
      </c>
      <c r="B1644" s="6">
        <v>31</v>
      </c>
      <c r="C1644" s="6" t="str">
        <f t="shared" si="305"/>
        <v>560762022ALATCH, BUCKLE, K12 ROADM K12A/AT, SILVER, LATCH W54569304493980000</v>
      </c>
      <c r="D1644" s="7" t="s">
        <v>439</v>
      </c>
      <c r="E1644" s="6" t="s">
        <v>74</v>
      </c>
      <c r="F1644" s="6"/>
      <c r="G1644" s="7" t="s">
        <v>34</v>
      </c>
      <c r="H1644" s="19"/>
      <c r="I1644" s="19"/>
      <c r="J1644" s="19"/>
      <c r="K1644" s="19"/>
      <c r="L1644" s="14">
        <v>5456930</v>
      </c>
      <c r="M1644" s="22">
        <v>44939</v>
      </c>
      <c r="N1644" s="19" t="s">
        <v>185</v>
      </c>
      <c r="O1644" s="19" t="s">
        <v>332</v>
      </c>
      <c r="P1644" s="15">
        <v>80000</v>
      </c>
      <c r="Q1644" s="15">
        <v>680240</v>
      </c>
      <c r="R1644" s="15">
        <v>87082900</v>
      </c>
      <c r="S1644" s="15">
        <v>15</v>
      </c>
      <c r="T1644" s="19" t="s">
        <v>320</v>
      </c>
      <c r="U1644" s="19" t="s">
        <v>178</v>
      </c>
      <c r="V1644" s="16">
        <f t="shared" si="321"/>
        <v>102036</v>
      </c>
      <c r="W1644" s="16">
        <f t="shared" si="322"/>
        <v>10203.6</v>
      </c>
      <c r="X1644" s="16">
        <f t="shared" si="323"/>
        <v>112239.6</v>
      </c>
      <c r="Y1644" s="16">
        <f t="shared" si="324"/>
        <v>1.402995</v>
      </c>
      <c r="Z1644" s="16">
        <f t="shared" si="325"/>
        <v>8.5030000000000001</v>
      </c>
      <c r="AA1644" s="17">
        <f t="shared" si="326"/>
        <v>80000</v>
      </c>
      <c r="AB1644" s="10">
        <v>5056</v>
      </c>
      <c r="AC1644" s="18">
        <f t="shared" si="327"/>
        <v>7093.5427200000004</v>
      </c>
      <c r="AD1644" s="12">
        <f t="shared" si="329"/>
        <v>74976</v>
      </c>
      <c r="AE1644" s="13">
        <f t="shared" si="328"/>
        <v>5024</v>
      </c>
    </row>
    <row r="1645" spans="1:33">
      <c r="A1645" s="6">
        <v>18</v>
      </c>
      <c r="B1645" s="6">
        <v>32</v>
      </c>
      <c r="C1645" s="6" t="str">
        <f t="shared" si="305"/>
        <v>604213200ALOCKING BAR, BUCKLE, K12 K12A/AT, L=34.3, silver415111844909306000</v>
      </c>
      <c r="D1645" s="7" t="s">
        <v>439</v>
      </c>
      <c r="E1645" s="6" t="s">
        <v>75</v>
      </c>
      <c r="F1645" s="6"/>
      <c r="G1645" s="7" t="s">
        <v>35</v>
      </c>
      <c r="H1645" s="19"/>
      <c r="I1645" s="19"/>
      <c r="J1645" s="19"/>
      <c r="K1645" s="19"/>
      <c r="L1645" s="14">
        <v>4151118</v>
      </c>
      <c r="M1645" s="22">
        <v>44909</v>
      </c>
      <c r="N1645" s="19" t="s">
        <v>199</v>
      </c>
      <c r="O1645" s="19" t="s">
        <v>332</v>
      </c>
      <c r="P1645" s="15">
        <v>306000</v>
      </c>
      <c r="Q1645" s="15">
        <v>347494.89</v>
      </c>
      <c r="R1645" s="15">
        <v>87082900</v>
      </c>
      <c r="S1645" s="15">
        <v>15</v>
      </c>
      <c r="T1645" s="19" t="s">
        <v>319</v>
      </c>
      <c r="U1645" s="19" t="s">
        <v>178</v>
      </c>
      <c r="V1645" s="16">
        <f t="shared" si="321"/>
        <v>52124.233500000002</v>
      </c>
      <c r="W1645" s="16">
        <f t="shared" si="322"/>
        <v>5212.4233500000009</v>
      </c>
      <c r="X1645" s="16">
        <f t="shared" si="323"/>
        <v>57336.656849999999</v>
      </c>
      <c r="Y1645" s="16">
        <f t="shared" si="324"/>
        <v>0.1873746955882353</v>
      </c>
      <c r="Z1645" s="16">
        <f t="shared" si="325"/>
        <v>1.1356042156862745</v>
      </c>
      <c r="AA1645" s="17">
        <f t="shared" si="326"/>
        <v>306000</v>
      </c>
      <c r="AB1645" s="10">
        <v>5056</v>
      </c>
      <c r="AC1645" s="18">
        <f t="shared" si="327"/>
        <v>947.36646089411772</v>
      </c>
      <c r="AD1645" s="12">
        <f t="shared" si="329"/>
        <v>94048</v>
      </c>
      <c r="AE1645" s="13">
        <f t="shared" si="328"/>
        <v>211952</v>
      </c>
    </row>
    <row r="1646" spans="1:33">
      <c r="A1646" s="6">
        <v>18</v>
      </c>
      <c r="B1646" s="6">
        <v>33</v>
      </c>
      <c r="C1646" s="6" t="str">
        <f t="shared" si="305"/>
        <v>NPB10271-ZKSCREW, SELF-TAPPING, MET OTHER, HEXALOBULAR INTER406701444998150000</v>
      </c>
      <c r="D1646" s="7" t="s">
        <v>439</v>
      </c>
      <c r="E1646" s="6" t="s">
        <v>76</v>
      </c>
      <c r="F1646" s="6"/>
      <c r="G1646" s="7" t="s">
        <v>36</v>
      </c>
      <c r="H1646" s="19"/>
      <c r="I1646" s="19"/>
      <c r="J1646" s="19"/>
      <c r="K1646" s="19"/>
      <c r="L1646" s="14">
        <v>4067014</v>
      </c>
      <c r="M1646" s="22">
        <v>44998</v>
      </c>
      <c r="N1646" s="19" t="s">
        <v>196</v>
      </c>
      <c r="O1646" s="19" t="s">
        <v>333</v>
      </c>
      <c r="P1646" s="15">
        <v>150000</v>
      </c>
      <c r="Q1646" s="15">
        <v>146157.25</v>
      </c>
      <c r="R1646" s="15">
        <v>87082900</v>
      </c>
      <c r="S1646" s="15">
        <v>15</v>
      </c>
      <c r="T1646" s="19" t="s">
        <v>321</v>
      </c>
      <c r="U1646" s="19" t="s">
        <v>178</v>
      </c>
      <c r="V1646" s="16">
        <f t="shared" si="321"/>
        <v>21923.587499999998</v>
      </c>
      <c r="W1646" s="16">
        <f t="shared" si="322"/>
        <v>2192.3587499999999</v>
      </c>
      <c r="X1646" s="16">
        <f t="shared" si="323"/>
        <v>24115.946249999997</v>
      </c>
      <c r="Y1646" s="16">
        <f t="shared" si="324"/>
        <v>0.16077297499999998</v>
      </c>
      <c r="Z1646" s="16">
        <f t="shared" si="325"/>
        <v>0.9743816666666667</v>
      </c>
      <c r="AA1646" s="17">
        <f t="shared" si="326"/>
        <v>150000</v>
      </c>
      <c r="AB1646" s="10">
        <v>10112</v>
      </c>
      <c r="AC1646" s="18">
        <f t="shared" si="327"/>
        <v>1625.7363231999998</v>
      </c>
      <c r="AD1646" s="12">
        <f t="shared" si="329"/>
        <v>149952</v>
      </c>
      <c r="AE1646" s="13">
        <f t="shared" si="328"/>
        <v>48</v>
      </c>
    </row>
    <row r="1647" spans="1:33">
      <c r="A1647" s="6">
        <v>18</v>
      </c>
      <c r="B1647" s="6">
        <v>34</v>
      </c>
      <c r="C1647" s="6" t="str">
        <f t="shared" si="305"/>
        <v>NWB2834WASHER, WAVED 69498204512640000</v>
      </c>
      <c r="D1647" s="7" t="s">
        <v>439</v>
      </c>
      <c r="E1647" s="6" t="s">
        <v>77</v>
      </c>
      <c r="F1647" s="6"/>
      <c r="G1647" s="7" t="s">
        <v>37</v>
      </c>
      <c r="H1647" s="19"/>
      <c r="I1647" s="19"/>
      <c r="J1647" s="19"/>
      <c r="K1647" s="19"/>
      <c r="L1647" s="14">
        <v>6949820</v>
      </c>
      <c r="M1647" s="22">
        <v>45126</v>
      </c>
      <c r="N1647" s="19" t="s">
        <v>196</v>
      </c>
      <c r="O1647" s="19" t="s">
        <v>333</v>
      </c>
      <c r="P1647" s="15">
        <v>40000</v>
      </c>
      <c r="Q1647" s="15">
        <v>70563.69</v>
      </c>
      <c r="R1647" s="15">
        <v>87082900</v>
      </c>
      <c r="S1647" s="15">
        <v>15</v>
      </c>
      <c r="T1647" s="19" t="s">
        <v>207</v>
      </c>
      <c r="U1647" s="19" t="s">
        <v>178</v>
      </c>
      <c r="V1647" s="16">
        <f t="shared" si="321"/>
        <v>10584.5535</v>
      </c>
      <c r="W1647" s="16">
        <f t="shared" si="322"/>
        <v>1058.45535</v>
      </c>
      <c r="X1647" s="16">
        <f t="shared" si="323"/>
        <v>11643.00885</v>
      </c>
      <c r="Y1647" s="16">
        <f t="shared" si="324"/>
        <v>0.29107522125000002</v>
      </c>
      <c r="Z1647" s="16">
        <f t="shared" si="325"/>
        <v>1.76409225</v>
      </c>
      <c r="AA1647" s="17">
        <f t="shared" si="326"/>
        <v>40000</v>
      </c>
      <c r="AB1647" s="10">
        <v>5056</v>
      </c>
      <c r="AC1647" s="18">
        <f t="shared" si="327"/>
        <v>1471.6763186400001</v>
      </c>
      <c r="AD1647" s="12">
        <f t="shared" si="329"/>
        <v>36128</v>
      </c>
      <c r="AE1647" s="13">
        <f t="shared" si="328"/>
        <v>3872</v>
      </c>
    </row>
    <row r="1648" spans="1:33">
      <c r="A1648" s="6">
        <v>18</v>
      </c>
      <c r="B1648" s="6">
        <v>35</v>
      </c>
      <c r="C1648" s="6" t="str">
        <f t="shared" si="305"/>
        <v>566098600CWEBBING PIN, RETRACTOR, AGB, AGB-95POM FARBE:SCH432749644950120000</v>
      </c>
      <c r="D1648" s="7" t="s">
        <v>439</v>
      </c>
      <c r="E1648" s="6" t="s">
        <v>57</v>
      </c>
      <c r="F1648" s="6"/>
      <c r="G1648" s="7" t="s">
        <v>17</v>
      </c>
      <c r="H1648" s="19"/>
      <c r="I1648" s="19"/>
      <c r="J1648" s="19"/>
      <c r="K1648" s="19"/>
      <c r="L1648" s="14">
        <v>4327496</v>
      </c>
      <c r="M1648" s="22">
        <v>44950</v>
      </c>
      <c r="N1648" s="19" t="s">
        <v>199</v>
      </c>
      <c r="O1648" s="19" t="s">
        <v>332</v>
      </c>
      <c r="P1648" s="15">
        <v>120000</v>
      </c>
      <c r="Q1648" s="15">
        <v>117311.7</v>
      </c>
      <c r="R1648" s="15">
        <v>87082900</v>
      </c>
      <c r="S1648" s="15">
        <v>15</v>
      </c>
      <c r="T1648" s="19" t="s">
        <v>307</v>
      </c>
      <c r="U1648" s="19" t="s">
        <v>178</v>
      </c>
      <c r="V1648" s="16">
        <f t="shared" si="321"/>
        <v>17596.754999999997</v>
      </c>
      <c r="W1648" s="16">
        <f t="shared" si="322"/>
        <v>1759.6754999999998</v>
      </c>
      <c r="X1648" s="16">
        <f t="shared" si="323"/>
        <v>19356.430499999999</v>
      </c>
      <c r="Y1648" s="16">
        <f t="shared" si="324"/>
        <v>0.16130358749999998</v>
      </c>
      <c r="Z1648" s="16">
        <f t="shared" si="325"/>
        <v>0.97759750000000001</v>
      </c>
      <c r="AA1648" s="17">
        <f t="shared" si="326"/>
        <v>120000</v>
      </c>
      <c r="AB1648" s="10">
        <v>6168</v>
      </c>
      <c r="AC1648" s="18">
        <f t="shared" si="327"/>
        <v>994.92052769999987</v>
      </c>
      <c r="AD1648" s="12">
        <f t="shared" si="329"/>
        <v>86652</v>
      </c>
      <c r="AE1648" s="13">
        <f t="shared" si="328"/>
        <v>33348</v>
      </c>
    </row>
    <row r="1649" spans="1:31">
      <c r="A1649" s="6">
        <v>18</v>
      </c>
      <c r="B1649" s="6">
        <v>36</v>
      </c>
      <c r="C1649" s="6" t="str">
        <f t="shared" si="305"/>
        <v>566253211EADAPTER, CAR SENS, RETRA ALL VERSIONS390969644984216000</v>
      </c>
      <c r="D1649" s="7" t="s">
        <v>439</v>
      </c>
      <c r="E1649" s="6" t="s">
        <v>58</v>
      </c>
      <c r="F1649" s="6"/>
      <c r="G1649" s="7" t="s">
        <v>18</v>
      </c>
      <c r="H1649" s="19"/>
      <c r="I1649" s="19"/>
      <c r="J1649" s="19"/>
      <c r="K1649" s="19"/>
      <c r="L1649" s="14">
        <v>3909696</v>
      </c>
      <c r="M1649" s="22">
        <v>44984</v>
      </c>
      <c r="N1649" s="19" t="s">
        <v>199</v>
      </c>
      <c r="O1649" s="19" t="s">
        <v>332</v>
      </c>
      <c r="P1649" s="15">
        <v>216000</v>
      </c>
      <c r="Q1649" s="15">
        <v>549354.86</v>
      </c>
      <c r="R1649" s="15">
        <v>87082900</v>
      </c>
      <c r="S1649" s="15">
        <v>15</v>
      </c>
      <c r="T1649" s="19" t="s">
        <v>308</v>
      </c>
      <c r="U1649" s="19" t="s">
        <v>178</v>
      </c>
      <c r="V1649" s="16">
        <f t="shared" si="321"/>
        <v>82403.228999999992</v>
      </c>
      <c r="W1649" s="16">
        <f t="shared" si="322"/>
        <v>8240.3228999999992</v>
      </c>
      <c r="X1649" s="16">
        <f t="shared" si="323"/>
        <v>90643.551899999991</v>
      </c>
      <c r="Y1649" s="16">
        <f t="shared" si="324"/>
        <v>0.41964607361111106</v>
      </c>
      <c r="Z1649" s="16">
        <f t="shared" si="325"/>
        <v>2.5433095370370369</v>
      </c>
      <c r="AA1649" s="17">
        <f t="shared" si="326"/>
        <v>216000</v>
      </c>
      <c r="AB1649" s="10">
        <v>6168</v>
      </c>
      <c r="AC1649" s="18">
        <f t="shared" si="327"/>
        <v>2588.3769820333332</v>
      </c>
      <c r="AD1649" s="12">
        <f t="shared" si="329"/>
        <v>86652</v>
      </c>
      <c r="AE1649" s="13">
        <f t="shared" si="328"/>
        <v>129348</v>
      </c>
    </row>
    <row r="1650" spans="1:31">
      <c r="A1650" s="6">
        <v>18</v>
      </c>
      <c r="B1650" s="6">
        <v>37</v>
      </c>
      <c r="C1650" s="6" t="str">
        <f t="shared" si="305"/>
        <v>566305721BSPRING, SHEET, LEAF, RET ALL VERSIONS, WS ECE4742807449445000</v>
      </c>
      <c r="D1650" s="7" t="s">
        <v>439</v>
      </c>
      <c r="E1650" s="6" t="s">
        <v>59</v>
      </c>
      <c r="F1650" s="6"/>
      <c r="G1650" s="7" t="s">
        <v>19</v>
      </c>
      <c r="H1650" s="19"/>
      <c r="I1650" s="19"/>
      <c r="J1650" s="19"/>
      <c r="K1650" s="19"/>
      <c r="L1650" s="14">
        <v>4742807</v>
      </c>
      <c r="M1650" s="22">
        <v>44944</v>
      </c>
      <c r="N1650" s="19" t="s">
        <v>196</v>
      </c>
      <c r="O1650" s="19" t="s">
        <v>337</v>
      </c>
      <c r="P1650" s="15">
        <v>5000</v>
      </c>
      <c r="Q1650" s="15">
        <v>143362.42000000001</v>
      </c>
      <c r="R1650" s="15">
        <v>87082900</v>
      </c>
      <c r="S1650" s="15">
        <v>15</v>
      </c>
      <c r="T1650" s="19" t="s">
        <v>309</v>
      </c>
      <c r="U1650" s="19" t="s">
        <v>178</v>
      </c>
      <c r="V1650" s="16">
        <f t="shared" si="321"/>
        <v>21504.363000000001</v>
      </c>
      <c r="W1650" s="16">
        <f t="shared" si="322"/>
        <v>2150.4363000000003</v>
      </c>
      <c r="X1650" s="16">
        <f t="shared" si="323"/>
        <v>23654.799300000002</v>
      </c>
      <c r="Y1650" s="16">
        <f t="shared" si="324"/>
        <v>4.7309598600000005</v>
      </c>
      <c r="Z1650" s="16">
        <f t="shared" si="325"/>
        <v>28.672484000000004</v>
      </c>
      <c r="AA1650" s="17">
        <f t="shared" si="326"/>
        <v>5000</v>
      </c>
      <c r="AB1650" s="10">
        <v>114.072</v>
      </c>
      <c r="AC1650" s="18">
        <f t="shared" si="327"/>
        <v>539.67005314992002</v>
      </c>
      <c r="AD1650" s="12">
        <f t="shared" si="329"/>
        <v>1540.98</v>
      </c>
      <c r="AE1650" s="13">
        <v>0</v>
      </c>
    </row>
    <row r="1651" spans="1:31">
      <c r="A1651" s="6">
        <v>18</v>
      </c>
      <c r="B1651" s="6">
        <v>38</v>
      </c>
      <c r="C1651" s="6" t="str">
        <f t="shared" si="305"/>
        <v>600188700BLEVER, WEB SENS, RETRACT ALL VERSIONS421599144956270000</v>
      </c>
      <c r="D1651" s="7" t="s">
        <v>439</v>
      </c>
      <c r="E1651" s="6" t="s">
        <v>60</v>
      </c>
      <c r="F1651" s="6"/>
      <c r="G1651" s="7" t="s">
        <v>20</v>
      </c>
      <c r="H1651" s="19"/>
      <c r="I1651" s="19"/>
      <c r="J1651" s="19"/>
      <c r="K1651" s="19"/>
      <c r="L1651" s="14">
        <v>4215991</v>
      </c>
      <c r="M1651" s="22">
        <v>44956</v>
      </c>
      <c r="N1651" s="19" t="s">
        <v>199</v>
      </c>
      <c r="O1651" s="19" t="s">
        <v>332</v>
      </c>
      <c r="P1651" s="15">
        <v>270000</v>
      </c>
      <c r="Q1651" s="15">
        <v>1513733.76</v>
      </c>
      <c r="R1651" s="15">
        <v>87082900</v>
      </c>
      <c r="S1651" s="15">
        <v>15</v>
      </c>
      <c r="T1651" s="19" t="s">
        <v>310</v>
      </c>
      <c r="U1651" s="19" t="s">
        <v>178</v>
      </c>
      <c r="V1651" s="16">
        <f t="shared" si="321"/>
        <v>227060.06399999998</v>
      </c>
      <c r="W1651" s="16">
        <f t="shared" si="322"/>
        <v>22706.006399999998</v>
      </c>
      <c r="X1651" s="16">
        <f t="shared" si="323"/>
        <v>249766.07039999997</v>
      </c>
      <c r="Y1651" s="16">
        <f t="shared" si="324"/>
        <v>0.92505951999999991</v>
      </c>
      <c r="Z1651" s="16">
        <f t="shared" si="325"/>
        <v>5.6064213333333335</v>
      </c>
      <c r="AA1651" s="17">
        <f t="shared" si="326"/>
        <v>270000</v>
      </c>
      <c r="AB1651" s="10">
        <v>6168</v>
      </c>
      <c r="AC1651" s="18">
        <f t="shared" si="327"/>
        <v>5705.767119359999</v>
      </c>
      <c r="AD1651" s="12">
        <f t="shared" si="329"/>
        <v>86652</v>
      </c>
      <c r="AE1651" s="13">
        <f t="shared" si="328"/>
        <v>183348</v>
      </c>
    </row>
    <row r="1652" spans="1:31">
      <c r="A1652" s="6">
        <v>18</v>
      </c>
      <c r="B1652" s="6">
        <v>39</v>
      </c>
      <c r="C1652" s="6" t="str">
        <f t="shared" si="305"/>
        <v>601182600ASPINDLE, RETRACTOR, R27, STD49681364551321504</v>
      </c>
      <c r="D1652" s="7" t="s">
        <v>439</v>
      </c>
      <c r="E1652" s="6" t="s">
        <v>61</v>
      </c>
      <c r="F1652" s="6"/>
      <c r="G1652" s="7" t="s">
        <v>21</v>
      </c>
      <c r="H1652" s="19"/>
      <c r="I1652" s="19"/>
      <c r="J1652" s="19"/>
      <c r="K1652" s="19"/>
      <c r="L1652" s="14">
        <v>4968136</v>
      </c>
      <c r="M1652" s="22">
        <v>45513</v>
      </c>
      <c r="N1652" s="19" t="s">
        <v>336</v>
      </c>
      <c r="O1652" s="19" t="s">
        <v>332</v>
      </c>
      <c r="P1652" s="15">
        <v>21504</v>
      </c>
      <c r="Q1652" s="15">
        <v>987947.86</v>
      </c>
      <c r="R1652" s="15">
        <v>87082900</v>
      </c>
      <c r="S1652" s="15">
        <v>15</v>
      </c>
      <c r="T1652" s="19" t="s">
        <v>311</v>
      </c>
      <c r="U1652" s="19" t="s">
        <v>178</v>
      </c>
      <c r="V1652" s="16">
        <f t="shared" si="321"/>
        <v>148192.179</v>
      </c>
      <c r="W1652" s="16">
        <f t="shared" si="322"/>
        <v>14819.217900000001</v>
      </c>
      <c r="X1652" s="16">
        <f t="shared" si="323"/>
        <v>163011.39689999999</v>
      </c>
      <c r="Y1652" s="16">
        <f t="shared" si="324"/>
        <v>7.5805151088169636</v>
      </c>
      <c r="Z1652" s="16">
        <f t="shared" si="325"/>
        <v>45.942515811011901</v>
      </c>
      <c r="AA1652" s="17">
        <f t="shared" si="326"/>
        <v>21504</v>
      </c>
      <c r="AB1652" s="10">
        <v>6168</v>
      </c>
      <c r="AC1652" s="18">
        <f t="shared" si="327"/>
        <v>46756.617191183032</v>
      </c>
      <c r="AD1652" s="12">
        <f t="shared" si="329"/>
        <v>19992</v>
      </c>
      <c r="AE1652" s="13">
        <f t="shared" si="328"/>
        <v>1512</v>
      </c>
    </row>
    <row r="1653" spans="1:31">
      <c r="A1653" s="6">
        <v>18</v>
      </c>
      <c r="B1653" s="6">
        <v>40</v>
      </c>
      <c r="C1653" s="6" t="str">
        <f t="shared" si="305"/>
        <v>601256700GBUSH, RETRACTOR, R27, AL ALL VERSIONS405080544944160000</v>
      </c>
      <c r="D1653" s="7" t="s">
        <v>439</v>
      </c>
      <c r="E1653" s="6" t="s">
        <v>62</v>
      </c>
      <c r="F1653" s="6"/>
      <c r="G1653" s="7" t="s">
        <v>22</v>
      </c>
      <c r="H1653" s="19"/>
      <c r="I1653" s="19"/>
      <c r="J1653" s="19"/>
      <c r="K1653" s="19"/>
      <c r="L1653" s="14">
        <v>4050805</v>
      </c>
      <c r="M1653" s="22">
        <v>44944</v>
      </c>
      <c r="N1653" s="19" t="s">
        <v>196</v>
      </c>
      <c r="O1653" s="19" t="s">
        <v>333</v>
      </c>
      <c r="P1653" s="15">
        <v>160000</v>
      </c>
      <c r="Q1653" s="15">
        <v>278597.26</v>
      </c>
      <c r="R1653" s="15">
        <v>87082900</v>
      </c>
      <c r="S1653" s="15">
        <v>15</v>
      </c>
      <c r="T1653" s="19" t="s">
        <v>312</v>
      </c>
      <c r="U1653" s="19" t="s">
        <v>178</v>
      </c>
      <c r="V1653" s="16">
        <f t="shared" si="321"/>
        <v>41789.589</v>
      </c>
      <c r="W1653" s="16">
        <f t="shared" si="322"/>
        <v>4178.9589000000005</v>
      </c>
      <c r="X1653" s="16">
        <f t="shared" si="323"/>
        <v>45968.547899999998</v>
      </c>
      <c r="Y1653" s="16">
        <f t="shared" si="324"/>
        <v>0.287303424375</v>
      </c>
      <c r="Z1653" s="16">
        <f t="shared" si="325"/>
        <v>1.7412328750000001</v>
      </c>
      <c r="AA1653" s="17">
        <f t="shared" si="326"/>
        <v>160000</v>
      </c>
      <c r="AB1653" s="10">
        <v>6168</v>
      </c>
      <c r="AC1653" s="18">
        <f t="shared" si="327"/>
        <v>1772.0875215450001</v>
      </c>
      <c r="AD1653" s="12">
        <f t="shared" si="329"/>
        <v>86652</v>
      </c>
      <c r="AE1653" s="13">
        <f t="shared" si="328"/>
        <v>73348</v>
      </c>
    </row>
    <row r="1654" spans="1:31">
      <c r="A1654" s="6">
        <v>18</v>
      </c>
      <c r="B1654" s="6">
        <v>41</v>
      </c>
      <c r="C1654" s="6" t="str">
        <f t="shared" si="305"/>
        <v>601472600ALATCH, RETRACTOR, R27, A ALL VERSIONS421598844951162000</v>
      </c>
      <c r="D1654" s="7" t="s">
        <v>439</v>
      </c>
      <c r="E1654" s="6" t="s">
        <v>63</v>
      </c>
      <c r="F1654" s="6"/>
      <c r="G1654" s="7" t="s">
        <v>23</v>
      </c>
      <c r="H1654" s="19"/>
      <c r="I1654" s="19"/>
      <c r="J1654" s="19"/>
      <c r="K1654" s="19"/>
      <c r="L1654" s="14">
        <v>4215988</v>
      </c>
      <c r="M1654" s="22">
        <v>44951</v>
      </c>
      <c r="N1654" s="19" t="s">
        <v>199</v>
      </c>
      <c r="O1654" s="19" t="s">
        <v>332</v>
      </c>
      <c r="P1654" s="15">
        <v>162000</v>
      </c>
      <c r="Q1654" s="15">
        <v>1167023.94</v>
      </c>
      <c r="R1654" s="15">
        <v>87082900</v>
      </c>
      <c r="S1654" s="15">
        <v>15</v>
      </c>
      <c r="T1654" s="19" t="s">
        <v>313</v>
      </c>
      <c r="U1654" s="19" t="s">
        <v>178</v>
      </c>
      <c r="V1654" s="16">
        <f t="shared" si="321"/>
        <v>175053.59099999999</v>
      </c>
      <c r="W1654" s="16">
        <f t="shared" si="322"/>
        <v>17505.359099999998</v>
      </c>
      <c r="X1654" s="16">
        <f t="shared" si="323"/>
        <v>192558.95009999999</v>
      </c>
      <c r="Y1654" s="16">
        <f t="shared" si="324"/>
        <v>1.1886354944444444</v>
      </c>
      <c r="Z1654" s="16">
        <f t="shared" si="325"/>
        <v>7.2038514814814816</v>
      </c>
      <c r="AA1654" s="17">
        <f t="shared" si="326"/>
        <v>162000</v>
      </c>
      <c r="AB1654" s="10">
        <v>6168</v>
      </c>
      <c r="AC1654" s="18">
        <f t="shared" si="327"/>
        <v>7331.5037297333329</v>
      </c>
      <c r="AD1654" s="12">
        <f t="shared" si="329"/>
        <v>86652</v>
      </c>
      <c r="AE1654" s="13">
        <f t="shared" si="328"/>
        <v>75348</v>
      </c>
    </row>
    <row r="1655" spans="1:31">
      <c r="A1655" s="6">
        <v>18</v>
      </c>
      <c r="B1655" s="6">
        <v>42</v>
      </c>
      <c r="C1655" s="6" t="str">
        <f t="shared" si="305"/>
        <v>601487200CCOVER, RETRACTOR, R27, S SYSTEMKAPPE DELRIN 100T822098745209144000</v>
      </c>
      <c r="D1655" s="7" t="s">
        <v>439</v>
      </c>
      <c r="E1655" s="6" t="s">
        <v>64</v>
      </c>
      <c r="F1655" s="6"/>
      <c r="G1655" s="7" t="s">
        <v>24</v>
      </c>
      <c r="H1655" s="19"/>
      <c r="I1655" s="19"/>
      <c r="J1655" s="19"/>
      <c r="K1655" s="19"/>
      <c r="L1655" s="14">
        <v>8220987</v>
      </c>
      <c r="M1655" s="22">
        <v>45209</v>
      </c>
      <c r="N1655" s="19" t="s">
        <v>199</v>
      </c>
      <c r="O1655" s="19" t="s">
        <v>332</v>
      </c>
      <c r="P1655" s="15">
        <v>144000</v>
      </c>
      <c r="Q1655" s="15">
        <v>1542266.14</v>
      </c>
      <c r="R1655" s="15">
        <v>87082900</v>
      </c>
      <c r="S1655" s="15">
        <v>15</v>
      </c>
      <c r="T1655" s="19" t="s">
        <v>307</v>
      </c>
      <c r="U1655" s="19" t="s">
        <v>178</v>
      </c>
      <c r="V1655" s="16">
        <f t="shared" si="321"/>
        <v>231339.92099999997</v>
      </c>
      <c r="W1655" s="16">
        <f t="shared" si="322"/>
        <v>23133.992099999999</v>
      </c>
      <c r="X1655" s="16">
        <f t="shared" si="323"/>
        <v>254473.91309999998</v>
      </c>
      <c r="Y1655" s="16">
        <f t="shared" si="324"/>
        <v>1.7671799520833331</v>
      </c>
      <c r="Z1655" s="16">
        <f t="shared" si="325"/>
        <v>10.710181527777777</v>
      </c>
      <c r="AA1655" s="17">
        <f t="shared" si="326"/>
        <v>144000</v>
      </c>
      <c r="AB1655" s="10">
        <v>3096</v>
      </c>
      <c r="AC1655" s="18">
        <f t="shared" si="327"/>
        <v>5471.1891316499996</v>
      </c>
      <c r="AD1655" s="12">
        <f t="shared" si="329"/>
        <v>16056</v>
      </c>
      <c r="AE1655" s="13">
        <f t="shared" si="328"/>
        <v>127944</v>
      </c>
    </row>
    <row r="1656" spans="1:31">
      <c r="A1656" s="6">
        <v>18</v>
      </c>
      <c r="B1656" s="6">
        <v>43</v>
      </c>
      <c r="C1656" s="6" t="str">
        <f t="shared" si="305"/>
        <v>605151600ASPRING, SHEET, LEAF, RET ALL VERSIONS, WS US407852744933100000</v>
      </c>
      <c r="D1656" s="7" t="s">
        <v>439</v>
      </c>
      <c r="E1656" s="6" t="s">
        <v>65</v>
      </c>
      <c r="F1656" s="6"/>
      <c r="G1656" s="7" t="s">
        <v>25</v>
      </c>
      <c r="H1656" s="19"/>
      <c r="I1656" s="19"/>
      <c r="J1656" s="19"/>
      <c r="K1656" s="19"/>
      <c r="L1656" s="14">
        <v>4078527</v>
      </c>
      <c r="M1656" s="22">
        <v>44933</v>
      </c>
      <c r="N1656" s="19" t="s">
        <v>196</v>
      </c>
      <c r="O1656" s="19" t="s">
        <v>333</v>
      </c>
      <c r="P1656" s="15">
        <v>100000</v>
      </c>
      <c r="Q1656" s="15">
        <v>147318.03</v>
      </c>
      <c r="R1656" s="15">
        <v>87082900</v>
      </c>
      <c r="S1656" s="15">
        <v>15</v>
      </c>
      <c r="T1656" s="19" t="s">
        <v>314</v>
      </c>
      <c r="U1656" s="19" t="s">
        <v>178</v>
      </c>
      <c r="V1656" s="16">
        <f t="shared" si="321"/>
        <v>22097.7045</v>
      </c>
      <c r="W1656" s="16">
        <f t="shared" si="322"/>
        <v>2209.77045</v>
      </c>
      <c r="X1656" s="16">
        <f t="shared" si="323"/>
        <v>24307.47495</v>
      </c>
      <c r="Y1656" s="16">
        <f t="shared" si="324"/>
        <v>0.24307474949999999</v>
      </c>
      <c r="Z1656" s="16">
        <f t="shared" si="325"/>
        <v>1.4731802999999999</v>
      </c>
      <c r="AA1656" s="17">
        <f t="shared" si="326"/>
        <v>100000</v>
      </c>
      <c r="AB1656" s="10">
        <v>6168</v>
      </c>
      <c r="AC1656" s="18">
        <f t="shared" si="327"/>
        <v>1499.285054916</v>
      </c>
      <c r="AD1656" s="12">
        <f t="shared" si="329"/>
        <v>86652</v>
      </c>
      <c r="AE1656" s="13">
        <f t="shared" si="328"/>
        <v>13348</v>
      </c>
    </row>
    <row r="1657" spans="1:31">
      <c r="A1657" s="6">
        <v>18</v>
      </c>
      <c r="B1657" s="6">
        <v>44</v>
      </c>
      <c r="C1657" s="6" t="str">
        <f t="shared" si="305"/>
        <v>605555507ESTEERING DISC NATURE WHITE717838944902100800</v>
      </c>
      <c r="D1657" s="7" t="s">
        <v>439</v>
      </c>
      <c r="E1657" s="6" t="s">
        <v>66</v>
      </c>
      <c r="F1657" s="6"/>
      <c r="G1657" s="7" t="s">
        <v>26</v>
      </c>
      <c r="H1657" s="19"/>
      <c r="I1657" s="19"/>
      <c r="J1657" s="19"/>
      <c r="K1657" s="19"/>
      <c r="L1657" s="14">
        <v>7178389</v>
      </c>
      <c r="M1657" s="22">
        <v>44902</v>
      </c>
      <c r="N1657" s="19" t="s">
        <v>185</v>
      </c>
      <c r="O1657" s="19" t="s">
        <v>332</v>
      </c>
      <c r="P1657" s="15">
        <v>100800</v>
      </c>
      <c r="Q1657" s="15">
        <v>397158.13</v>
      </c>
      <c r="R1657" s="15">
        <v>87082900</v>
      </c>
      <c r="S1657" s="15">
        <v>15</v>
      </c>
      <c r="T1657" s="19" t="s">
        <v>315</v>
      </c>
      <c r="U1657" s="19" t="s">
        <v>178</v>
      </c>
      <c r="V1657" s="16">
        <f t="shared" si="321"/>
        <v>59573.719499999999</v>
      </c>
      <c r="W1657" s="16">
        <f t="shared" si="322"/>
        <v>5957.3719500000007</v>
      </c>
      <c r="X1657" s="16">
        <f t="shared" si="323"/>
        <v>65531.09145</v>
      </c>
      <c r="Y1657" s="16">
        <f t="shared" si="324"/>
        <v>0.65011003422619051</v>
      </c>
      <c r="Z1657" s="16">
        <f t="shared" si="325"/>
        <v>3.9400608134920634</v>
      </c>
      <c r="AA1657" s="17">
        <f t="shared" si="326"/>
        <v>100800</v>
      </c>
      <c r="AB1657" s="10">
        <v>6168</v>
      </c>
      <c r="AC1657" s="18">
        <f t="shared" si="327"/>
        <v>4009.8786911071429</v>
      </c>
      <c r="AD1657" s="12">
        <f t="shared" si="329"/>
        <v>80292</v>
      </c>
      <c r="AE1657" s="13">
        <f t="shared" si="328"/>
        <v>20508</v>
      </c>
    </row>
    <row r="1658" spans="1:31">
      <c r="A1658" s="6">
        <v>18</v>
      </c>
      <c r="B1658" s="6">
        <v>45</v>
      </c>
      <c r="C1658" s="6" t="str">
        <f t="shared" si="305"/>
        <v>615795701BPILLAR LOOP, OVERMOULDED LIGHT GRAY, STD, WITH CA4032070454592000</v>
      </c>
      <c r="D1658" s="7" t="s">
        <v>439</v>
      </c>
      <c r="E1658" s="6" t="s">
        <v>67</v>
      </c>
      <c r="F1658" s="6"/>
      <c r="G1658" s="7" t="s">
        <v>27</v>
      </c>
      <c r="H1658" s="19"/>
      <c r="I1658" s="19"/>
      <c r="J1658" s="19"/>
      <c r="K1658" s="19"/>
      <c r="L1658" s="14">
        <v>4032070</v>
      </c>
      <c r="M1658" s="22">
        <v>45459</v>
      </c>
      <c r="N1658" s="19" t="s">
        <v>185</v>
      </c>
      <c r="O1658" s="19" t="s">
        <v>332</v>
      </c>
      <c r="P1658" s="15">
        <v>2000</v>
      </c>
      <c r="Q1658" s="15">
        <v>128616.58</v>
      </c>
      <c r="R1658" s="15">
        <v>87082900</v>
      </c>
      <c r="S1658" s="15">
        <v>15</v>
      </c>
      <c r="T1658" s="19" t="s">
        <v>198</v>
      </c>
      <c r="U1658" s="19" t="s">
        <v>178</v>
      </c>
      <c r="V1658" s="16">
        <f t="shared" si="321"/>
        <v>19292.487000000001</v>
      </c>
      <c r="W1658" s="16">
        <f t="shared" si="322"/>
        <v>1929.2487000000001</v>
      </c>
      <c r="X1658" s="16">
        <f t="shared" si="323"/>
        <v>21221.735700000001</v>
      </c>
      <c r="Y1658" s="16">
        <f t="shared" si="324"/>
        <v>10.61086785</v>
      </c>
      <c r="Z1658" s="16">
        <f t="shared" si="325"/>
        <v>64.30829</v>
      </c>
      <c r="AA1658" s="17">
        <f t="shared" si="326"/>
        <v>2000</v>
      </c>
      <c r="AB1658" s="10">
        <v>2000</v>
      </c>
      <c r="AC1658" s="18">
        <f t="shared" si="327"/>
        <v>21221.735700000001</v>
      </c>
      <c r="AD1658" s="12">
        <f t="shared" si="329"/>
        <v>2000</v>
      </c>
      <c r="AE1658" s="13">
        <f t="shared" si="328"/>
        <v>0</v>
      </c>
    </row>
    <row r="1659" spans="1:31">
      <c r="A1659" s="6">
        <v>18</v>
      </c>
      <c r="B1659" s="6">
        <v>46</v>
      </c>
      <c r="C1659" s="6" t="str">
        <f t="shared" si="305"/>
        <v>615795701BPILLAR LOOP, OVERMOULDED LIGHT GRAY, STD, WITH CA4032069454594000</v>
      </c>
      <c r="D1659" s="7" t="s">
        <v>439</v>
      </c>
      <c r="E1659" s="6" t="s">
        <v>67</v>
      </c>
      <c r="F1659" s="6"/>
      <c r="G1659" s="7" t="s">
        <v>27</v>
      </c>
      <c r="H1659" s="19"/>
      <c r="I1659" s="19"/>
      <c r="J1659" s="19"/>
      <c r="K1659" s="19"/>
      <c r="L1659" s="14">
        <v>4032069</v>
      </c>
      <c r="M1659" s="22">
        <v>45459</v>
      </c>
      <c r="N1659" s="19" t="s">
        <v>185</v>
      </c>
      <c r="O1659" s="19" t="s">
        <v>332</v>
      </c>
      <c r="P1659" s="15">
        <v>4000</v>
      </c>
      <c r="Q1659" s="15">
        <v>236542.16</v>
      </c>
      <c r="R1659" s="15">
        <v>87082900</v>
      </c>
      <c r="S1659" s="15">
        <v>15</v>
      </c>
      <c r="T1659" s="19" t="s">
        <v>198</v>
      </c>
      <c r="U1659" s="19" t="s">
        <v>178</v>
      </c>
      <c r="V1659" s="16">
        <f t="shared" si="321"/>
        <v>35481.324000000001</v>
      </c>
      <c r="W1659" s="16">
        <f t="shared" si="322"/>
        <v>3548.1324000000004</v>
      </c>
      <c r="X1659" s="16">
        <f t="shared" si="323"/>
        <v>39029.456400000003</v>
      </c>
      <c r="Y1659" s="16">
        <f t="shared" si="324"/>
        <v>9.7573641000000002</v>
      </c>
      <c r="Z1659" s="16">
        <f t="shared" si="325"/>
        <v>59.135539999999999</v>
      </c>
      <c r="AA1659" s="17">
        <f t="shared" si="326"/>
        <v>4000</v>
      </c>
      <c r="AB1659" s="10">
        <v>4000</v>
      </c>
      <c r="AC1659" s="18">
        <f t="shared" si="327"/>
        <v>39029.456400000003</v>
      </c>
      <c r="AD1659" s="12">
        <f t="shared" si="329"/>
        <v>4000</v>
      </c>
      <c r="AE1659" s="13">
        <f t="shared" si="328"/>
        <v>0</v>
      </c>
    </row>
    <row r="1660" spans="1:31">
      <c r="A1660" s="6">
        <v>18</v>
      </c>
      <c r="B1660" s="6">
        <v>47</v>
      </c>
      <c r="C1660" s="6" t="str">
        <f t="shared" si="305"/>
        <v>615795701BPILLAR LOOP, OVERMOULDED LIGHT GRAY, STD, WITH CA4558970454902000</v>
      </c>
      <c r="D1660" s="7" t="s">
        <v>439</v>
      </c>
      <c r="E1660" s="6" t="s">
        <v>67</v>
      </c>
      <c r="F1660" s="6"/>
      <c r="G1660" s="7" t="s">
        <v>27</v>
      </c>
      <c r="H1660" s="19"/>
      <c r="I1660" s="19"/>
      <c r="J1660" s="19"/>
      <c r="K1660" s="19"/>
      <c r="L1660" s="14">
        <v>4558970</v>
      </c>
      <c r="M1660" s="22">
        <v>45490</v>
      </c>
      <c r="N1660" s="19" t="s">
        <v>185</v>
      </c>
      <c r="O1660" s="19" t="s">
        <v>332</v>
      </c>
      <c r="P1660" s="15">
        <v>2000</v>
      </c>
      <c r="Q1660" s="15">
        <v>128818.62</v>
      </c>
      <c r="R1660" s="15">
        <v>87082900</v>
      </c>
      <c r="S1660" s="15">
        <v>15</v>
      </c>
      <c r="T1660" s="19" t="s">
        <v>198</v>
      </c>
      <c r="U1660" s="19" t="s">
        <v>178</v>
      </c>
      <c r="V1660" s="16">
        <f t="shared" si="321"/>
        <v>19322.792999999998</v>
      </c>
      <c r="W1660" s="16">
        <f t="shared" si="322"/>
        <v>1932.2792999999999</v>
      </c>
      <c r="X1660" s="16">
        <f t="shared" si="323"/>
        <v>21255.072299999996</v>
      </c>
      <c r="Y1660" s="16">
        <f t="shared" si="324"/>
        <v>10.627536149999997</v>
      </c>
      <c r="Z1660" s="16">
        <f t="shared" si="325"/>
        <v>64.409309999999991</v>
      </c>
      <c r="AA1660" s="17">
        <f t="shared" si="326"/>
        <v>2000</v>
      </c>
      <c r="AB1660" s="10">
        <v>168</v>
      </c>
      <c r="AC1660" s="18">
        <f t="shared" si="327"/>
        <v>1785.4260731999996</v>
      </c>
      <c r="AD1660" s="12">
        <f t="shared" si="329"/>
        <v>2000</v>
      </c>
      <c r="AE1660" s="13">
        <f t="shared" si="328"/>
        <v>0</v>
      </c>
    </row>
    <row r="1661" spans="1:31">
      <c r="A1661" s="6">
        <v>18</v>
      </c>
      <c r="B1661" s="6">
        <v>48</v>
      </c>
      <c r="C1661" s="6" t="str">
        <f t="shared" si="305"/>
        <v>618470500EBEARING, CAR SENS, RETRA All Versions, Noise redu717838944902100800</v>
      </c>
      <c r="D1661" s="7" t="s">
        <v>439</v>
      </c>
      <c r="E1661" s="6" t="s">
        <v>68</v>
      </c>
      <c r="F1661" s="6"/>
      <c r="G1661" s="7" t="s">
        <v>28</v>
      </c>
      <c r="H1661" s="19"/>
      <c r="I1661" s="19"/>
      <c r="J1661" s="19"/>
      <c r="K1661" s="19"/>
      <c r="L1661" s="14">
        <v>7178389</v>
      </c>
      <c r="M1661" s="22">
        <v>44902</v>
      </c>
      <c r="N1661" s="19" t="s">
        <v>185</v>
      </c>
      <c r="O1661" s="19" t="s">
        <v>332</v>
      </c>
      <c r="P1661" s="15">
        <v>100800</v>
      </c>
      <c r="Q1661" s="15">
        <v>397158.13</v>
      </c>
      <c r="R1661" s="15">
        <v>87082900</v>
      </c>
      <c r="S1661" s="15">
        <v>15</v>
      </c>
      <c r="T1661" s="19" t="s">
        <v>315</v>
      </c>
      <c r="U1661" s="19" t="s">
        <v>178</v>
      </c>
      <c r="V1661" s="16">
        <f t="shared" si="321"/>
        <v>59573.719499999999</v>
      </c>
      <c r="W1661" s="16">
        <f t="shared" si="322"/>
        <v>5957.3719500000007</v>
      </c>
      <c r="X1661" s="16">
        <f t="shared" si="323"/>
        <v>65531.09145</v>
      </c>
      <c r="Y1661" s="16">
        <f t="shared" si="324"/>
        <v>0.65011003422619051</v>
      </c>
      <c r="Z1661" s="16">
        <f t="shared" si="325"/>
        <v>3.9400608134920634</v>
      </c>
      <c r="AA1661" s="17">
        <f t="shared" si="326"/>
        <v>100800</v>
      </c>
      <c r="AB1661" s="10">
        <v>6168</v>
      </c>
      <c r="AC1661" s="18">
        <f t="shared" si="327"/>
        <v>4009.8786911071429</v>
      </c>
      <c r="AD1661" s="12">
        <f t="shared" si="329"/>
        <v>31068</v>
      </c>
      <c r="AE1661" s="13">
        <f t="shared" si="328"/>
        <v>69732</v>
      </c>
    </row>
    <row r="1662" spans="1:31">
      <c r="A1662" s="6">
        <v>18</v>
      </c>
      <c r="B1662" s="6">
        <v>49</v>
      </c>
      <c r="C1662" s="6" t="str">
        <f t="shared" si="305"/>
        <v>618472000BLEVER, CAR SENS, RETRACT ALL VERSIONS, NOISE REDU408531144933170000</v>
      </c>
      <c r="D1662" s="7" t="s">
        <v>439</v>
      </c>
      <c r="E1662" s="6" t="s">
        <v>69</v>
      </c>
      <c r="F1662" s="6"/>
      <c r="G1662" s="7" t="s">
        <v>29</v>
      </c>
      <c r="H1662" s="19"/>
      <c r="I1662" s="19"/>
      <c r="J1662" s="19"/>
      <c r="K1662" s="19"/>
      <c r="L1662" s="14">
        <v>4085311</v>
      </c>
      <c r="M1662" s="22">
        <v>44933</v>
      </c>
      <c r="N1662" s="19" t="s">
        <v>196</v>
      </c>
      <c r="O1662" s="19" t="s">
        <v>333</v>
      </c>
      <c r="P1662" s="15">
        <v>170000</v>
      </c>
      <c r="Q1662" s="15">
        <v>247799.42</v>
      </c>
      <c r="R1662" s="15">
        <v>87082900</v>
      </c>
      <c r="S1662" s="15">
        <v>15</v>
      </c>
      <c r="T1662" s="19" t="s">
        <v>316</v>
      </c>
      <c r="U1662" s="19" t="s">
        <v>178</v>
      </c>
      <c r="V1662" s="16">
        <f t="shared" si="321"/>
        <v>37169.913</v>
      </c>
      <c r="W1662" s="16">
        <f t="shared" si="322"/>
        <v>3716.9913000000001</v>
      </c>
      <c r="X1662" s="16">
        <f t="shared" si="323"/>
        <v>40886.904300000002</v>
      </c>
      <c r="Y1662" s="16">
        <f t="shared" si="324"/>
        <v>0.24051120176470589</v>
      </c>
      <c r="Z1662" s="16">
        <f t="shared" si="325"/>
        <v>1.4576436470588237</v>
      </c>
      <c r="AA1662" s="17">
        <f t="shared" si="326"/>
        <v>170000</v>
      </c>
      <c r="AB1662" s="10">
        <v>6168</v>
      </c>
      <c r="AC1662" s="18">
        <f t="shared" si="327"/>
        <v>1483.4730924847058</v>
      </c>
      <c r="AD1662" s="12">
        <f t="shared" si="329"/>
        <v>86652</v>
      </c>
      <c r="AE1662" s="13">
        <f t="shared" si="328"/>
        <v>83348</v>
      </c>
    </row>
    <row r="1663" spans="1:31">
      <c r="A1663" s="6">
        <v>18</v>
      </c>
      <c r="B1663" s="6">
        <v>50</v>
      </c>
      <c r="C1663" s="6" t="str">
        <f t="shared" si="305"/>
        <v>618472300CMASS, CAR SENS, RETRACTO ALL VERSIONS, CAR 2-PIN406183045012209560</v>
      </c>
      <c r="D1663" s="7" t="s">
        <v>439</v>
      </c>
      <c r="E1663" s="6" t="s">
        <v>70</v>
      </c>
      <c r="F1663" s="6"/>
      <c r="G1663" s="7" t="s">
        <v>30</v>
      </c>
      <c r="H1663" s="19"/>
      <c r="I1663" s="19"/>
      <c r="J1663" s="19"/>
      <c r="K1663" s="19"/>
      <c r="L1663" s="14">
        <v>4061830</v>
      </c>
      <c r="M1663" s="22">
        <v>45012</v>
      </c>
      <c r="N1663" s="19" t="s">
        <v>196</v>
      </c>
      <c r="O1663" s="19" t="s">
        <v>333</v>
      </c>
      <c r="P1663" s="15">
        <v>209560</v>
      </c>
      <c r="Q1663" s="15">
        <v>786307.66</v>
      </c>
      <c r="R1663" s="15">
        <v>87082900</v>
      </c>
      <c r="S1663" s="15">
        <v>15</v>
      </c>
      <c r="T1663" s="19" t="s">
        <v>317</v>
      </c>
      <c r="U1663" s="19" t="s">
        <v>178</v>
      </c>
      <c r="V1663" s="16">
        <f t="shared" si="321"/>
        <v>117946.149</v>
      </c>
      <c r="W1663" s="16">
        <f t="shared" si="322"/>
        <v>11794.6149</v>
      </c>
      <c r="X1663" s="16">
        <f t="shared" si="323"/>
        <v>129740.76390000001</v>
      </c>
      <c r="Y1663" s="16">
        <f t="shared" si="324"/>
        <v>0.61911034500858941</v>
      </c>
      <c r="Z1663" s="16">
        <f t="shared" si="325"/>
        <v>3.7521839091429663</v>
      </c>
      <c r="AA1663" s="17">
        <f t="shared" si="326"/>
        <v>209560</v>
      </c>
      <c r="AB1663" s="10">
        <v>6168</v>
      </c>
      <c r="AC1663" s="18">
        <f t="shared" si="327"/>
        <v>3818.6726080129797</v>
      </c>
      <c r="AD1663" s="12">
        <f t="shared" si="329"/>
        <v>86652</v>
      </c>
      <c r="AE1663" s="13">
        <f t="shared" si="328"/>
        <v>122908</v>
      </c>
    </row>
    <row r="1664" spans="1:31">
      <c r="A1664" s="6">
        <v>18</v>
      </c>
      <c r="B1664" s="6">
        <v>51</v>
      </c>
      <c r="C1664" s="6" t="str">
        <f t="shared" si="305"/>
        <v>632154400AADHESIVE, PAD 411920545464120000</v>
      </c>
      <c r="D1664" s="7" t="s">
        <v>439</v>
      </c>
      <c r="E1664" s="6" t="s">
        <v>79</v>
      </c>
      <c r="F1664" s="6"/>
      <c r="G1664" s="7" t="s">
        <v>39</v>
      </c>
      <c r="H1664" s="19"/>
      <c r="I1664" s="19"/>
      <c r="J1664" s="19"/>
      <c r="K1664" s="19"/>
      <c r="L1664" s="14">
        <v>4119205</v>
      </c>
      <c r="M1664" s="22">
        <v>45464</v>
      </c>
      <c r="N1664" s="19" t="s">
        <v>196</v>
      </c>
      <c r="O1664" s="19" t="s">
        <v>333</v>
      </c>
      <c r="P1664" s="15">
        <v>120000</v>
      </c>
      <c r="Q1664" s="15">
        <v>394723.3</v>
      </c>
      <c r="R1664" s="15">
        <v>87082900</v>
      </c>
      <c r="S1664" s="15">
        <v>15</v>
      </c>
      <c r="T1664" s="19" t="s">
        <v>201</v>
      </c>
      <c r="U1664" s="19" t="s">
        <v>178</v>
      </c>
      <c r="V1664" s="16">
        <f t="shared" si="321"/>
        <v>59208.494999999995</v>
      </c>
      <c r="W1664" s="16">
        <f t="shared" si="322"/>
        <v>5920.8495000000003</v>
      </c>
      <c r="X1664" s="16">
        <f t="shared" si="323"/>
        <v>65129.344499999992</v>
      </c>
      <c r="Y1664" s="16">
        <f t="shared" si="324"/>
        <v>0.54274453749999996</v>
      </c>
      <c r="Z1664" s="16">
        <f t="shared" si="325"/>
        <v>3.2893608333333333</v>
      </c>
      <c r="AA1664" s="17">
        <f t="shared" si="326"/>
        <v>120000</v>
      </c>
      <c r="AB1664" s="10">
        <v>6168</v>
      </c>
      <c r="AC1664" s="18">
        <f t="shared" si="327"/>
        <v>3347.6483072999999</v>
      </c>
      <c r="AD1664" s="12">
        <f t="shared" si="329"/>
        <v>30564</v>
      </c>
      <c r="AE1664" s="13">
        <f t="shared" si="328"/>
        <v>89436</v>
      </c>
    </row>
    <row r="1665" spans="1:31">
      <c r="A1665" s="6">
        <v>18</v>
      </c>
      <c r="B1665" s="6">
        <v>52</v>
      </c>
      <c r="C1665" s="6" t="str">
        <f t="shared" si="305"/>
        <v>597509600AWEBBING, COATING, P10960 P109604300080245394300</v>
      </c>
      <c r="D1665" s="7" t="s">
        <v>439</v>
      </c>
      <c r="E1665" s="6" t="s">
        <v>481</v>
      </c>
      <c r="F1665" s="6"/>
      <c r="G1665" s="7" t="s">
        <v>413</v>
      </c>
      <c r="H1665" s="19"/>
      <c r="I1665" s="19"/>
      <c r="J1665" s="19"/>
      <c r="K1665" s="19"/>
      <c r="L1665" s="14">
        <v>3000802</v>
      </c>
      <c r="M1665" s="22">
        <v>45394</v>
      </c>
      <c r="N1665" s="19" t="s">
        <v>185</v>
      </c>
      <c r="O1665" s="19" t="s">
        <v>337</v>
      </c>
      <c r="P1665" s="15">
        <v>300</v>
      </c>
      <c r="Q1665" s="15">
        <v>435159.64</v>
      </c>
      <c r="R1665" s="15">
        <v>38099190</v>
      </c>
      <c r="S1665" s="15">
        <v>7.5</v>
      </c>
      <c r="T1665" s="19" t="s">
        <v>430</v>
      </c>
      <c r="U1665" s="19" t="s">
        <v>178</v>
      </c>
      <c r="V1665" s="16">
        <f t="shared" si="321"/>
        <v>32636.972999999998</v>
      </c>
      <c r="W1665" s="16">
        <f t="shared" si="322"/>
        <v>3263.6972999999998</v>
      </c>
      <c r="X1665" s="16">
        <f t="shared" si="323"/>
        <v>35900.670299999998</v>
      </c>
      <c r="Y1665" s="16">
        <f t="shared" si="324"/>
        <v>119.66890099999999</v>
      </c>
      <c r="Z1665" s="16">
        <f t="shared" si="325"/>
        <v>1450.5321333333334</v>
      </c>
      <c r="AA1665" s="17">
        <f t="shared" si="326"/>
        <v>300</v>
      </c>
      <c r="AB1665" s="10">
        <v>0.504</v>
      </c>
      <c r="AC1665" s="18">
        <f t="shared" si="327"/>
        <v>60.313126103999998</v>
      </c>
      <c r="AD1665" s="12">
        <f t="shared" si="329"/>
        <v>40.703999999999994</v>
      </c>
      <c r="AE1665" s="13">
        <f t="shared" si="328"/>
        <v>259.29599999999999</v>
      </c>
    </row>
    <row r="1666" spans="1:31">
      <c r="A1666" s="6">
        <v>18</v>
      </c>
      <c r="B1666" s="6">
        <v>53</v>
      </c>
      <c r="C1666" s="6" t="str">
        <f t="shared" ref="C1666:C1729" si="330">E1666&amp;G1666&amp;L1666&amp;M1666&amp;P1666</f>
        <v>597509800AWEBBING, COATING, P17101 P171013300080245394480</v>
      </c>
      <c r="D1666" s="7" t="s">
        <v>439</v>
      </c>
      <c r="E1666" s="6" t="s">
        <v>482</v>
      </c>
      <c r="F1666" s="6"/>
      <c r="G1666" s="7" t="s">
        <v>414</v>
      </c>
      <c r="H1666" s="19"/>
      <c r="I1666" s="19"/>
      <c r="J1666" s="19"/>
      <c r="K1666" s="19"/>
      <c r="L1666" s="14">
        <v>3000802</v>
      </c>
      <c r="M1666" s="22">
        <v>45394</v>
      </c>
      <c r="N1666" s="19" t="s">
        <v>185</v>
      </c>
      <c r="O1666" s="19" t="s">
        <v>337</v>
      </c>
      <c r="P1666" s="15">
        <v>480</v>
      </c>
      <c r="Q1666" s="15">
        <v>342109.54</v>
      </c>
      <c r="R1666" s="15">
        <v>38099190</v>
      </c>
      <c r="S1666" s="15">
        <v>7.5</v>
      </c>
      <c r="T1666" s="19" t="s">
        <v>430</v>
      </c>
      <c r="U1666" s="19" t="s">
        <v>178</v>
      </c>
      <c r="V1666" s="16">
        <f t="shared" si="321"/>
        <v>25658.215499999998</v>
      </c>
      <c r="W1666" s="16">
        <f t="shared" si="322"/>
        <v>2565.8215500000001</v>
      </c>
      <c r="X1666" s="16">
        <f t="shared" si="323"/>
        <v>28224.037049999999</v>
      </c>
      <c r="Y1666" s="16">
        <f t="shared" si="324"/>
        <v>58.800077187500001</v>
      </c>
      <c r="Z1666" s="16">
        <f t="shared" si="325"/>
        <v>712.72820833333333</v>
      </c>
      <c r="AA1666" s="17">
        <f t="shared" si="326"/>
        <v>480</v>
      </c>
      <c r="AB1666" s="10">
        <v>1.008</v>
      </c>
      <c r="AC1666" s="18">
        <f t="shared" si="327"/>
        <v>59.270477804999999</v>
      </c>
      <c r="AD1666" s="12">
        <f t="shared" si="329"/>
        <v>81.407999999999987</v>
      </c>
      <c r="AE1666" s="13">
        <f t="shared" si="328"/>
        <v>398.59199999999998</v>
      </c>
    </row>
    <row r="1667" spans="1:31">
      <c r="A1667" s="6">
        <v>18</v>
      </c>
      <c r="B1667" s="6">
        <v>54</v>
      </c>
      <c r="C1667" s="6" t="str">
        <f t="shared" si="330"/>
        <v>597509900AWEBBING, COATING, P70007 P7000783000802453942600</v>
      </c>
      <c r="D1667" s="7" t="s">
        <v>439</v>
      </c>
      <c r="E1667" s="6" t="s">
        <v>483</v>
      </c>
      <c r="F1667" s="6"/>
      <c r="G1667" s="7" t="s">
        <v>415</v>
      </c>
      <c r="H1667" s="19"/>
      <c r="I1667" s="19"/>
      <c r="J1667" s="19"/>
      <c r="K1667" s="19"/>
      <c r="L1667" s="14">
        <v>3000802</v>
      </c>
      <c r="M1667" s="22">
        <v>45394</v>
      </c>
      <c r="N1667" s="19" t="s">
        <v>185</v>
      </c>
      <c r="O1667" s="19" t="s">
        <v>337</v>
      </c>
      <c r="P1667" s="15">
        <v>2600</v>
      </c>
      <c r="Q1667" s="15">
        <v>955383.72</v>
      </c>
      <c r="R1667" s="15">
        <v>38099190</v>
      </c>
      <c r="S1667" s="15">
        <v>7.5</v>
      </c>
      <c r="T1667" s="19" t="s">
        <v>430</v>
      </c>
      <c r="U1667" s="19" t="s">
        <v>178</v>
      </c>
      <c r="V1667" s="16">
        <f t="shared" si="321"/>
        <v>71653.778999999995</v>
      </c>
      <c r="W1667" s="16">
        <f t="shared" si="322"/>
        <v>7165.3778999999995</v>
      </c>
      <c r="X1667" s="16">
        <f t="shared" si="323"/>
        <v>78819.156900000002</v>
      </c>
      <c r="Y1667" s="16">
        <f t="shared" si="324"/>
        <v>30.315060346153846</v>
      </c>
      <c r="Z1667" s="16">
        <f t="shared" si="325"/>
        <v>367.45527692307689</v>
      </c>
      <c r="AA1667" s="17">
        <f t="shared" si="326"/>
        <v>2600</v>
      </c>
      <c r="AB1667" s="10">
        <v>3.024</v>
      </c>
      <c r="AC1667" s="18">
        <f t="shared" si="327"/>
        <v>91.672742486769238</v>
      </c>
      <c r="AD1667" s="12">
        <f t="shared" si="329"/>
        <v>812.46400800000004</v>
      </c>
      <c r="AE1667" s="13">
        <f t="shared" si="328"/>
        <v>1787.5359920000001</v>
      </c>
    </row>
    <row r="1668" spans="1:31">
      <c r="A1668" s="6">
        <v>18</v>
      </c>
      <c r="B1668" s="6">
        <v>55</v>
      </c>
      <c r="C1668" s="6" t="str">
        <f t="shared" si="330"/>
        <v>597510000BWEBBING, COATING,P3225503000802453942880</v>
      </c>
      <c r="D1668" s="7" t="s">
        <v>439</v>
      </c>
      <c r="E1668" s="6" t="s">
        <v>484</v>
      </c>
      <c r="F1668" s="6"/>
      <c r="G1668" s="7" t="s">
        <v>444</v>
      </c>
      <c r="H1668" s="19"/>
      <c r="I1668" s="19"/>
      <c r="J1668" s="19"/>
      <c r="K1668" s="19"/>
      <c r="L1668" s="14">
        <v>3000802</v>
      </c>
      <c r="M1668" s="22">
        <v>45394</v>
      </c>
      <c r="N1668" s="19" t="s">
        <v>185</v>
      </c>
      <c r="O1668" s="19" t="s">
        <v>337</v>
      </c>
      <c r="P1668" s="15">
        <v>2880</v>
      </c>
      <c r="Q1668" s="15">
        <v>922168.08</v>
      </c>
      <c r="R1668" s="15">
        <v>38099190</v>
      </c>
      <c r="S1668" s="15">
        <v>7.5</v>
      </c>
      <c r="T1668" s="19" t="s">
        <v>430</v>
      </c>
      <c r="U1668" s="19" t="s">
        <v>178</v>
      </c>
      <c r="V1668" s="16">
        <f t="shared" si="321"/>
        <v>69162.606</v>
      </c>
      <c r="W1668" s="16">
        <f t="shared" si="322"/>
        <v>6916.2606000000005</v>
      </c>
      <c r="X1668" s="16">
        <f t="shared" si="323"/>
        <v>76078.866599999994</v>
      </c>
      <c r="Y1668" s="16">
        <f t="shared" si="324"/>
        <v>26.416273124999996</v>
      </c>
      <c r="Z1668" s="16">
        <f t="shared" si="325"/>
        <v>320.19725</v>
      </c>
      <c r="AA1668" s="17">
        <f t="shared" si="326"/>
        <v>2880</v>
      </c>
      <c r="AB1668" s="10">
        <v>4.032</v>
      </c>
      <c r="AC1668" s="18">
        <f t="shared" si="327"/>
        <v>106.51041323999999</v>
      </c>
      <c r="AD1668" s="12">
        <f t="shared" si="329"/>
        <v>956.68977600000005</v>
      </c>
      <c r="AE1668" s="13">
        <f t="shared" si="328"/>
        <v>1923.3102239999998</v>
      </c>
    </row>
    <row r="1669" spans="1:31">
      <c r="A1669" s="6">
        <v>18</v>
      </c>
      <c r="B1669" s="6">
        <v>56</v>
      </c>
      <c r="C1669" s="6" t="str">
        <f t="shared" si="330"/>
        <v>597510100AWEBBING, COATING, P70014 P700146300080245394115</v>
      </c>
      <c r="D1669" s="7" t="s">
        <v>439</v>
      </c>
      <c r="E1669" s="6" t="s">
        <v>485</v>
      </c>
      <c r="F1669" s="6"/>
      <c r="G1669" s="7" t="s">
        <v>416</v>
      </c>
      <c r="H1669" s="19"/>
      <c r="I1669" s="19"/>
      <c r="J1669" s="19"/>
      <c r="K1669" s="19"/>
      <c r="L1669" s="14">
        <v>3000802</v>
      </c>
      <c r="M1669" s="22">
        <v>45394</v>
      </c>
      <c r="N1669" s="19" t="s">
        <v>185</v>
      </c>
      <c r="O1669" s="19" t="s">
        <v>337</v>
      </c>
      <c r="P1669" s="15">
        <v>115</v>
      </c>
      <c r="Q1669" s="15">
        <v>26840.63</v>
      </c>
      <c r="R1669" s="15">
        <v>38099190</v>
      </c>
      <c r="S1669" s="15">
        <v>7.5</v>
      </c>
      <c r="T1669" s="19" t="s">
        <v>430</v>
      </c>
      <c r="U1669" s="19" t="s">
        <v>178</v>
      </c>
      <c r="V1669" s="16">
        <f t="shared" si="321"/>
        <v>2013.0472500000001</v>
      </c>
      <c r="W1669" s="16">
        <f t="shared" si="322"/>
        <v>201.30472500000002</v>
      </c>
      <c r="X1669" s="16">
        <f t="shared" si="323"/>
        <v>2214.351975</v>
      </c>
      <c r="Y1669" s="16">
        <f t="shared" si="324"/>
        <v>19.255234565217393</v>
      </c>
      <c r="Z1669" s="16">
        <f t="shared" si="325"/>
        <v>233.39678260869567</v>
      </c>
      <c r="AA1669" s="17">
        <f t="shared" si="326"/>
        <v>115</v>
      </c>
      <c r="AB1669" s="10">
        <v>0.20399999999999999</v>
      </c>
      <c r="AC1669" s="18">
        <f t="shared" si="327"/>
        <v>3.9280678513043479</v>
      </c>
      <c r="AD1669" s="12">
        <f t="shared" si="329"/>
        <v>16.701600000000003</v>
      </c>
      <c r="AE1669" s="13">
        <f t="shared" si="328"/>
        <v>98.298400000000001</v>
      </c>
    </row>
    <row r="1670" spans="1:31">
      <c r="A1670" s="6">
        <v>18</v>
      </c>
      <c r="B1670" s="6">
        <v>57</v>
      </c>
      <c r="C1670" s="6" t="str">
        <f t="shared" si="330"/>
        <v>625254901AWEBBING YARN PET PERF FIBERS 550DTEX F70 V0707719845134137733</v>
      </c>
      <c r="D1670" s="7" t="s">
        <v>439</v>
      </c>
      <c r="E1670" s="6" t="s">
        <v>486</v>
      </c>
      <c r="F1670" s="6"/>
      <c r="G1670" s="7" t="s">
        <v>417</v>
      </c>
      <c r="H1670" s="19"/>
      <c r="I1670" s="19"/>
      <c r="J1670" s="19"/>
      <c r="K1670" s="19"/>
      <c r="L1670" s="14">
        <v>7077198</v>
      </c>
      <c r="M1670" s="22">
        <v>45134</v>
      </c>
      <c r="N1670" s="19" t="s">
        <v>197</v>
      </c>
      <c r="O1670" s="19" t="s">
        <v>337</v>
      </c>
      <c r="P1670" s="15">
        <v>137733</v>
      </c>
      <c r="Q1670" s="15">
        <v>23488638.550000001</v>
      </c>
      <c r="R1670" s="15">
        <v>54025290</v>
      </c>
      <c r="S1670" s="15">
        <v>5</v>
      </c>
      <c r="T1670" s="19" t="s">
        <v>431</v>
      </c>
      <c r="U1670" s="19" t="s">
        <v>178</v>
      </c>
      <c r="V1670" s="16">
        <f t="shared" si="321"/>
        <v>1174431.9275</v>
      </c>
      <c r="W1670" s="16">
        <f t="shared" si="322"/>
        <v>117443.19275</v>
      </c>
      <c r="X1670" s="16">
        <f t="shared" si="323"/>
        <v>1291875.1202499999</v>
      </c>
      <c r="Y1670" s="16">
        <f t="shared" si="324"/>
        <v>9.3795613269877212</v>
      </c>
      <c r="Z1670" s="16">
        <f t="shared" si="325"/>
        <v>170.53747867250405</v>
      </c>
      <c r="AA1670" s="17">
        <f t="shared" si="326"/>
        <v>137733</v>
      </c>
      <c r="AB1670" s="10">
        <v>10.799999999999999</v>
      </c>
      <c r="AC1670" s="18">
        <f t="shared" si="327"/>
        <v>101.29926233146738</v>
      </c>
      <c r="AD1670" s="12">
        <f t="shared" si="329"/>
        <v>2759.808</v>
      </c>
      <c r="AE1670" s="13">
        <f t="shared" si="328"/>
        <v>134973.19200000001</v>
      </c>
    </row>
    <row r="1671" spans="1:31">
      <c r="A1671" s="6">
        <v>18</v>
      </c>
      <c r="B1671" s="6">
        <v>58</v>
      </c>
      <c r="C1671" s="6" t="str">
        <f t="shared" si="330"/>
        <v>623642402AWEBBING YARN PET PERF FIBERS 275DTEX F35 V04879341455091050</v>
      </c>
      <c r="D1671" s="7" t="s">
        <v>439</v>
      </c>
      <c r="E1671" s="6" t="s">
        <v>487</v>
      </c>
      <c r="F1671" s="6"/>
      <c r="G1671" s="7" t="s">
        <v>418</v>
      </c>
      <c r="H1671" s="19"/>
      <c r="I1671" s="19"/>
      <c r="J1671" s="19"/>
      <c r="K1671" s="19"/>
      <c r="L1671" s="14">
        <v>4879341</v>
      </c>
      <c r="M1671" s="22">
        <v>45509</v>
      </c>
      <c r="N1671" s="19" t="s">
        <v>197</v>
      </c>
      <c r="O1671" s="19" t="s">
        <v>337</v>
      </c>
      <c r="P1671" s="15">
        <v>1050</v>
      </c>
      <c r="Q1671" s="15">
        <v>234373.62</v>
      </c>
      <c r="R1671" s="15">
        <v>54025290</v>
      </c>
      <c r="S1671" s="15">
        <v>5</v>
      </c>
      <c r="T1671" s="19" t="s">
        <v>432</v>
      </c>
      <c r="U1671" s="19" t="s">
        <v>178</v>
      </c>
      <c r="V1671" s="16">
        <f t="shared" si="321"/>
        <v>11718.681</v>
      </c>
      <c r="W1671" s="16">
        <f t="shared" si="322"/>
        <v>1171.8681000000001</v>
      </c>
      <c r="X1671" s="16">
        <f t="shared" si="323"/>
        <v>12890.5491</v>
      </c>
      <c r="Y1671" s="16">
        <f t="shared" si="324"/>
        <v>12.276713428571428</v>
      </c>
      <c r="Z1671" s="16">
        <f t="shared" si="325"/>
        <v>223.21297142857142</v>
      </c>
      <c r="AA1671" s="17">
        <f t="shared" si="326"/>
        <v>1050</v>
      </c>
      <c r="AB1671" s="10">
        <v>8.879999999999999</v>
      </c>
      <c r="AC1671" s="18">
        <f t="shared" si="327"/>
        <v>109.01721524571427</v>
      </c>
      <c r="AD1671" s="12">
        <f t="shared" si="329"/>
        <v>97.079999999999984</v>
      </c>
      <c r="AE1671" s="13">
        <f t="shared" si="328"/>
        <v>952.92000000000007</v>
      </c>
    </row>
    <row r="1672" spans="1:31">
      <c r="A1672" s="6">
        <v>18</v>
      </c>
      <c r="B1672" s="6">
        <v>59</v>
      </c>
      <c r="C1672" s="6" t="str">
        <f t="shared" si="330"/>
        <v>625255601AWEBBING YARN PET PERF FIBERS 110DTEX F35, V0399198445457288</v>
      </c>
      <c r="D1672" s="7" t="s">
        <v>439</v>
      </c>
      <c r="E1672" s="6" t="s">
        <v>488</v>
      </c>
      <c r="F1672" s="6"/>
      <c r="G1672" s="7" t="s">
        <v>419</v>
      </c>
      <c r="H1672" s="19"/>
      <c r="I1672" s="19"/>
      <c r="J1672" s="19"/>
      <c r="K1672" s="19"/>
      <c r="L1672" s="14">
        <v>3991984</v>
      </c>
      <c r="M1672" s="22">
        <v>45457</v>
      </c>
      <c r="N1672" s="19" t="s">
        <v>197</v>
      </c>
      <c r="O1672" s="19" t="s">
        <v>337</v>
      </c>
      <c r="P1672" s="15">
        <v>288</v>
      </c>
      <c r="Q1672" s="15">
        <v>107819.84</v>
      </c>
      <c r="R1672" s="15">
        <v>54025290</v>
      </c>
      <c r="S1672" s="15">
        <v>5</v>
      </c>
      <c r="T1672" s="19" t="s">
        <v>433</v>
      </c>
      <c r="U1672" s="19" t="s">
        <v>178</v>
      </c>
      <c r="V1672" s="16">
        <f t="shared" si="321"/>
        <v>5390.9920000000002</v>
      </c>
      <c r="W1672" s="16">
        <f t="shared" si="322"/>
        <v>539.0992</v>
      </c>
      <c r="X1672" s="16">
        <f t="shared" si="323"/>
        <v>5930.0911999999998</v>
      </c>
      <c r="Y1672" s="16">
        <f t="shared" si="324"/>
        <v>20.590594444444445</v>
      </c>
      <c r="Z1672" s="16">
        <f t="shared" si="325"/>
        <v>374.37444444444441</v>
      </c>
      <c r="AA1672" s="17">
        <f t="shared" si="326"/>
        <v>288</v>
      </c>
      <c r="AB1672" s="10">
        <v>0.48000000000000004</v>
      </c>
      <c r="AC1672" s="18">
        <f t="shared" si="327"/>
        <v>9.8834853333333346</v>
      </c>
      <c r="AD1672" s="12">
        <f t="shared" si="329"/>
        <v>99.003240000000019</v>
      </c>
      <c r="AE1672" s="13">
        <f t="shared" si="328"/>
        <v>188.99675999999999</v>
      </c>
    </row>
    <row r="1673" spans="1:31">
      <c r="A1673" s="6">
        <v>18</v>
      </c>
      <c r="B1673" s="6">
        <v>60</v>
      </c>
      <c r="C1673" s="6" t="str">
        <f t="shared" si="330"/>
        <v>640839400AWEBBING, YARN, PET, OTIZ 575 DTEX, F97, Z130, WHI626703045082480</v>
      </c>
      <c r="D1673" s="7" t="s">
        <v>439</v>
      </c>
      <c r="E1673" s="6" t="s">
        <v>489</v>
      </c>
      <c r="F1673" s="6"/>
      <c r="G1673" s="7" t="s">
        <v>420</v>
      </c>
      <c r="H1673" s="19"/>
      <c r="I1673" s="19"/>
      <c r="J1673" s="19"/>
      <c r="K1673" s="19"/>
      <c r="L1673" s="14">
        <v>6267030</v>
      </c>
      <c r="M1673" s="22">
        <v>45082</v>
      </c>
      <c r="N1673" s="19" t="s">
        <v>185</v>
      </c>
      <c r="O1673" s="19" t="s">
        <v>337</v>
      </c>
      <c r="P1673" s="15">
        <v>480</v>
      </c>
      <c r="Q1673" s="15">
        <v>394315.2</v>
      </c>
      <c r="R1673" s="15">
        <v>54022090</v>
      </c>
      <c r="S1673" s="15">
        <v>5</v>
      </c>
      <c r="T1673" s="19" t="s">
        <v>434</v>
      </c>
      <c r="U1673" s="19" t="s">
        <v>178</v>
      </c>
      <c r="V1673" s="16">
        <f t="shared" si="321"/>
        <v>19715.760000000002</v>
      </c>
      <c r="W1673" s="16">
        <f t="shared" si="322"/>
        <v>1971.5760000000002</v>
      </c>
      <c r="X1673" s="16">
        <f t="shared" si="323"/>
        <v>21687.336000000003</v>
      </c>
      <c r="Y1673" s="16">
        <f t="shared" si="324"/>
        <v>45.181950000000008</v>
      </c>
      <c r="Z1673" s="16">
        <f t="shared" si="325"/>
        <v>821.49</v>
      </c>
      <c r="AA1673" s="17">
        <f t="shared" si="326"/>
        <v>480</v>
      </c>
      <c r="AB1673" s="10">
        <v>0.72</v>
      </c>
      <c r="AC1673" s="18">
        <f t="shared" si="327"/>
        <v>32.531004000000003</v>
      </c>
      <c r="AD1673" s="12">
        <f t="shared" si="329"/>
        <v>5.04</v>
      </c>
      <c r="AE1673" s="13">
        <f t="shared" si="328"/>
        <v>474.96</v>
      </c>
    </row>
    <row r="1674" spans="1:31">
      <c r="A1674" s="6">
        <v>18</v>
      </c>
      <c r="B1674" s="6">
        <v>61</v>
      </c>
      <c r="C1674" s="6" t="str">
        <f t="shared" si="330"/>
        <v>623851800AWEBBING,YARN,PET,Hyosung 830, F96, V0, White62972374508458320</v>
      </c>
      <c r="D1674" s="7" t="s">
        <v>439</v>
      </c>
      <c r="E1674" s="6" t="s">
        <v>490</v>
      </c>
      <c r="F1674" s="6"/>
      <c r="G1674" s="7" t="s">
        <v>421</v>
      </c>
      <c r="H1674" s="19"/>
      <c r="I1674" s="19"/>
      <c r="J1674" s="19"/>
      <c r="K1674" s="19"/>
      <c r="L1674" s="14">
        <v>6297237</v>
      </c>
      <c r="M1674" s="22">
        <v>45084</v>
      </c>
      <c r="N1674" s="19" t="s">
        <v>185</v>
      </c>
      <c r="O1674" s="19" t="s">
        <v>337</v>
      </c>
      <c r="P1674" s="15">
        <v>58320</v>
      </c>
      <c r="Q1674" s="15">
        <v>9290026.0800000001</v>
      </c>
      <c r="R1674" s="15">
        <v>54022090</v>
      </c>
      <c r="S1674" s="15">
        <v>5</v>
      </c>
      <c r="T1674" s="19" t="s">
        <v>435</v>
      </c>
      <c r="U1674" s="19" t="s">
        <v>178</v>
      </c>
      <c r="V1674" s="16">
        <f t="shared" si="321"/>
        <v>464501.304</v>
      </c>
      <c r="W1674" s="16">
        <f t="shared" si="322"/>
        <v>46450.130400000002</v>
      </c>
      <c r="X1674" s="16">
        <f t="shared" si="323"/>
        <v>510951.43440000003</v>
      </c>
      <c r="Y1674" s="16">
        <f t="shared" si="324"/>
        <v>8.7611699999999999</v>
      </c>
      <c r="Z1674" s="16">
        <f t="shared" si="325"/>
        <v>159.29400000000001</v>
      </c>
      <c r="AA1674" s="17">
        <f t="shared" si="326"/>
        <v>58320</v>
      </c>
      <c r="AB1674" s="10">
        <v>69.48</v>
      </c>
      <c r="AC1674" s="18">
        <f t="shared" si="327"/>
        <v>608.72609160000002</v>
      </c>
      <c r="AD1674" s="12">
        <f t="shared" si="329"/>
        <v>486.36</v>
      </c>
      <c r="AE1674" s="13">
        <f t="shared" si="328"/>
        <v>57833.64</v>
      </c>
    </row>
    <row r="1675" spans="1:31">
      <c r="A1675" s="6">
        <v>18</v>
      </c>
      <c r="B1675" s="6">
        <v>62</v>
      </c>
      <c r="C1675" s="6" t="str">
        <f t="shared" si="330"/>
        <v>625236501AWEBBING YARN PET HYOSUNG 1670DTEX F144 V0 WHIT62972374508497200</v>
      </c>
      <c r="D1675" s="7" t="s">
        <v>439</v>
      </c>
      <c r="E1675" s="6" t="s">
        <v>491</v>
      </c>
      <c r="F1675" s="6"/>
      <c r="G1675" s="7" t="s">
        <v>422</v>
      </c>
      <c r="H1675" s="19"/>
      <c r="I1675" s="19"/>
      <c r="J1675" s="19"/>
      <c r="K1675" s="19"/>
      <c r="L1675" s="14">
        <v>6297237</v>
      </c>
      <c r="M1675" s="22">
        <v>45084</v>
      </c>
      <c r="N1675" s="19" t="s">
        <v>185</v>
      </c>
      <c r="O1675" s="19" t="s">
        <v>337</v>
      </c>
      <c r="P1675" s="15">
        <v>97200</v>
      </c>
      <c r="Q1675" s="15">
        <v>13537821.6</v>
      </c>
      <c r="R1675" s="15">
        <v>54022090</v>
      </c>
      <c r="S1675" s="15">
        <v>5</v>
      </c>
      <c r="T1675" s="19" t="s">
        <v>435</v>
      </c>
      <c r="U1675" s="19" t="s">
        <v>178</v>
      </c>
      <c r="V1675" s="16">
        <f t="shared" si="321"/>
        <v>676891.08000000007</v>
      </c>
      <c r="W1675" s="16">
        <f t="shared" si="322"/>
        <v>67689.108000000007</v>
      </c>
      <c r="X1675" s="16">
        <f t="shared" si="323"/>
        <v>744580.18800000008</v>
      </c>
      <c r="Y1675" s="16">
        <f t="shared" si="324"/>
        <v>7.6602900000000007</v>
      </c>
      <c r="Z1675" s="16">
        <f t="shared" si="325"/>
        <v>139.27799999999999</v>
      </c>
      <c r="AA1675" s="17">
        <f t="shared" si="326"/>
        <v>97200</v>
      </c>
      <c r="AB1675" s="10">
        <v>623.52</v>
      </c>
      <c r="AC1675" s="18">
        <f t="shared" si="327"/>
        <v>4776.3440208000002</v>
      </c>
      <c r="AD1675" s="12">
        <f t="shared" si="329"/>
        <v>4364.6399999999994</v>
      </c>
      <c r="AE1675" s="13">
        <f t="shared" si="328"/>
        <v>92835.36</v>
      </c>
    </row>
    <row r="1676" spans="1:31">
      <c r="A1676" s="6">
        <v>18</v>
      </c>
      <c r="B1676" s="6">
        <v>63</v>
      </c>
      <c r="C1676" s="6" t="str">
        <f t="shared" si="330"/>
        <v>640294200AINFLATOR, ASP-2, GEN15,65265414560213824</v>
      </c>
      <c r="D1676" s="7" t="s">
        <v>439</v>
      </c>
      <c r="E1676" s="6" t="s">
        <v>470</v>
      </c>
      <c r="F1676" s="6"/>
      <c r="G1676" s="7" t="s">
        <v>238</v>
      </c>
      <c r="H1676" s="19"/>
      <c r="I1676" s="19"/>
      <c r="J1676" s="19"/>
      <c r="K1676" s="19"/>
      <c r="L1676" s="14">
        <v>6526541</v>
      </c>
      <c r="M1676" s="22">
        <v>45602</v>
      </c>
      <c r="N1676" s="19" t="s">
        <v>185</v>
      </c>
      <c r="O1676" s="19" t="s">
        <v>332</v>
      </c>
      <c r="P1676" s="15">
        <v>13824</v>
      </c>
      <c r="Q1676" s="15">
        <v>3568768.29</v>
      </c>
      <c r="R1676" s="15">
        <v>87089500</v>
      </c>
      <c r="S1676" s="15">
        <v>15</v>
      </c>
      <c r="T1676" s="19" t="s">
        <v>388</v>
      </c>
      <c r="U1676" s="19" t="s">
        <v>178</v>
      </c>
      <c r="V1676" s="16">
        <f t="shared" si="321"/>
        <v>535315.24349999998</v>
      </c>
      <c r="W1676" s="16">
        <f t="shared" si="322"/>
        <v>53531.52435</v>
      </c>
      <c r="X1676" s="16">
        <f t="shared" si="323"/>
        <v>588846.76784999995</v>
      </c>
      <c r="Y1676" s="16">
        <f t="shared" si="324"/>
        <v>42.595975683593743</v>
      </c>
      <c r="Z1676" s="16">
        <f t="shared" si="325"/>
        <v>258.15742838541667</v>
      </c>
      <c r="AA1676" s="17">
        <f t="shared" si="326"/>
        <v>13824</v>
      </c>
      <c r="AB1676" s="10">
        <v>2832</v>
      </c>
      <c r="AC1676" s="18">
        <f t="shared" si="327"/>
        <v>120631.80313593747</v>
      </c>
      <c r="AD1676" s="12">
        <f t="shared" si="329"/>
        <v>12904</v>
      </c>
      <c r="AE1676" s="13">
        <f t="shared" si="328"/>
        <v>920</v>
      </c>
    </row>
    <row r="1677" spans="1:31">
      <c r="A1677" s="6">
        <v>18</v>
      </c>
      <c r="B1677" s="6">
        <v>64</v>
      </c>
      <c r="C1677" s="6" t="str">
        <f t="shared" si="330"/>
        <v>622408300ALABEL, BLANK, BAR CODE,964466545303100000</v>
      </c>
      <c r="D1677" s="7" t="s">
        <v>439</v>
      </c>
      <c r="E1677" s="6" t="s">
        <v>473</v>
      </c>
      <c r="F1677" s="6"/>
      <c r="G1677" s="7" t="s">
        <v>239</v>
      </c>
      <c r="H1677" s="19"/>
      <c r="I1677" s="19"/>
      <c r="J1677" s="19"/>
      <c r="K1677" s="19"/>
      <c r="L1677" s="14">
        <v>9644665</v>
      </c>
      <c r="M1677" s="22">
        <v>45303</v>
      </c>
      <c r="N1677" s="19" t="s">
        <v>196</v>
      </c>
      <c r="O1677" s="19" t="s">
        <v>333</v>
      </c>
      <c r="P1677" s="15">
        <v>100000</v>
      </c>
      <c r="Q1677" s="15">
        <v>69765.98</v>
      </c>
      <c r="R1677" s="15">
        <v>87089500</v>
      </c>
      <c r="S1677" s="15">
        <v>15</v>
      </c>
      <c r="T1677" s="19" t="s">
        <v>351</v>
      </c>
      <c r="U1677" s="19" t="s">
        <v>178</v>
      </c>
      <c r="V1677" s="16">
        <f t="shared" si="321"/>
        <v>10464.896999999999</v>
      </c>
      <c r="W1677" s="16">
        <f t="shared" si="322"/>
        <v>1046.4896999999999</v>
      </c>
      <c r="X1677" s="16">
        <f t="shared" si="323"/>
        <v>11511.386699999999</v>
      </c>
      <c r="Y1677" s="16">
        <f t="shared" si="324"/>
        <v>0.11511386699999999</v>
      </c>
      <c r="Z1677" s="16">
        <f t="shared" si="325"/>
        <v>0.69765979999999994</v>
      </c>
      <c r="AA1677" s="17">
        <f t="shared" si="326"/>
        <v>100000</v>
      </c>
      <c r="AB1677" s="10">
        <v>8304</v>
      </c>
      <c r="AC1677" s="18">
        <f t="shared" si="327"/>
        <v>955.90555156799996</v>
      </c>
      <c r="AD1677" s="12">
        <f t="shared" si="329"/>
        <v>98136</v>
      </c>
      <c r="AE1677" s="13">
        <f t="shared" si="328"/>
        <v>1864</v>
      </c>
    </row>
    <row r="1678" spans="1:31">
      <c r="A1678" s="6">
        <v>18</v>
      </c>
      <c r="B1678" s="6">
        <v>65</v>
      </c>
      <c r="C1678" s="6" t="str">
        <f t="shared" si="330"/>
        <v>654590700ASU2ID CUSHION COMPONENTS CVR NON-WOVEN LH STD2156837453374500</v>
      </c>
      <c r="D1678" s="7" t="s">
        <v>439</v>
      </c>
      <c r="E1678" s="6" t="s">
        <v>477</v>
      </c>
      <c r="F1678" s="6"/>
      <c r="G1678" s="7" t="s">
        <v>330</v>
      </c>
      <c r="H1678" s="19"/>
      <c r="I1678" s="19"/>
      <c r="J1678" s="19"/>
      <c r="K1678" s="19"/>
      <c r="L1678" s="14">
        <v>2156837</v>
      </c>
      <c r="M1678" s="22">
        <v>45337</v>
      </c>
      <c r="N1678" s="19" t="s">
        <v>185</v>
      </c>
      <c r="O1678" s="19" t="s">
        <v>333</v>
      </c>
      <c r="P1678" s="15">
        <v>4500</v>
      </c>
      <c r="Q1678" s="15">
        <v>54503.31</v>
      </c>
      <c r="R1678" s="15">
        <v>87089500</v>
      </c>
      <c r="S1678" s="15">
        <v>5</v>
      </c>
      <c r="T1678" s="19" t="s">
        <v>346</v>
      </c>
      <c r="U1678" s="19" t="s">
        <v>178</v>
      </c>
      <c r="V1678" s="16">
        <f t="shared" si="321"/>
        <v>2725.1655000000001</v>
      </c>
      <c r="W1678" s="16">
        <f t="shared" si="322"/>
        <v>272.51655</v>
      </c>
      <c r="X1678" s="16">
        <f t="shared" si="323"/>
        <v>2997.6820499999999</v>
      </c>
      <c r="Y1678" s="16">
        <f t="shared" si="324"/>
        <v>0.66615156666666664</v>
      </c>
      <c r="Z1678" s="16">
        <f t="shared" si="325"/>
        <v>12.111846666666667</v>
      </c>
      <c r="AA1678" s="17">
        <f t="shared" si="326"/>
        <v>4500</v>
      </c>
      <c r="AB1678" s="10">
        <v>2304</v>
      </c>
      <c r="AC1678" s="18">
        <f t="shared" si="327"/>
        <v>1534.8132095999999</v>
      </c>
      <c r="AD1678" s="12">
        <f t="shared" si="329"/>
        <v>4500</v>
      </c>
      <c r="AE1678" s="13">
        <f t="shared" si="328"/>
        <v>0</v>
      </c>
    </row>
    <row r="1679" spans="1:31">
      <c r="A1679" s="6">
        <v>18</v>
      </c>
      <c r="B1679" s="6">
        <v>66</v>
      </c>
      <c r="C1679" s="6" t="str">
        <f t="shared" si="330"/>
        <v>603171100BTAPE, ADHESIVE, TERAOKA TERAOKA NO.560S 283492694503640000</v>
      </c>
      <c r="D1679" s="7" t="s">
        <v>439</v>
      </c>
      <c r="E1679" s="6" t="s">
        <v>50</v>
      </c>
      <c r="F1679" s="6"/>
      <c r="G1679" s="7" t="s">
        <v>12</v>
      </c>
      <c r="H1679" s="19"/>
      <c r="I1679" s="19"/>
      <c r="J1679" s="19"/>
      <c r="K1679" s="19"/>
      <c r="L1679" s="14">
        <v>8349269</v>
      </c>
      <c r="M1679" s="22">
        <v>45036</v>
      </c>
      <c r="N1679" s="19" t="s">
        <v>180</v>
      </c>
      <c r="O1679" s="19" t="s">
        <v>333</v>
      </c>
      <c r="P1679" s="15">
        <v>40000</v>
      </c>
      <c r="Q1679" s="15">
        <v>180520.2</v>
      </c>
      <c r="R1679" s="15">
        <v>39199090</v>
      </c>
      <c r="S1679" s="15">
        <v>15</v>
      </c>
      <c r="T1679" s="19" t="s">
        <v>342</v>
      </c>
      <c r="U1679" s="19" t="s">
        <v>178</v>
      </c>
      <c r="V1679" s="16">
        <f t="shared" ref="V1679:V1693" si="331">Q1679*S1679%</f>
        <v>27078.030000000002</v>
      </c>
      <c r="W1679" s="16">
        <f t="shared" ref="W1679:W1693" si="332">V1679*0.1</f>
        <v>2707.8030000000003</v>
      </c>
      <c r="X1679" s="16">
        <f t="shared" ref="X1679:X1693" si="333">V1679+W1679</f>
        <v>29785.833000000002</v>
      </c>
      <c r="Y1679" s="16">
        <f t="shared" ref="Y1679:Y1693" si="334">X1679/P1679</f>
        <v>0.74464582500000009</v>
      </c>
      <c r="Z1679" s="16">
        <f t="shared" ref="Z1679:Z1693" si="335">Q1679/P1679</f>
        <v>4.5130050000000006</v>
      </c>
      <c r="AA1679" s="17">
        <f t="shared" ref="AA1679:AA1693" si="336">P1679</f>
        <v>40000</v>
      </c>
      <c r="AB1679" s="10">
        <v>2764.7999999999997</v>
      </c>
      <c r="AC1679" s="18">
        <f t="shared" ref="AC1679:AC1693" si="337">AB1679*Y1679</f>
        <v>2058.79677696</v>
      </c>
      <c r="AD1679" s="12">
        <f t="shared" si="329"/>
        <v>12498</v>
      </c>
      <c r="AE1679" s="13">
        <f t="shared" ref="AE1679:AE1693" si="338">AA1679-AD1679</f>
        <v>27502</v>
      </c>
    </row>
    <row r="1680" spans="1:31">
      <c r="A1680" s="6">
        <v>18</v>
      </c>
      <c r="B1680" s="6">
        <v>67</v>
      </c>
      <c r="C1680" s="6" t="str">
        <f t="shared" si="330"/>
        <v>609183701ASTUD, M6 X 1.0, 16.0402550745458126000</v>
      </c>
      <c r="D1680" s="7" t="s">
        <v>439</v>
      </c>
      <c r="E1680" s="6" t="s">
        <v>51</v>
      </c>
      <c r="F1680" s="6"/>
      <c r="G1680" s="7" t="s">
        <v>411</v>
      </c>
      <c r="H1680" s="19"/>
      <c r="I1680" s="19"/>
      <c r="J1680" s="19"/>
      <c r="K1680" s="19"/>
      <c r="L1680" s="14">
        <v>4025507</v>
      </c>
      <c r="M1680" s="22">
        <v>45458</v>
      </c>
      <c r="N1680" s="19" t="s">
        <v>185</v>
      </c>
      <c r="O1680" s="19" t="s">
        <v>332</v>
      </c>
      <c r="P1680" s="15">
        <v>126000</v>
      </c>
      <c r="Q1680" s="15">
        <v>351674.67</v>
      </c>
      <c r="R1680" s="15">
        <v>87089500</v>
      </c>
      <c r="S1680" s="15">
        <v>15</v>
      </c>
      <c r="T1680" s="19" t="s">
        <v>304</v>
      </c>
      <c r="U1680" s="19" t="s">
        <v>178</v>
      </c>
      <c r="V1680" s="16">
        <f t="shared" si="331"/>
        <v>52751.200499999999</v>
      </c>
      <c r="W1680" s="16">
        <f t="shared" si="332"/>
        <v>5275.1200500000004</v>
      </c>
      <c r="X1680" s="16">
        <f t="shared" si="333"/>
        <v>58026.320549999997</v>
      </c>
      <c r="Y1680" s="16">
        <f t="shared" si="334"/>
        <v>0.46052635357142857</v>
      </c>
      <c r="Z1680" s="16">
        <f t="shared" si="335"/>
        <v>2.7910688095238094</v>
      </c>
      <c r="AA1680" s="17">
        <f t="shared" si="336"/>
        <v>126000</v>
      </c>
      <c r="AB1680" s="10">
        <v>18432</v>
      </c>
      <c r="AC1680" s="18">
        <f t="shared" si="337"/>
        <v>8488.4217490285719</v>
      </c>
      <c r="AD1680" s="12">
        <f t="shared" si="329"/>
        <v>113280</v>
      </c>
      <c r="AE1680" s="13">
        <f t="shared" si="338"/>
        <v>12720</v>
      </c>
    </row>
    <row r="1681" spans="1:31">
      <c r="A1681" s="6">
        <v>18</v>
      </c>
      <c r="B1681" s="6">
        <v>68</v>
      </c>
      <c r="C1681" s="6" t="str">
        <f t="shared" si="330"/>
        <v>616531900ARING, CRIMP, CLAMP, BAND21754794533820000</v>
      </c>
      <c r="D1681" s="7" t="s">
        <v>439</v>
      </c>
      <c r="E1681" s="6" t="s">
        <v>52</v>
      </c>
      <c r="F1681" s="6"/>
      <c r="G1681" s="7" t="s">
        <v>410</v>
      </c>
      <c r="H1681" s="19"/>
      <c r="I1681" s="19"/>
      <c r="J1681" s="19"/>
      <c r="K1681" s="19"/>
      <c r="L1681" s="14">
        <v>2175479</v>
      </c>
      <c r="M1681" s="22">
        <v>45338</v>
      </c>
      <c r="N1681" s="19" t="s">
        <v>182</v>
      </c>
      <c r="O1681" s="19" t="s">
        <v>333</v>
      </c>
      <c r="P1681" s="15">
        <v>20000</v>
      </c>
      <c r="Q1681" s="15">
        <v>333572.17</v>
      </c>
      <c r="R1681" s="15">
        <v>87089500</v>
      </c>
      <c r="S1681" s="15">
        <v>15</v>
      </c>
      <c r="T1681" s="19" t="s">
        <v>436</v>
      </c>
      <c r="U1681" s="19" t="s">
        <v>178</v>
      </c>
      <c r="V1681" s="16">
        <f t="shared" si="331"/>
        <v>50035.825499999999</v>
      </c>
      <c r="W1681" s="16">
        <f t="shared" si="332"/>
        <v>5003.5825500000001</v>
      </c>
      <c r="X1681" s="16">
        <f t="shared" si="333"/>
        <v>55039.408049999998</v>
      </c>
      <c r="Y1681" s="16">
        <f t="shared" si="334"/>
        <v>2.7519704025</v>
      </c>
      <c r="Z1681" s="16">
        <f t="shared" si="335"/>
        <v>16.678608499999999</v>
      </c>
      <c r="AA1681" s="17">
        <f t="shared" si="336"/>
        <v>20000</v>
      </c>
      <c r="AB1681" s="10">
        <v>18432</v>
      </c>
      <c r="AC1681" s="18">
        <f t="shared" si="337"/>
        <v>50724.31845888</v>
      </c>
      <c r="AD1681" s="12">
        <f t="shared" si="329"/>
        <v>20000</v>
      </c>
      <c r="AE1681" s="13">
        <f t="shared" si="338"/>
        <v>0</v>
      </c>
    </row>
    <row r="1682" spans="1:31">
      <c r="A1682" s="6">
        <v>18</v>
      </c>
      <c r="B1682" s="6">
        <v>69</v>
      </c>
      <c r="C1682" s="6" t="str">
        <f t="shared" si="330"/>
        <v>666041200ACushion ICAB FI 2 Row C4965464455135000</v>
      </c>
      <c r="D1682" s="7" t="s">
        <v>439</v>
      </c>
      <c r="E1682" s="6" t="s">
        <v>472</v>
      </c>
      <c r="F1682" s="6"/>
      <c r="G1682" s="7" t="s">
        <v>237</v>
      </c>
      <c r="H1682" s="19"/>
      <c r="I1682" s="19"/>
      <c r="J1682" s="19"/>
      <c r="K1682" s="19"/>
      <c r="L1682" s="14">
        <v>4965464</v>
      </c>
      <c r="M1682" s="22">
        <v>45513</v>
      </c>
      <c r="N1682" s="19" t="s">
        <v>336</v>
      </c>
      <c r="O1682" s="19" t="s">
        <v>332</v>
      </c>
      <c r="P1682" s="15">
        <v>5000</v>
      </c>
      <c r="Q1682" s="15">
        <v>4321650.42</v>
      </c>
      <c r="R1682" s="15">
        <v>87089500</v>
      </c>
      <c r="S1682" s="15">
        <v>5</v>
      </c>
      <c r="T1682" s="19" t="s">
        <v>397</v>
      </c>
      <c r="U1682" s="19" t="s">
        <v>178</v>
      </c>
      <c r="V1682" s="16">
        <f t="shared" si="331"/>
        <v>216082.52100000001</v>
      </c>
      <c r="W1682" s="16">
        <f t="shared" si="332"/>
        <v>21608.252100000002</v>
      </c>
      <c r="X1682" s="16">
        <f t="shared" si="333"/>
        <v>237690.77310000002</v>
      </c>
      <c r="Y1682" s="16">
        <f t="shared" si="334"/>
        <v>47.538154620000007</v>
      </c>
      <c r="Z1682" s="16">
        <f t="shared" si="335"/>
        <v>864.33008399999994</v>
      </c>
      <c r="AA1682" s="17">
        <f t="shared" si="336"/>
        <v>5000</v>
      </c>
      <c r="AB1682" s="10">
        <v>4608</v>
      </c>
      <c r="AC1682" s="18">
        <f t="shared" si="337"/>
        <v>219055.81648896003</v>
      </c>
      <c r="AD1682" s="12">
        <f t="shared" si="329"/>
        <v>4608</v>
      </c>
      <c r="AE1682" s="13">
        <f t="shared" si="338"/>
        <v>392</v>
      </c>
    </row>
    <row r="1683" spans="1:31">
      <c r="A1683" s="6">
        <v>18</v>
      </c>
      <c r="B1683" s="6">
        <v>70</v>
      </c>
      <c r="C1683" s="6" t="str">
        <f t="shared" si="330"/>
        <v>PC47516-3810SNAP-IN-FASTENER, PUSH P PUSH PIN, BLACK36255814543542000</v>
      </c>
      <c r="D1683" s="7" t="s">
        <v>439</v>
      </c>
      <c r="E1683" s="6" t="s">
        <v>54</v>
      </c>
      <c r="F1683" s="6"/>
      <c r="G1683" s="7" t="s">
        <v>14</v>
      </c>
      <c r="H1683" s="19"/>
      <c r="I1683" s="19"/>
      <c r="J1683" s="19"/>
      <c r="K1683" s="19"/>
      <c r="L1683" s="14">
        <v>3625581</v>
      </c>
      <c r="M1683" s="22">
        <v>45435</v>
      </c>
      <c r="N1683" s="19" t="s">
        <v>196</v>
      </c>
      <c r="O1683" s="19" t="s">
        <v>333</v>
      </c>
      <c r="P1683" s="15">
        <v>42000</v>
      </c>
      <c r="Q1683" s="15">
        <v>49322.6</v>
      </c>
      <c r="R1683" s="15">
        <v>87089500</v>
      </c>
      <c r="S1683" s="15">
        <v>15</v>
      </c>
      <c r="T1683" s="19" t="s">
        <v>306</v>
      </c>
      <c r="U1683" s="19" t="s">
        <v>178</v>
      </c>
      <c r="V1683" s="16">
        <f t="shared" si="331"/>
        <v>7398.3899999999994</v>
      </c>
      <c r="W1683" s="16">
        <f t="shared" si="332"/>
        <v>739.83899999999994</v>
      </c>
      <c r="X1683" s="16">
        <f t="shared" si="333"/>
        <v>8138.2289999999994</v>
      </c>
      <c r="Y1683" s="16">
        <f t="shared" si="334"/>
        <v>0.19376735714285712</v>
      </c>
      <c r="Z1683" s="16">
        <f t="shared" si="335"/>
        <v>1.174347619047619</v>
      </c>
      <c r="AA1683" s="17">
        <f t="shared" si="336"/>
        <v>42000</v>
      </c>
      <c r="AB1683" s="10">
        <v>9216</v>
      </c>
      <c r="AC1683" s="18">
        <f t="shared" si="337"/>
        <v>1785.7599634285712</v>
      </c>
      <c r="AD1683" s="12">
        <f t="shared" si="329"/>
        <v>51936</v>
      </c>
      <c r="AE1683" s="13">
        <v>0</v>
      </c>
    </row>
    <row r="1684" spans="1:31">
      <c r="A1684" s="6">
        <v>18</v>
      </c>
      <c r="B1684" s="6">
        <v>71</v>
      </c>
      <c r="C1684" s="6" t="str">
        <f t="shared" si="330"/>
        <v>666041100AAB Cushion ICAB FI 2 Row C4966272455135000</v>
      </c>
      <c r="D1684" s="7" t="s">
        <v>439</v>
      </c>
      <c r="E1684" s="6" t="s">
        <v>476</v>
      </c>
      <c r="F1684" s="6"/>
      <c r="G1684" s="7" t="s">
        <v>246</v>
      </c>
      <c r="H1684" s="19"/>
      <c r="I1684" s="19"/>
      <c r="J1684" s="19"/>
      <c r="K1684" s="19"/>
      <c r="L1684" s="14">
        <v>4966272</v>
      </c>
      <c r="M1684" s="22">
        <v>45513</v>
      </c>
      <c r="N1684" s="19" t="s">
        <v>336</v>
      </c>
      <c r="O1684" s="19" t="s">
        <v>332</v>
      </c>
      <c r="P1684" s="15">
        <v>5000</v>
      </c>
      <c r="Q1684" s="15">
        <v>4320766.42</v>
      </c>
      <c r="R1684" s="15">
        <v>87089500</v>
      </c>
      <c r="S1684" s="15">
        <v>5</v>
      </c>
      <c r="T1684" s="19" t="s">
        <v>397</v>
      </c>
      <c r="U1684" s="19" t="s">
        <v>178</v>
      </c>
      <c r="V1684" s="16">
        <f t="shared" si="331"/>
        <v>216038.321</v>
      </c>
      <c r="W1684" s="16">
        <f t="shared" si="332"/>
        <v>21603.8321</v>
      </c>
      <c r="X1684" s="16">
        <f t="shared" si="333"/>
        <v>237642.1531</v>
      </c>
      <c r="Y1684" s="16">
        <f t="shared" si="334"/>
        <v>47.528430620000002</v>
      </c>
      <c r="Z1684" s="16">
        <f t="shared" si="335"/>
        <v>864.15328399999999</v>
      </c>
      <c r="AA1684" s="17">
        <f t="shared" si="336"/>
        <v>5000</v>
      </c>
      <c r="AB1684" s="10">
        <v>4608</v>
      </c>
      <c r="AC1684" s="18">
        <f t="shared" si="337"/>
        <v>219011.00829696</v>
      </c>
      <c r="AD1684" s="12">
        <f t="shared" si="329"/>
        <v>4608</v>
      </c>
      <c r="AE1684" s="13">
        <f t="shared" si="338"/>
        <v>392</v>
      </c>
    </row>
    <row r="1685" spans="1:31">
      <c r="A1685" s="6">
        <v>18</v>
      </c>
      <c r="B1685" s="6">
        <v>72</v>
      </c>
      <c r="C1685" s="6" t="str">
        <f t="shared" si="330"/>
        <v>640294000AAB INFLATOR, ASP-2, GEN15,4264346454746912</v>
      </c>
      <c r="D1685" s="7" t="s">
        <v>439</v>
      </c>
      <c r="E1685" s="6" t="s">
        <v>475</v>
      </c>
      <c r="F1685" s="6"/>
      <c r="G1685" s="7" t="s">
        <v>244</v>
      </c>
      <c r="H1685" s="19"/>
      <c r="I1685" s="19"/>
      <c r="J1685" s="19"/>
      <c r="K1685" s="19"/>
      <c r="L1685" s="14">
        <v>4264346</v>
      </c>
      <c r="M1685" s="22">
        <v>45474</v>
      </c>
      <c r="N1685" s="19" t="s">
        <v>197</v>
      </c>
      <c r="O1685" s="19" t="s">
        <v>333</v>
      </c>
      <c r="P1685" s="15">
        <v>6912</v>
      </c>
      <c r="Q1685" s="15">
        <v>1795337.95</v>
      </c>
      <c r="R1685" s="15">
        <v>87089500</v>
      </c>
      <c r="S1685" s="15">
        <v>15</v>
      </c>
      <c r="T1685" s="19" t="s">
        <v>437</v>
      </c>
      <c r="U1685" s="19" t="s">
        <v>178</v>
      </c>
      <c r="V1685" s="16">
        <f t="shared" si="331"/>
        <v>269300.6925</v>
      </c>
      <c r="W1685" s="16">
        <f t="shared" si="332"/>
        <v>26930.06925</v>
      </c>
      <c r="X1685" s="16">
        <f t="shared" si="333"/>
        <v>296230.76175000001</v>
      </c>
      <c r="Y1685" s="16">
        <f t="shared" si="334"/>
        <v>42.857459743923613</v>
      </c>
      <c r="Z1685" s="16">
        <f t="shared" si="335"/>
        <v>259.74218026620372</v>
      </c>
      <c r="AA1685" s="17">
        <f t="shared" si="336"/>
        <v>6912</v>
      </c>
      <c r="AB1685" s="10">
        <v>5472</v>
      </c>
      <c r="AC1685" s="18">
        <f t="shared" si="337"/>
        <v>234516.01971875</v>
      </c>
      <c r="AD1685" s="12">
        <f t="shared" si="329"/>
        <v>5472</v>
      </c>
      <c r="AE1685" s="13">
        <f t="shared" si="338"/>
        <v>1440</v>
      </c>
    </row>
    <row r="1686" spans="1:31">
      <c r="A1686" s="6">
        <v>18</v>
      </c>
      <c r="B1686" s="6">
        <v>73</v>
      </c>
      <c r="C1686" s="6" t="str">
        <f t="shared" si="330"/>
        <v>654590600ASU2ID STD CUSHION COMPON CVR NON-WOVEN RH2156837453374500</v>
      </c>
      <c r="D1686" s="7" t="s">
        <v>439</v>
      </c>
      <c r="E1686" s="6" t="s">
        <v>78</v>
      </c>
      <c r="F1686" s="6"/>
      <c r="G1686" s="7" t="s">
        <v>38</v>
      </c>
      <c r="H1686" s="19"/>
      <c r="I1686" s="19"/>
      <c r="J1686" s="19"/>
      <c r="K1686" s="19"/>
      <c r="L1686" s="14">
        <v>2156837</v>
      </c>
      <c r="M1686" s="22">
        <v>45337</v>
      </c>
      <c r="N1686" s="19" t="s">
        <v>185</v>
      </c>
      <c r="O1686" s="19" t="s">
        <v>333</v>
      </c>
      <c r="P1686" s="15">
        <v>4500</v>
      </c>
      <c r="Q1686" s="15">
        <v>54503.31</v>
      </c>
      <c r="R1686" s="15">
        <v>87089500</v>
      </c>
      <c r="S1686" s="15">
        <v>5</v>
      </c>
      <c r="T1686" s="19" t="s">
        <v>346</v>
      </c>
      <c r="U1686" s="19" t="s">
        <v>178</v>
      </c>
      <c r="V1686" s="16">
        <f t="shared" si="331"/>
        <v>2725.1655000000001</v>
      </c>
      <c r="W1686" s="16">
        <f t="shared" si="332"/>
        <v>272.51655</v>
      </c>
      <c r="X1686" s="16">
        <f t="shared" si="333"/>
        <v>2997.6820499999999</v>
      </c>
      <c r="Y1686" s="16">
        <f t="shared" si="334"/>
        <v>0.66615156666666664</v>
      </c>
      <c r="Z1686" s="16">
        <f t="shared" si="335"/>
        <v>12.111846666666667</v>
      </c>
      <c r="AA1686" s="17">
        <f t="shared" si="336"/>
        <v>4500</v>
      </c>
      <c r="AB1686" s="10">
        <v>2016</v>
      </c>
      <c r="AC1686" s="18">
        <f t="shared" si="337"/>
        <v>1342.9615583999998</v>
      </c>
      <c r="AD1686" s="12">
        <f t="shared" si="329"/>
        <v>4500</v>
      </c>
      <c r="AE1686" s="13">
        <f t="shared" si="338"/>
        <v>0</v>
      </c>
    </row>
    <row r="1687" spans="1:31">
      <c r="A1687" s="6">
        <v>18</v>
      </c>
      <c r="B1687" s="6">
        <v>74</v>
      </c>
      <c r="C1687" s="6" t="str">
        <f t="shared" si="330"/>
        <v>655116100ALABEL, BLANK, 50.0, 25.0  LABEL, BLANK, 2PCS, 50X98316604531630000</v>
      </c>
      <c r="D1687" s="7" t="s">
        <v>439</v>
      </c>
      <c r="E1687" s="6" t="s">
        <v>49</v>
      </c>
      <c r="F1687" s="6"/>
      <c r="G1687" s="7" t="s">
        <v>11</v>
      </c>
      <c r="H1687" s="19"/>
      <c r="I1687" s="19"/>
      <c r="J1687" s="19"/>
      <c r="K1687" s="19"/>
      <c r="L1687" s="14">
        <v>9831660</v>
      </c>
      <c r="M1687" s="22">
        <v>45316</v>
      </c>
      <c r="N1687" s="19" t="s">
        <v>196</v>
      </c>
      <c r="O1687" s="19" t="s">
        <v>333</v>
      </c>
      <c r="P1687" s="15">
        <v>30000</v>
      </c>
      <c r="Q1687" s="15">
        <v>87652.89</v>
      </c>
      <c r="R1687" s="15">
        <v>87089500</v>
      </c>
      <c r="S1687" s="15">
        <v>15</v>
      </c>
      <c r="T1687" s="19" t="s">
        <v>303</v>
      </c>
      <c r="U1687" s="19" t="s">
        <v>178</v>
      </c>
      <c r="V1687" s="16">
        <f t="shared" si="331"/>
        <v>13147.933499999999</v>
      </c>
      <c r="W1687" s="16">
        <f t="shared" si="332"/>
        <v>1314.7933499999999</v>
      </c>
      <c r="X1687" s="16">
        <f t="shared" si="333"/>
        <v>14462.726849999999</v>
      </c>
      <c r="Y1687" s="16">
        <f t="shared" si="334"/>
        <v>0.48209089499999996</v>
      </c>
      <c r="Z1687" s="16">
        <f t="shared" si="335"/>
        <v>2.9217629999999999</v>
      </c>
      <c r="AA1687" s="17">
        <f t="shared" si="336"/>
        <v>30000</v>
      </c>
      <c r="AB1687" s="10">
        <v>9738</v>
      </c>
      <c r="AC1687" s="18">
        <f t="shared" si="337"/>
        <v>4694.6011355099999</v>
      </c>
      <c r="AD1687" s="12">
        <f t="shared" si="329"/>
        <v>24771</v>
      </c>
      <c r="AE1687" s="13">
        <f t="shared" si="338"/>
        <v>5229</v>
      </c>
    </row>
    <row r="1688" spans="1:31">
      <c r="A1688" s="6">
        <v>18</v>
      </c>
      <c r="B1688" s="6">
        <v>75</v>
      </c>
      <c r="C1688" s="6" t="str">
        <f t="shared" si="330"/>
        <v>655226900AINFLATOR APP-4.6, 325KPA 1.8MOL, STANDARD MIB SQU5002457455165184</v>
      </c>
      <c r="D1688" s="7" t="s">
        <v>439</v>
      </c>
      <c r="E1688" s="6" t="s">
        <v>130</v>
      </c>
      <c r="F1688" s="6"/>
      <c r="G1688" s="7" t="s">
        <v>102</v>
      </c>
      <c r="H1688" s="19"/>
      <c r="I1688" s="19"/>
      <c r="J1688" s="19"/>
      <c r="K1688" s="19"/>
      <c r="L1688" s="14">
        <v>5002457</v>
      </c>
      <c r="M1688" s="22">
        <v>45516</v>
      </c>
      <c r="N1688" s="19" t="s">
        <v>197</v>
      </c>
      <c r="O1688" s="19" t="s">
        <v>333</v>
      </c>
      <c r="P1688" s="15">
        <v>5184</v>
      </c>
      <c r="Q1688" s="15">
        <v>2194214.8199999998</v>
      </c>
      <c r="R1688" s="15">
        <v>87089500</v>
      </c>
      <c r="S1688" s="15">
        <v>15</v>
      </c>
      <c r="T1688" s="19" t="s">
        <v>428</v>
      </c>
      <c r="U1688" s="19" t="s">
        <v>200</v>
      </c>
      <c r="V1688" s="16">
        <f t="shared" si="331"/>
        <v>329132.22299999994</v>
      </c>
      <c r="W1688" s="16">
        <f t="shared" si="332"/>
        <v>32913.222299999994</v>
      </c>
      <c r="X1688" s="16">
        <f t="shared" si="333"/>
        <v>362045.4452999999</v>
      </c>
      <c r="Y1688" s="16">
        <f t="shared" si="334"/>
        <v>69.839013368055532</v>
      </c>
      <c r="Z1688" s="16">
        <f t="shared" si="335"/>
        <v>423.26674768518518</v>
      </c>
      <c r="AA1688" s="17">
        <f t="shared" si="336"/>
        <v>5184</v>
      </c>
      <c r="AB1688" s="10">
        <v>5184</v>
      </c>
      <c r="AC1688" s="18">
        <f t="shared" si="337"/>
        <v>362045.4452999999</v>
      </c>
      <c r="AD1688" s="12">
        <f t="shared" si="329"/>
        <v>5184</v>
      </c>
      <c r="AE1688" s="13">
        <f t="shared" si="338"/>
        <v>0</v>
      </c>
    </row>
    <row r="1689" spans="1:31">
      <c r="A1689" s="6">
        <v>18</v>
      </c>
      <c r="B1689" s="6">
        <v>76</v>
      </c>
      <c r="C1689" s="6" t="str">
        <f t="shared" si="330"/>
        <v>655226900AINFLATOR APP-4.6, 325KPA 1.8MOL, STANDARD MIB SQU4878784455096912</v>
      </c>
      <c r="D1689" s="7" t="s">
        <v>439</v>
      </c>
      <c r="E1689" s="6" t="s">
        <v>130</v>
      </c>
      <c r="F1689" s="6"/>
      <c r="G1689" s="7" t="s">
        <v>102</v>
      </c>
      <c r="H1689" s="19"/>
      <c r="I1689" s="19"/>
      <c r="J1689" s="19"/>
      <c r="K1689" s="19"/>
      <c r="L1689" s="14">
        <v>4878784</v>
      </c>
      <c r="M1689" s="22">
        <v>45509</v>
      </c>
      <c r="N1689" s="19" t="s">
        <v>197</v>
      </c>
      <c r="O1689" s="19" t="s">
        <v>333</v>
      </c>
      <c r="P1689" s="15">
        <v>6912</v>
      </c>
      <c r="Q1689" s="15">
        <v>2921232.84</v>
      </c>
      <c r="R1689" s="15">
        <v>87089500</v>
      </c>
      <c r="S1689" s="15">
        <v>15</v>
      </c>
      <c r="T1689" s="19" t="s">
        <v>428</v>
      </c>
      <c r="U1689" s="19" t="s">
        <v>200</v>
      </c>
      <c r="V1689" s="16">
        <f t="shared" si="331"/>
        <v>438184.92599999998</v>
      </c>
      <c r="W1689" s="16">
        <f t="shared" si="332"/>
        <v>43818.492599999998</v>
      </c>
      <c r="X1689" s="16">
        <f t="shared" si="333"/>
        <v>482003.41859999998</v>
      </c>
      <c r="Y1689" s="16">
        <f t="shared" si="334"/>
        <v>69.734290885416669</v>
      </c>
      <c r="Z1689" s="16">
        <f t="shared" si="335"/>
        <v>422.63206597222222</v>
      </c>
      <c r="AA1689" s="17">
        <f t="shared" si="336"/>
        <v>6912</v>
      </c>
      <c r="AB1689" s="10">
        <v>4554</v>
      </c>
      <c r="AC1689" s="18">
        <f t="shared" si="337"/>
        <v>317569.96069218754</v>
      </c>
      <c r="AD1689" s="12">
        <f t="shared" si="329"/>
        <v>4554</v>
      </c>
      <c r="AE1689" s="13">
        <f t="shared" si="338"/>
        <v>2358</v>
      </c>
    </row>
    <row r="1690" spans="1:31">
      <c r="A1690" s="6">
        <v>18</v>
      </c>
      <c r="B1690" s="6">
        <v>77</v>
      </c>
      <c r="C1690" s="6" t="str">
        <f t="shared" si="330"/>
        <v>642837500BLABEL, BLANK, BAR CODE953025945295100000</v>
      </c>
      <c r="D1690" s="7" t="s">
        <v>439</v>
      </c>
      <c r="E1690" s="6" t="s">
        <v>478</v>
      </c>
      <c r="F1690" s="6"/>
      <c r="G1690" s="7" t="s">
        <v>369</v>
      </c>
      <c r="H1690" s="19"/>
      <c r="I1690" s="19"/>
      <c r="J1690" s="19"/>
      <c r="K1690" s="19"/>
      <c r="L1690" s="14">
        <v>9530259</v>
      </c>
      <c r="M1690" s="22">
        <v>45295</v>
      </c>
      <c r="N1690" s="19" t="s">
        <v>196</v>
      </c>
      <c r="O1690" s="19" t="s">
        <v>333</v>
      </c>
      <c r="P1690" s="15">
        <v>100000</v>
      </c>
      <c r="Q1690" s="15">
        <v>17096.91</v>
      </c>
      <c r="R1690" s="15">
        <v>87082900</v>
      </c>
      <c r="S1690" s="15">
        <v>15</v>
      </c>
      <c r="T1690" s="19" t="s">
        <v>351</v>
      </c>
      <c r="U1690" s="19" t="s">
        <v>178</v>
      </c>
      <c r="V1690" s="16">
        <f t="shared" si="331"/>
        <v>2564.5364999999997</v>
      </c>
      <c r="W1690" s="16">
        <f t="shared" si="332"/>
        <v>256.45364999999998</v>
      </c>
      <c r="X1690" s="16">
        <f t="shared" si="333"/>
        <v>2820.9901499999996</v>
      </c>
      <c r="Y1690" s="16">
        <f t="shared" si="334"/>
        <v>2.8209901499999995E-2</v>
      </c>
      <c r="Z1690" s="16">
        <f t="shared" si="335"/>
        <v>0.17096909999999998</v>
      </c>
      <c r="AA1690" s="17">
        <f t="shared" si="336"/>
        <v>100000</v>
      </c>
      <c r="AB1690" s="10">
        <v>29412</v>
      </c>
      <c r="AC1690" s="18">
        <f t="shared" si="337"/>
        <v>829.70962291799981</v>
      </c>
      <c r="AD1690" s="12">
        <f t="shared" si="329"/>
        <v>100000</v>
      </c>
      <c r="AE1690" s="13">
        <f t="shared" si="338"/>
        <v>0</v>
      </c>
    </row>
    <row r="1691" spans="1:31">
      <c r="A1691" s="6">
        <v>18</v>
      </c>
      <c r="B1691" s="6">
        <v>78</v>
      </c>
      <c r="C1691" s="6" t="str">
        <f t="shared" si="330"/>
        <v>661147800BMetal Emblem, HMC,64468564559712960</v>
      </c>
      <c r="D1691" s="7" t="s">
        <v>439</v>
      </c>
      <c r="E1691" s="6" t="s">
        <v>479</v>
      </c>
      <c r="F1691" s="6"/>
      <c r="G1691" s="7" t="s">
        <v>395</v>
      </c>
      <c r="H1691" s="19"/>
      <c r="I1691" s="19"/>
      <c r="J1691" s="19"/>
      <c r="K1691" s="19"/>
      <c r="L1691" s="14">
        <v>6446856</v>
      </c>
      <c r="M1691" s="22">
        <v>45597</v>
      </c>
      <c r="N1691" s="19" t="s">
        <v>196</v>
      </c>
      <c r="O1691" s="19" t="s">
        <v>333</v>
      </c>
      <c r="P1691" s="15">
        <v>12960</v>
      </c>
      <c r="Q1691" s="15">
        <v>4105628.64</v>
      </c>
      <c r="R1691" s="15">
        <v>87089500</v>
      </c>
      <c r="S1691" s="15">
        <v>15</v>
      </c>
      <c r="T1691" s="19" t="s">
        <v>398</v>
      </c>
      <c r="U1691" s="19" t="s">
        <v>178</v>
      </c>
      <c r="V1691" s="16">
        <f t="shared" si="331"/>
        <v>615844.29599999997</v>
      </c>
      <c r="W1691" s="16">
        <f t="shared" si="332"/>
        <v>61584.429600000003</v>
      </c>
      <c r="X1691" s="16">
        <f t="shared" si="333"/>
        <v>677428.72560000001</v>
      </c>
      <c r="Y1691" s="16">
        <f t="shared" si="334"/>
        <v>52.270735000000002</v>
      </c>
      <c r="Z1691" s="16">
        <f t="shared" si="335"/>
        <v>316.79233333333332</v>
      </c>
      <c r="AA1691" s="17">
        <f t="shared" si="336"/>
        <v>12960</v>
      </c>
      <c r="AB1691" s="10">
        <v>4968</v>
      </c>
      <c r="AC1691" s="18">
        <f t="shared" si="337"/>
        <v>259681.01148000002</v>
      </c>
      <c r="AD1691" s="12">
        <f t="shared" si="329"/>
        <v>10453</v>
      </c>
      <c r="AE1691" s="13">
        <f t="shared" si="338"/>
        <v>2507</v>
      </c>
    </row>
    <row r="1692" spans="1:31">
      <c r="A1692" s="6">
        <v>18</v>
      </c>
      <c r="B1692" s="6">
        <v>79</v>
      </c>
      <c r="C1692" s="6" t="str">
        <f t="shared" si="330"/>
        <v>654590800ACUSHION COMPONENTS CVR NON-WOVEN RH SU2ID454458044964900</v>
      </c>
      <c r="D1692" s="7" t="s">
        <v>439</v>
      </c>
      <c r="E1692" s="6" t="s">
        <v>480</v>
      </c>
      <c r="F1692" s="6"/>
      <c r="G1692" s="7" t="s">
        <v>396</v>
      </c>
      <c r="H1692" s="19"/>
      <c r="I1692" s="19"/>
      <c r="J1692" s="19"/>
      <c r="K1692" s="19"/>
      <c r="L1692" s="14">
        <v>4544580</v>
      </c>
      <c r="M1692" s="22">
        <v>44964</v>
      </c>
      <c r="N1692" s="19" t="s">
        <v>196</v>
      </c>
      <c r="O1692" s="19" t="s">
        <v>333</v>
      </c>
      <c r="P1692" s="15">
        <v>900</v>
      </c>
      <c r="Q1692" s="15">
        <v>12960.16</v>
      </c>
      <c r="R1692" s="15">
        <v>87089500</v>
      </c>
      <c r="S1692" s="15">
        <v>15</v>
      </c>
      <c r="T1692" s="19" t="s">
        <v>438</v>
      </c>
      <c r="U1692" s="19" t="s">
        <v>178</v>
      </c>
      <c r="V1692" s="16">
        <f t="shared" si="331"/>
        <v>1944.0239999999999</v>
      </c>
      <c r="W1692" s="16">
        <f t="shared" si="332"/>
        <v>194.4024</v>
      </c>
      <c r="X1692" s="16">
        <f t="shared" si="333"/>
        <v>2138.4263999999998</v>
      </c>
      <c r="Y1692" s="16">
        <f t="shared" si="334"/>
        <v>2.3760293333333333</v>
      </c>
      <c r="Z1692" s="16">
        <f t="shared" si="335"/>
        <v>14.400177777777778</v>
      </c>
      <c r="AA1692" s="17">
        <f t="shared" si="336"/>
        <v>900</v>
      </c>
      <c r="AB1692" s="10">
        <v>900</v>
      </c>
      <c r="AC1692" s="18">
        <f t="shared" si="337"/>
        <v>2138.4263999999998</v>
      </c>
      <c r="AD1692" s="12">
        <f t="shared" si="329"/>
        <v>900</v>
      </c>
      <c r="AE1692" s="13">
        <f t="shared" si="338"/>
        <v>0</v>
      </c>
    </row>
    <row r="1693" spans="1:31">
      <c r="A1693" s="6">
        <v>18</v>
      </c>
      <c r="B1693" s="6">
        <v>80</v>
      </c>
      <c r="C1693" s="6" t="str">
        <f t="shared" si="330"/>
        <v>654590800ACUSHION COMPONENTS CVR NON-WOVEN RH SU2ID538859145021900</v>
      </c>
      <c r="D1693" s="7" t="s">
        <v>439</v>
      </c>
      <c r="E1693" s="6" t="s">
        <v>480</v>
      </c>
      <c r="F1693" s="6"/>
      <c r="G1693" s="7" t="s">
        <v>396</v>
      </c>
      <c r="H1693" s="19"/>
      <c r="I1693" s="19"/>
      <c r="J1693" s="19"/>
      <c r="K1693" s="19"/>
      <c r="L1693" s="14">
        <v>5388591</v>
      </c>
      <c r="M1693" s="22">
        <v>45021</v>
      </c>
      <c r="N1693" s="19" t="s">
        <v>196</v>
      </c>
      <c r="O1693" s="19" t="s">
        <v>333</v>
      </c>
      <c r="P1693" s="15">
        <v>900</v>
      </c>
      <c r="Q1693" s="15">
        <v>13108.95</v>
      </c>
      <c r="R1693" s="15">
        <v>87089500</v>
      </c>
      <c r="S1693" s="15">
        <v>15</v>
      </c>
      <c r="T1693" s="19" t="s">
        <v>227</v>
      </c>
      <c r="U1693" s="19" t="s">
        <v>178</v>
      </c>
      <c r="V1693" s="16">
        <f t="shared" si="331"/>
        <v>1966.3425</v>
      </c>
      <c r="W1693" s="16">
        <f t="shared" si="332"/>
        <v>196.63425000000001</v>
      </c>
      <c r="X1693" s="16">
        <f t="shared" si="333"/>
        <v>2162.9767499999998</v>
      </c>
      <c r="Y1693" s="16">
        <f t="shared" si="334"/>
        <v>2.4033074999999999</v>
      </c>
      <c r="Z1693" s="16">
        <f t="shared" si="335"/>
        <v>14.5655</v>
      </c>
      <c r="AA1693" s="17">
        <f t="shared" si="336"/>
        <v>900</v>
      </c>
      <c r="AB1693" s="10">
        <v>180</v>
      </c>
      <c r="AC1693" s="18">
        <f t="shared" si="337"/>
        <v>432.59535</v>
      </c>
      <c r="AD1693" s="12">
        <f t="shared" si="329"/>
        <v>180</v>
      </c>
      <c r="AE1693" s="13">
        <f t="shared" si="338"/>
        <v>720</v>
      </c>
    </row>
    <row r="1694" spans="1:31">
      <c r="A1694" s="6">
        <v>19</v>
      </c>
      <c r="B1694" s="6">
        <v>1</v>
      </c>
      <c r="C1694" s="6" t="str">
        <f t="shared" si="330"/>
        <v>608225700ASCREW,STD METRIIC HEXALOBULAR  M5 T25 12MM85752984571420000</v>
      </c>
      <c r="D1694" s="21" t="s">
        <v>440</v>
      </c>
      <c r="E1694" s="6" t="s">
        <v>169</v>
      </c>
      <c r="F1694" s="6"/>
      <c r="G1694" s="7" t="s">
        <v>147</v>
      </c>
      <c r="H1694" s="19"/>
      <c r="I1694" s="19"/>
      <c r="J1694" s="19"/>
      <c r="K1694" s="19"/>
      <c r="L1694" s="14">
        <v>8575298</v>
      </c>
      <c r="M1694" s="22">
        <v>45714</v>
      </c>
      <c r="N1694" s="19" t="s">
        <v>180</v>
      </c>
      <c r="O1694" s="19" t="s">
        <v>332</v>
      </c>
      <c r="P1694" s="15">
        <v>20000</v>
      </c>
      <c r="Q1694" s="15">
        <v>72892.23</v>
      </c>
      <c r="R1694" s="15">
        <v>87089400</v>
      </c>
      <c r="S1694" s="15">
        <v>15</v>
      </c>
      <c r="T1694" s="19" t="s">
        <v>275</v>
      </c>
      <c r="U1694" s="19" t="s">
        <v>178</v>
      </c>
      <c r="V1694" s="16">
        <f t="shared" ref="V1694" si="339">Q1694*S1694%</f>
        <v>10933.834499999999</v>
      </c>
      <c r="W1694" s="16">
        <f t="shared" ref="W1694" si="340">V1694*0.1</f>
        <v>1093.38345</v>
      </c>
      <c r="X1694" s="16">
        <f t="shared" ref="X1694" si="341">V1694+W1694</f>
        <v>12027.217949999998</v>
      </c>
      <c r="Y1694" s="16">
        <f t="shared" ref="Y1694" si="342">X1694/P1694</f>
        <v>0.60136089749999988</v>
      </c>
      <c r="Z1694" s="16">
        <f t="shared" ref="Z1694" si="343">Q1694/P1694</f>
        <v>3.6446114999999999</v>
      </c>
      <c r="AA1694" s="17">
        <f t="shared" ref="AA1694" si="344">P1694</f>
        <v>20000</v>
      </c>
      <c r="AB1694" s="10">
        <v>14120</v>
      </c>
      <c r="AC1694" s="18">
        <f t="shared" ref="AC1694" si="345">AB1694*Y1694</f>
        <v>8491.2158726999987</v>
      </c>
      <c r="AD1694" s="12">
        <f t="shared" si="329"/>
        <v>18428</v>
      </c>
      <c r="AE1694" s="13">
        <f t="shared" ref="AE1694" si="346">AA1694-AD1694</f>
        <v>1572</v>
      </c>
    </row>
    <row r="1695" spans="1:31">
      <c r="A1695" s="6">
        <v>19</v>
      </c>
      <c r="B1695" s="6">
        <v>2</v>
      </c>
      <c r="C1695" s="6" t="str">
        <f t="shared" si="330"/>
        <v>654590800ACUSHION COMPONENTS CVR NON-WOVEN RH SU2ID817148045692900</v>
      </c>
      <c r="D1695" s="21" t="s">
        <v>440</v>
      </c>
      <c r="E1695" s="6" t="s">
        <v>480</v>
      </c>
      <c r="F1695" s="6"/>
      <c r="G1695" s="7" t="s">
        <v>396</v>
      </c>
      <c r="H1695" s="19"/>
      <c r="I1695" s="19"/>
      <c r="J1695" s="19"/>
      <c r="K1695" s="19"/>
      <c r="L1695" s="14">
        <v>8171480</v>
      </c>
      <c r="M1695" s="22">
        <v>45692</v>
      </c>
      <c r="N1695" s="19" t="s">
        <v>196</v>
      </c>
      <c r="O1695" s="19" t="s">
        <v>333</v>
      </c>
      <c r="P1695" s="15">
        <v>900</v>
      </c>
      <c r="Q1695" s="15">
        <v>12541.35</v>
      </c>
      <c r="R1695" s="15">
        <v>87089500</v>
      </c>
      <c r="S1695" s="15">
        <v>15</v>
      </c>
      <c r="T1695" s="19" t="s">
        <v>227</v>
      </c>
      <c r="U1695" s="19" t="s">
        <v>178</v>
      </c>
      <c r="V1695" s="16">
        <f t="shared" ref="V1695:V1758" si="347">Q1695*S1695%</f>
        <v>1881.2024999999999</v>
      </c>
      <c r="W1695" s="16">
        <f t="shared" ref="W1695:W1758" si="348">V1695*0.1</f>
        <v>188.12025</v>
      </c>
      <c r="X1695" s="16">
        <f t="shared" ref="X1695:X1758" si="349">V1695+W1695</f>
        <v>2069.3227499999998</v>
      </c>
      <c r="Y1695" s="16">
        <f t="shared" ref="Y1695:Y1758" si="350">X1695/P1695</f>
        <v>2.2992474999999999</v>
      </c>
      <c r="Z1695" s="16">
        <f t="shared" ref="Z1695:Z1758" si="351">Q1695/P1695</f>
        <v>13.934833333333334</v>
      </c>
      <c r="AA1695" s="17">
        <f t="shared" ref="AA1695:AA1758" si="352">P1695</f>
        <v>900</v>
      </c>
      <c r="AB1695" s="10">
        <v>900</v>
      </c>
      <c r="AC1695" s="18">
        <f t="shared" ref="AC1695:AC1758" si="353">AB1695*Y1695</f>
        <v>2069.3227499999998</v>
      </c>
      <c r="AD1695" s="12">
        <f t="shared" ref="AD1695:AD1758" si="354">SUMIF($C$2:$C$2284,C1695,$AB$2:$AB$2284)</f>
        <v>900</v>
      </c>
      <c r="AE1695" s="13">
        <f t="shared" ref="AE1695:AE1758" si="355">AA1695-AD1695</f>
        <v>0</v>
      </c>
    </row>
    <row r="1696" spans="1:31">
      <c r="A1696" s="6">
        <v>19</v>
      </c>
      <c r="B1696" s="6">
        <v>3</v>
      </c>
      <c r="C1696" s="6" t="str">
        <f t="shared" si="330"/>
        <v>654590800ACUSHION COMPONENTS CVR NON-WOVEN RH SU2ID821261045694900</v>
      </c>
      <c r="D1696" s="21" t="s">
        <v>440</v>
      </c>
      <c r="E1696" s="6" t="s">
        <v>480</v>
      </c>
      <c r="F1696" s="6"/>
      <c r="G1696" s="7" t="s">
        <v>396</v>
      </c>
      <c r="H1696" s="19"/>
      <c r="I1696" s="19"/>
      <c r="J1696" s="19"/>
      <c r="K1696" s="19"/>
      <c r="L1696" s="14">
        <v>8212610</v>
      </c>
      <c r="M1696" s="22">
        <v>45694</v>
      </c>
      <c r="N1696" s="19" t="s">
        <v>185</v>
      </c>
      <c r="O1696" s="19" t="s">
        <v>333</v>
      </c>
      <c r="P1696" s="15">
        <v>900</v>
      </c>
      <c r="Q1696" s="15">
        <v>11047.92</v>
      </c>
      <c r="R1696" s="15">
        <v>87089500</v>
      </c>
      <c r="S1696" s="15">
        <v>5</v>
      </c>
      <c r="T1696" s="19" t="s">
        <v>426</v>
      </c>
      <c r="U1696" s="19" t="s">
        <v>178</v>
      </c>
      <c r="V1696" s="16">
        <f t="shared" si="347"/>
        <v>552.39600000000007</v>
      </c>
      <c r="W1696" s="16">
        <f t="shared" si="348"/>
        <v>55.23960000000001</v>
      </c>
      <c r="X1696" s="16">
        <f t="shared" si="349"/>
        <v>607.63560000000007</v>
      </c>
      <c r="Y1696" s="16">
        <f t="shared" si="350"/>
        <v>0.67515066666666679</v>
      </c>
      <c r="Z1696" s="16">
        <f t="shared" si="351"/>
        <v>12.275466666666667</v>
      </c>
      <c r="AA1696" s="17">
        <f t="shared" si="352"/>
        <v>900</v>
      </c>
      <c r="AB1696" s="10">
        <v>900</v>
      </c>
      <c r="AC1696" s="18">
        <f t="shared" si="353"/>
        <v>607.63560000000007</v>
      </c>
      <c r="AD1696" s="12">
        <f t="shared" si="354"/>
        <v>900</v>
      </c>
      <c r="AE1696" s="13">
        <f t="shared" si="355"/>
        <v>0</v>
      </c>
    </row>
    <row r="1697" spans="1:31">
      <c r="A1697" s="6">
        <v>19</v>
      </c>
      <c r="B1697" s="6">
        <v>4</v>
      </c>
      <c r="C1697" s="6" t="str">
        <f t="shared" si="330"/>
        <v>654590800ACUSHION COMPONENTS CVR NON-WOVEN RH SU2ID927796545750900</v>
      </c>
      <c r="D1697" s="21" t="s">
        <v>440</v>
      </c>
      <c r="E1697" s="6" t="s">
        <v>480</v>
      </c>
      <c r="F1697" s="6"/>
      <c r="G1697" s="7" t="s">
        <v>396</v>
      </c>
      <c r="H1697" s="19"/>
      <c r="I1697" s="19"/>
      <c r="J1697" s="19"/>
      <c r="K1697" s="19"/>
      <c r="L1697" s="14">
        <v>9277965</v>
      </c>
      <c r="M1697" s="22">
        <v>45750</v>
      </c>
      <c r="N1697" s="19" t="s">
        <v>196</v>
      </c>
      <c r="O1697" s="19" t="s">
        <v>333</v>
      </c>
      <c r="P1697" s="15">
        <v>900</v>
      </c>
      <c r="Q1697" s="15">
        <v>12570.15</v>
      </c>
      <c r="R1697" s="15">
        <v>87089500</v>
      </c>
      <c r="S1697" s="15">
        <v>15</v>
      </c>
      <c r="T1697" s="19" t="s">
        <v>227</v>
      </c>
      <c r="U1697" s="19" t="s">
        <v>178</v>
      </c>
      <c r="V1697" s="16">
        <f t="shared" si="347"/>
        <v>1885.5224999999998</v>
      </c>
      <c r="W1697" s="16">
        <f t="shared" si="348"/>
        <v>188.55224999999999</v>
      </c>
      <c r="X1697" s="16">
        <f t="shared" si="349"/>
        <v>2074.0747499999998</v>
      </c>
      <c r="Y1697" s="16">
        <f t="shared" si="350"/>
        <v>2.3045274999999998</v>
      </c>
      <c r="Z1697" s="16">
        <f t="shared" si="351"/>
        <v>13.966833333333334</v>
      </c>
      <c r="AA1697" s="17">
        <f t="shared" si="352"/>
        <v>900</v>
      </c>
      <c r="AB1697" s="10">
        <v>900</v>
      </c>
      <c r="AC1697" s="18">
        <f t="shared" si="353"/>
        <v>2074.0747499999998</v>
      </c>
      <c r="AD1697" s="12">
        <f t="shared" si="354"/>
        <v>900</v>
      </c>
      <c r="AE1697" s="13">
        <f t="shared" si="355"/>
        <v>0</v>
      </c>
    </row>
    <row r="1698" spans="1:31">
      <c r="A1698" s="6">
        <v>19</v>
      </c>
      <c r="B1698" s="6">
        <v>5</v>
      </c>
      <c r="C1698" s="6" t="str">
        <f t="shared" si="330"/>
        <v>654590800ACUSHION COMPONENTS CVR NON-WOVEN RH SU2ID9548023457641800</v>
      </c>
      <c r="D1698" s="21" t="s">
        <v>440</v>
      </c>
      <c r="E1698" s="6" t="s">
        <v>480</v>
      </c>
      <c r="F1698" s="6"/>
      <c r="G1698" s="7" t="s">
        <v>396</v>
      </c>
      <c r="H1698" s="19"/>
      <c r="I1698" s="19"/>
      <c r="J1698" s="19"/>
      <c r="K1698" s="19"/>
      <c r="L1698" s="14">
        <v>9548023</v>
      </c>
      <c r="M1698" s="22">
        <v>45764</v>
      </c>
      <c r="N1698" s="19" t="s">
        <v>185</v>
      </c>
      <c r="O1698" s="19" t="s">
        <v>333</v>
      </c>
      <c r="P1698" s="15">
        <v>1800</v>
      </c>
      <c r="Q1698" s="15">
        <v>22595.200000000001</v>
      </c>
      <c r="R1698" s="15">
        <v>87089500</v>
      </c>
      <c r="S1698" s="15">
        <v>5</v>
      </c>
      <c r="T1698" s="19" t="s">
        <v>441</v>
      </c>
      <c r="U1698" s="19" t="s">
        <v>178</v>
      </c>
      <c r="V1698" s="16">
        <f t="shared" si="347"/>
        <v>1129.76</v>
      </c>
      <c r="W1698" s="16">
        <f t="shared" si="348"/>
        <v>112.976</v>
      </c>
      <c r="X1698" s="16">
        <f t="shared" si="349"/>
        <v>1242.7359999999999</v>
      </c>
      <c r="Y1698" s="16">
        <f t="shared" si="350"/>
        <v>0.69040888888888885</v>
      </c>
      <c r="Z1698" s="16">
        <f t="shared" si="351"/>
        <v>12.552888888888889</v>
      </c>
      <c r="AA1698" s="17">
        <f t="shared" si="352"/>
        <v>1800</v>
      </c>
      <c r="AB1698" s="10">
        <v>180</v>
      </c>
      <c r="AC1698" s="18">
        <f t="shared" si="353"/>
        <v>124.27359999999999</v>
      </c>
      <c r="AD1698" s="12">
        <f t="shared" si="354"/>
        <v>468</v>
      </c>
      <c r="AE1698" s="13">
        <f t="shared" si="355"/>
        <v>1332</v>
      </c>
    </row>
    <row r="1699" spans="1:31">
      <c r="A1699" s="6">
        <v>19</v>
      </c>
      <c r="B1699" s="6">
        <v>6</v>
      </c>
      <c r="C1699" s="6" t="str">
        <f t="shared" si="330"/>
        <v>652466500ALEATHER, HIDE TOP GRAIN, OBSIDIAN BLACK, NNB, BLA921894945748573.68</v>
      </c>
      <c r="D1699" s="21" t="s">
        <v>440</v>
      </c>
      <c r="E1699" s="6" t="s">
        <v>163</v>
      </c>
      <c r="F1699" s="6"/>
      <c r="G1699" s="7" t="s">
        <v>141</v>
      </c>
      <c r="H1699" s="19"/>
      <c r="I1699" s="19"/>
      <c r="J1699" s="19"/>
      <c r="K1699" s="19"/>
      <c r="L1699" s="14">
        <v>9218949</v>
      </c>
      <c r="M1699" s="22">
        <v>45748</v>
      </c>
      <c r="N1699" s="19" t="s">
        <v>190</v>
      </c>
      <c r="O1699" s="19" t="s">
        <v>383</v>
      </c>
      <c r="P1699" s="15">
        <v>573.67999999999995</v>
      </c>
      <c r="Q1699" s="15">
        <v>1269055.71</v>
      </c>
      <c r="R1699" s="15">
        <v>41071200</v>
      </c>
      <c r="S1699" s="15">
        <v>0</v>
      </c>
      <c r="T1699" s="19" t="s">
        <v>442</v>
      </c>
      <c r="U1699" s="19" t="s">
        <v>178</v>
      </c>
      <c r="V1699" s="16">
        <f t="shared" si="347"/>
        <v>0</v>
      </c>
      <c r="W1699" s="16">
        <f t="shared" si="348"/>
        <v>0</v>
      </c>
      <c r="X1699" s="16">
        <f t="shared" si="349"/>
        <v>0</v>
      </c>
      <c r="Y1699" s="16">
        <f t="shared" si="350"/>
        <v>0</v>
      </c>
      <c r="Z1699" s="16">
        <f t="shared" si="351"/>
        <v>2212.1316936271091</v>
      </c>
      <c r="AA1699" s="17">
        <f t="shared" si="352"/>
        <v>573.67999999999995</v>
      </c>
      <c r="AB1699" s="10">
        <v>573.67999999999995</v>
      </c>
      <c r="AC1699" s="18">
        <f t="shared" si="353"/>
        <v>0</v>
      </c>
      <c r="AD1699" s="12">
        <f t="shared" si="354"/>
        <v>573.67999999999995</v>
      </c>
      <c r="AE1699" s="13">
        <f t="shared" si="355"/>
        <v>0</v>
      </c>
    </row>
    <row r="1700" spans="1:31">
      <c r="A1700" s="6">
        <v>19</v>
      </c>
      <c r="B1700" s="6">
        <v>7</v>
      </c>
      <c r="C1700" s="6" t="str">
        <f t="shared" si="330"/>
        <v>652466500ALEATHER, HIDE TOP GRAIN, OBSIDIAN BLACK, NNB, BLA921894945748580.18</v>
      </c>
      <c r="D1700" s="21" t="s">
        <v>440</v>
      </c>
      <c r="E1700" s="6" t="s">
        <v>163</v>
      </c>
      <c r="F1700" s="6"/>
      <c r="G1700" s="7" t="s">
        <v>141</v>
      </c>
      <c r="H1700" s="19"/>
      <c r="I1700" s="19"/>
      <c r="J1700" s="19"/>
      <c r="K1700" s="19"/>
      <c r="L1700" s="14">
        <v>9218949</v>
      </c>
      <c r="M1700" s="22">
        <v>45748</v>
      </c>
      <c r="N1700" s="19" t="s">
        <v>190</v>
      </c>
      <c r="O1700" s="19" t="s">
        <v>383</v>
      </c>
      <c r="P1700" s="15">
        <v>580.17999999999995</v>
      </c>
      <c r="Q1700" s="15">
        <v>1283434.6200000001</v>
      </c>
      <c r="R1700" s="15">
        <v>41071200</v>
      </c>
      <c r="S1700" s="15">
        <v>0</v>
      </c>
      <c r="T1700" s="19" t="s">
        <v>442</v>
      </c>
      <c r="U1700" s="19" t="s">
        <v>178</v>
      </c>
      <c r="V1700" s="16">
        <f t="shared" si="347"/>
        <v>0</v>
      </c>
      <c r="W1700" s="16">
        <f t="shared" si="348"/>
        <v>0</v>
      </c>
      <c r="X1700" s="16">
        <f t="shared" si="349"/>
        <v>0</v>
      </c>
      <c r="Y1700" s="16">
        <f t="shared" si="350"/>
        <v>0</v>
      </c>
      <c r="Z1700" s="16">
        <f t="shared" si="351"/>
        <v>2212.1317866868908</v>
      </c>
      <c r="AA1700" s="17">
        <f t="shared" si="352"/>
        <v>580.17999999999995</v>
      </c>
      <c r="AB1700" s="10">
        <v>580</v>
      </c>
      <c r="AC1700" s="18">
        <f t="shared" si="353"/>
        <v>0</v>
      </c>
      <c r="AD1700" s="12">
        <f t="shared" si="354"/>
        <v>580</v>
      </c>
      <c r="AE1700" s="13">
        <f t="shared" si="355"/>
        <v>0.17999999999994998</v>
      </c>
    </row>
    <row r="1701" spans="1:31">
      <c r="A1701" s="6">
        <v>19</v>
      </c>
      <c r="B1701" s="6">
        <v>8</v>
      </c>
      <c r="C1701" s="6" t="str">
        <f t="shared" si="330"/>
        <v>652466500ALEATHER, HIDE TOP GRAIN, OBSIDIAN BLACK, NNB, BLA921894945748573.04</v>
      </c>
      <c r="D1701" s="21" t="s">
        <v>440</v>
      </c>
      <c r="E1701" s="6" t="s">
        <v>163</v>
      </c>
      <c r="F1701" s="6"/>
      <c r="G1701" s="7" t="s">
        <v>141</v>
      </c>
      <c r="H1701" s="19"/>
      <c r="I1701" s="19"/>
      <c r="J1701" s="19"/>
      <c r="K1701" s="19"/>
      <c r="L1701" s="14">
        <v>9218949</v>
      </c>
      <c r="M1701" s="22">
        <v>45748</v>
      </c>
      <c r="N1701" s="19" t="s">
        <v>190</v>
      </c>
      <c r="O1701" s="19" t="s">
        <v>383</v>
      </c>
      <c r="P1701" s="15">
        <v>573.04</v>
      </c>
      <c r="Q1701" s="15">
        <v>1267639.95</v>
      </c>
      <c r="R1701" s="15">
        <v>41071200</v>
      </c>
      <c r="S1701" s="15">
        <v>0</v>
      </c>
      <c r="T1701" s="19" t="s">
        <v>442</v>
      </c>
      <c r="U1701" s="19" t="s">
        <v>178</v>
      </c>
      <c r="V1701" s="16">
        <f t="shared" si="347"/>
        <v>0</v>
      </c>
      <c r="W1701" s="16">
        <f t="shared" si="348"/>
        <v>0</v>
      </c>
      <c r="X1701" s="16">
        <f t="shared" si="349"/>
        <v>0</v>
      </c>
      <c r="Y1701" s="16">
        <f t="shared" si="350"/>
        <v>0</v>
      </c>
      <c r="Z1701" s="16">
        <f t="shared" si="351"/>
        <v>2212.13170110289</v>
      </c>
      <c r="AA1701" s="17">
        <f t="shared" si="352"/>
        <v>573.04</v>
      </c>
      <c r="AB1701" s="10">
        <v>510</v>
      </c>
      <c r="AC1701" s="18">
        <f t="shared" si="353"/>
        <v>0</v>
      </c>
      <c r="AD1701" s="12">
        <f t="shared" si="354"/>
        <v>510</v>
      </c>
      <c r="AE1701" s="13">
        <f t="shared" si="355"/>
        <v>63.039999999999964</v>
      </c>
    </row>
    <row r="1702" spans="1:31">
      <c r="A1702" s="6">
        <v>19</v>
      </c>
      <c r="B1702" s="6">
        <v>9</v>
      </c>
      <c r="C1702" s="6" t="str">
        <f t="shared" si="330"/>
        <v>655818900BACTUATOR VIBRATION MOTOR ASSY WITH BRACKET BC3 CU71936154563814400</v>
      </c>
      <c r="D1702" s="21" t="s">
        <v>440</v>
      </c>
      <c r="E1702" s="6" t="s">
        <v>156</v>
      </c>
      <c r="F1702" s="6"/>
      <c r="G1702" s="7" t="s">
        <v>133</v>
      </c>
      <c r="H1702" s="19"/>
      <c r="I1702" s="19"/>
      <c r="J1702" s="19"/>
      <c r="K1702" s="19"/>
      <c r="L1702" s="14">
        <v>7193615</v>
      </c>
      <c r="M1702" s="22">
        <v>45638</v>
      </c>
      <c r="N1702" s="19" t="s">
        <v>189</v>
      </c>
      <c r="O1702" s="19" t="s">
        <v>333</v>
      </c>
      <c r="P1702" s="15">
        <v>14400</v>
      </c>
      <c r="Q1702" s="15">
        <v>4902857.83</v>
      </c>
      <c r="R1702" s="15">
        <v>87089400</v>
      </c>
      <c r="S1702" s="15">
        <v>15</v>
      </c>
      <c r="T1702" s="19" t="s">
        <v>376</v>
      </c>
      <c r="U1702" s="19" t="s">
        <v>178</v>
      </c>
      <c r="V1702" s="16">
        <f t="shared" si="347"/>
        <v>735428.67449999996</v>
      </c>
      <c r="W1702" s="16">
        <f t="shared" si="348"/>
        <v>73542.867450000005</v>
      </c>
      <c r="X1702" s="16">
        <f t="shared" si="349"/>
        <v>808971.54194999998</v>
      </c>
      <c r="Y1702" s="16">
        <f t="shared" si="350"/>
        <v>56.178579302083335</v>
      </c>
      <c r="Z1702" s="16">
        <f t="shared" si="351"/>
        <v>340.47623819444448</v>
      </c>
      <c r="AA1702" s="17">
        <f t="shared" si="352"/>
        <v>14400</v>
      </c>
      <c r="AB1702" s="10">
        <v>7060</v>
      </c>
      <c r="AC1702" s="18">
        <f t="shared" si="353"/>
        <v>396620.76987270836</v>
      </c>
      <c r="AD1702" s="12">
        <f t="shared" si="354"/>
        <v>14400</v>
      </c>
      <c r="AE1702" s="13">
        <f t="shared" si="355"/>
        <v>0</v>
      </c>
    </row>
    <row r="1703" spans="1:31">
      <c r="A1703" s="6">
        <v>19</v>
      </c>
      <c r="B1703" s="6">
        <v>10</v>
      </c>
      <c r="C1703" s="6" t="str">
        <f t="shared" si="330"/>
        <v>655931500AARMATURE, MONOBLOCK ASW4, HYUNDAI BC3-CUV5720169455561647</v>
      </c>
      <c r="D1703" s="21" t="s">
        <v>440</v>
      </c>
      <c r="E1703" s="6" t="s">
        <v>157</v>
      </c>
      <c r="F1703" s="6"/>
      <c r="G1703" s="7" t="s">
        <v>134</v>
      </c>
      <c r="H1703" s="19"/>
      <c r="I1703" s="19"/>
      <c r="J1703" s="19"/>
      <c r="K1703" s="19"/>
      <c r="L1703" s="14">
        <v>5720169</v>
      </c>
      <c r="M1703" s="22">
        <v>45556</v>
      </c>
      <c r="N1703" s="19" t="s">
        <v>185</v>
      </c>
      <c r="O1703" s="19" t="s">
        <v>332</v>
      </c>
      <c r="P1703" s="15">
        <v>1647</v>
      </c>
      <c r="Q1703" s="15">
        <v>712970.11</v>
      </c>
      <c r="R1703" s="15">
        <v>87089400</v>
      </c>
      <c r="S1703" s="15">
        <v>15</v>
      </c>
      <c r="T1703" s="19" t="s">
        <v>377</v>
      </c>
      <c r="U1703" s="19" t="s">
        <v>178</v>
      </c>
      <c r="V1703" s="16">
        <f t="shared" si="347"/>
        <v>106945.5165</v>
      </c>
      <c r="W1703" s="16">
        <f t="shared" si="348"/>
        <v>10694.551650000001</v>
      </c>
      <c r="X1703" s="16">
        <f t="shared" si="349"/>
        <v>117640.06815000001</v>
      </c>
      <c r="Y1703" s="16">
        <f t="shared" si="350"/>
        <v>71.426878051001822</v>
      </c>
      <c r="Z1703" s="16">
        <f t="shared" si="351"/>
        <v>432.89017000607163</v>
      </c>
      <c r="AA1703" s="17">
        <f t="shared" si="352"/>
        <v>1647</v>
      </c>
      <c r="AB1703" s="10">
        <v>1647</v>
      </c>
      <c r="AC1703" s="18">
        <f t="shared" si="353"/>
        <v>117640.06815000001</v>
      </c>
      <c r="AD1703" s="12">
        <f t="shared" si="354"/>
        <v>1647</v>
      </c>
      <c r="AE1703" s="13">
        <f t="shared" si="355"/>
        <v>0</v>
      </c>
    </row>
    <row r="1704" spans="1:31">
      <c r="A1704" s="6">
        <v>19</v>
      </c>
      <c r="B1704" s="6">
        <v>11</v>
      </c>
      <c r="C1704" s="6" t="str">
        <f t="shared" si="330"/>
        <v>655931500AARMATURE, MONOBLOCK ASW4, HYUNDAI BC3-CUV7142458456363078</v>
      </c>
      <c r="D1704" s="21" t="s">
        <v>440</v>
      </c>
      <c r="E1704" s="6" t="s">
        <v>157</v>
      </c>
      <c r="F1704" s="6"/>
      <c r="G1704" s="7" t="s">
        <v>134</v>
      </c>
      <c r="H1704" s="19"/>
      <c r="I1704" s="19"/>
      <c r="J1704" s="19"/>
      <c r="K1704" s="19"/>
      <c r="L1704" s="14">
        <v>7142458</v>
      </c>
      <c r="M1704" s="22">
        <v>45636</v>
      </c>
      <c r="N1704" s="19" t="s">
        <v>184</v>
      </c>
      <c r="O1704" s="19" t="s">
        <v>332</v>
      </c>
      <c r="P1704" s="15">
        <v>3078</v>
      </c>
      <c r="Q1704" s="15">
        <v>1209589.19</v>
      </c>
      <c r="R1704" s="15">
        <v>87089400</v>
      </c>
      <c r="S1704" s="15">
        <v>15</v>
      </c>
      <c r="T1704" s="19" t="s">
        <v>424</v>
      </c>
      <c r="U1704" s="19" t="s">
        <v>178</v>
      </c>
      <c r="V1704" s="16">
        <f t="shared" si="347"/>
        <v>181438.37849999999</v>
      </c>
      <c r="W1704" s="16">
        <f t="shared" si="348"/>
        <v>18143.83785</v>
      </c>
      <c r="X1704" s="16">
        <f t="shared" si="349"/>
        <v>199582.21635</v>
      </c>
      <c r="Y1704" s="16">
        <f t="shared" si="350"/>
        <v>64.841525779727093</v>
      </c>
      <c r="Z1704" s="16">
        <f t="shared" si="351"/>
        <v>392.97894411955815</v>
      </c>
      <c r="AA1704" s="17">
        <f t="shared" si="352"/>
        <v>3078</v>
      </c>
      <c r="AB1704" s="10">
        <v>3078</v>
      </c>
      <c r="AC1704" s="18">
        <f t="shared" si="353"/>
        <v>199582.21635</v>
      </c>
      <c r="AD1704" s="12">
        <f t="shared" si="354"/>
        <v>3078</v>
      </c>
      <c r="AE1704" s="13">
        <f t="shared" si="355"/>
        <v>0</v>
      </c>
    </row>
    <row r="1705" spans="1:31">
      <c r="A1705" s="6">
        <v>19</v>
      </c>
      <c r="B1705" s="6">
        <v>12</v>
      </c>
      <c r="C1705" s="6" t="str">
        <f t="shared" si="330"/>
        <v>655931500AARMATURE, MONOBLOCK ASW4, HYUNDAI BC3-CUV7752588456703240</v>
      </c>
      <c r="D1705" s="21" t="s">
        <v>440</v>
      </c>
      <c r="E1705" s="6" t="s">
        <v>157</v>
      </c>
      <c r="F1705" s="6"/>
      <c r="G1705" s="7" t="s">
        <v>134</v>
      </c>
      <c r="H1705" s="19"/>
      <c r="I1705" s="19"/>
      <c r="J1705" s="19"/>
      <c r="K1705" s="19"/>
      <c r="L1705" s="14">
        <v>7752588</v>
      </c>
      <c r="M1705" s="22">
        <v>45670</v>
      </c>
      <c r="N1705" s="19" t="s">
        <v>184</v>
      </c>
      <c r="O1705" s="19" t="s">
        <v>332</v>
      </c>
      <c r="P1705" s="15">
        <v>3240</v>
      </c>
      <c r="Q1705" s="15">
        <v>1329411.0900000001</v>
      </c>
      <c r="R1705" s="15">
        <v>87089400</v>
      </c>
      <c r="S1705" s="15">
        <v>15</v>
      </c>
      <c r="T1705" s="19" t="s">
        <v>423</v>
      </c>
      <c r="U1705" s="19" t="s">
        <v>178</v>
      </c>
      <c r="V1705" s="16">
        <f t="shared" si="347"/>
        <v>199411.6635</v>
      </c>
      <c r="W1705" s="16">
        <f t="shared" si="348"/>
        <v>19941.16635</v>
      </c>
      <c r="X1705" s="16">
        <f t="shared" si="349"/>
        <v>219352.82984999998</v>
      </c>
      <c r="Y1705" s="16">
        <f t="shared" si="350"/>
        <v>67.701490694444445</v>
      </c>
      <c r="Z1705" s="16">
        <f t="shared" si="351"/>
        <v>410.31206481481485</v>
      </c>
      <c r="AA1705" s="17">
        <f t="shared" si="352"/>
        <v>3240</v>
      </c>
      <c r="AB1705" s="10">
        <v>2335</v>
      </c>
      <c r="AC1705" s="18">
        <f t="shared" si="353"/>
        <v>158082.98077152777</v>
      </c>
      <c r="AD1705" s="12">
        <f t="shared" si="354"/>
        <v>2335</v>
      </c>
      <c r="AE1705" s="13">
        <f t="shared" si="355"/>
        <v>905</v>
      </c>
    </row>
    <row r="1706" spans="1:31">
      <c r="A1706" s="6">
        <v>19</v>
      </c>
      <c r="B1706" s="6">
        <v>13</v>
      </c>
      <c r="C1706" s="6" t="str">
        <f t="shared" si="330"/>
        <v>651015300BELEMENT, HEATER, HYBRID 5085414455202100</v>
      </c>
      <c r="D1706" s="21" t="s">
        <v>440</v>
      </c>
      <c r="E1706" s="6" t="s">
        <v>155</v>
      </c>
      <c r="F1706" s="6"/>
      <c r="G1706" s="7" t="s">
        <v>137</v>
      </c>
      <c r="H1706" s="19"/>
      <c r="I1706" s="19"/>
      <c r="J1706" s="19"/>
      <c r="K1706" s="19"/>
      <c r="L1706" s="14">
        <v>5085414</v>
      </c>
      <c r="M1706" s="22">
        <v>45520</v>
      </c>
      <c r="N1706" s="19" t="s">
        <v>190</v>
      </c>
      <c r="O1706" s="19" t="s">
        <v>333</v>
      </c>
      <c r="P1706" s="15">
        <v>2100</v>
      </c>
      <c r="Q1706" s="15">
        <v>1126994.6499999999</v>
      </c>
      <c r="R1706" s="15">
        <v>87089400</v>
      </c>
      <c r="S1706" s="15">
        <v>15</v>
      </c>
      <c r="T1706" s="19" t="s">
        <v>374</v>
      </c>
      <c r="U1706" s="19" t="s">
        <v>178</v>
      </c>
      <c r="V1706" s="16">
        <f t="shared" si="347"/>
        <v>169049.19749999998</v>
      </c>
      <c r="W1706" s="16">
        <f t="shared" si="348"/>
        <v>16904.919749999997</v>
      </c>
      <c r="X1706" s="16">
        <f t="shared" si="349"/>
        <v>185954.11724999998</v>
      </c>
      <c r="Y1706" s="16">
        <f t="shared" si="350"/>
        <v>88.54957964285714</v>
      </c>
      <c r="Z1706" s="16">
        <f t="shared" si="351"/>
        <v>536.66411904761901</v>
      </c>
      <c r="AA1706" s="17">
        <f t="shared" si="352"/>
        <v>2100</v>
      </c>
      <c r="AB1706" s="10">
        <v>2100</v>
      </c>
      <c r="AC1706" s="18">
        <f t="shared" si="353"/>
        <v>185954.11724999998</v>
      </c>
      <c r="AD1706" s="12">
        <f t="shared" si="354"/>
        <v>2100</v>
      </c>
      <c r="AE1706" s="13">
        <f t="shared" si="355"/>
        <v>0</v>
      </c>
    </row>
    <row r="1707" spans="1:31">
      <c r="A1707" s="6">
        <v>19</v>
      </c>
      <c r="B1707" s="6">
        <v>14</v>
      </c>
      <c r="C1707" s="6" t="str">
        <f t="shared" si="330"/>
        <v>651015300BELEMENT, HEATER, HYBRID 5654122455522100</v>
      </c>
      <c r="D1707" s="21" t="s">
        <v>440</v>
      </c>
      <c r="E1707" s="6" t="s">
        <v>155</v>
      </c>
      <c r="F1707" s="6"/>
      <c r="G1707" s="7" t="s">
        <v>137</v>
      </c>
      <c r="H1707" s="19"/>
      <c r="I1707" s="19"/>
      <c r="J1707" s="19"/>
      <c r="K1707" s="19"/>
      <c r="L1707" s="14">
        <v>5654122</v>
      </c>
      <c r="M1707" s="22">
        <v>45552</v>
      </c>
      <c r="N1707" s="19" t="s">
        <v>189</v>
      </c>
      <c r="O1707" s="19" t="s">
        <v>333</v>
      </c>
      <c r="P1707" s="15">
        <v>2100</v>
      </c>
      <c r="Q1707" s="15">
        <v>1150484.32</v>
      </c>
      <c r="R1707" s="15">
        <v>87089400</v>
      </c>
      <c r="S1707" s="15">
        <v>15</v>
      </c>
      <c r="T1707" s="19" t="s">
        <v>407</v>
      </c>
      <c r="U1707" s="19" t="s">
        <v>178</v>
      </c>
      <c r="V1707" s="16">
        <f t="shared" si="347"/>
        <v>172572.64800000002</v>
      </c>
      <c r="W1707" s="16">
        <f t="shared" si="348"/>
        <v>17257.264800000001</v>
      </c>
      <c r="X1707" s="16">
        <f t="shared" si="349"/>
        <v>189829.91280000002</v>
      </c>
      <c r="Y1707" s="16">
        <f t="shared" si="350"/>
        <v>90.395196571428585</v>
      </c>
      <c r="Z1707" s="16">
        <f t="shared" si="351"/>
        <v>547.8496761904762</v>
      </c>
      <c r="AA1707" s="17">
        <f t="shared" si="352"/>
        <v>2100</v>
      </c>
      <c r="AB1707" s="10">
        <v>1110</v>
      </c>
      <c r="AC1707" s="18">
        <f t="shared" si="353"/>
        <v>100338.66819428572</v>
      </c>
      <c r="AD1707" s="12">
        <f t="shared" si="354"/>
        <v>1110</v>
      </c>
      <c r="AE1707" s="13">
        <f t="shared" si="355"/>
        <v>990</v>
      </c>
    </row>
    <row r="1708" spans="1:31">
      <c r="A1708" s="6">
        <v>19</v>
      </c>
      <c r="B1708" s="6">
        <v>15</v>
      </c>
      <c r="C1708" s="6" t="str">
        <f t="shared" si="330"/>
        <v>634240200AHORN CONTACT, CU 681124845118600000</v>
      </c>
      <c r="D1708" s="21" t="s">
        <v>440</v>
      </c>
      <c r="E1708" s="6" t="s">
        <v>160</v>
      </c>
      <c r="F1708" s="6"/>
      <c r="G1708" s="7" t="s">
        <v>138</v>
      </c>
      <c r="H1708" s="19"/>
      <c r="I1708" s="19"/>
      <c r="J1708" s="19"/>
      <c r="K1708" s="19"/>
      <c r="L1708" s="14">
        <v>6811248</v>
      </c>
      <c r="M1708" s="22">
        <v>45118</v>
      </c>
      <c r="N1708" s="19" t="s">
        <v>189</v>
      </c>
      <c r="O1708" s="19" t="s">
        <v>332</v>
      </c>
      <c r="P1708" s="15">
        <v>600000</v>
      </c>
      <c r="Q1708" s="15">
        <v>627311.64</v>
      </c>
      <c r="R1708" s="15">
        <v>87089900</v>
      </c>
      <c r="S1708" s="15">
        <v>15</v>
      </c>
      <c r="T1708" s="19" t="s">
        <v>258</v>
      </c>
      <c r="U1708" s="19" t="s">
        <v>178</v>
      </c>
      <c r="V1708" s="16">
        <f t="shared" si="347"/>
        <v>94096.745999999999</v>
      </c>
      <c r="W1708" s="16">
        <f t="shared" si="348"/>
        <v>9409.6746000000003</v>
      </c>
      <c r="X1708" s="16">
        <f t="shared" si="349"/>
        <v>103506.4206</v>
      </c>
      <c r="Y1708" s="16">
        <f t="shared" si="350"/>
        <v>0.17251070099999999</v>
      </c>
      <c r="Z1708" s="16">
        <f t="shared" si="351"/>
        <v>1.0455194000000001</v>
      </c>
      <c r="AA1708" s="17">
        <f t="shared" si="352"/>
        <v>600000</v>
      </c>
      <c r="AB1708" s="10">
        <v>28240</v>
      </c>
      <c r="AC1708" s="18">
        <f t="shared" si="353"/>
        <v>4871.7021962399995</v>
      </c>
      <c r="AD1708" s="12">
        <f t="shared" si="354"/>
        <v>577364</v>
      </c>
      <c r="AE1708" s="13">
        <f t="shared" si="355"/>
        <v>22636</v>
      </c>
    </row>
    <row r="1709" spans="1:31">
      <c r="A1709" s="6">
        <v>19</v>
      </c>
      <c r="B1709" s="6">
        <v>16</v>
      </c>
      <c r="C1709" s="6" t="str">
        <f t="shared" si="330"/>
        <v>630580800ALABEL, RAW MATERIAL, BLA K12 TPC BUCKLE5160585449362400000</v>
      </c>
      <c r="D1709" s="21" t="s">
        <v>440</v>
      </c>
      <c r="E1709" s="6" t="s">
        <v>71</v>
      </c>
      <c r="F1709" s="6"/>
      <c r="G1709" s="7" t="s">
        <v>31</v>
      </c>
      <c r="H1709" s="19"/>
      <c r="I1709" s="19"/>
      <c r="J1709" s="19"/>
      <c r="K1709" s="19"/>
      <c r="L1709" s="14">
        <v>5160585</v>
      </c>
      <c r="M1709" s="22">
        <v>44936</v>
      </c>
      <c r="N1709" s="19" t="s">
        <v>196</v>
      </c>
      <c r="O1709" s="19" t="s">
        <v>333</v>
      </c>
      <c r="P1709" s="15">
        <v>2400000</v>
      </c>
      <c r="Q1709" s="15">
        <v>86522.34</v>
      </c>
      <c r="R1709" s="15">
        <v>87082900</v>
      </c>
      <c r="S1709" s="15">
        <v>15</v>
      </c>
      <c r="T1709" s="19" t="s">
        <v>265</v>
      </c>
      <c r="U1709" s="19" t="s">
        <v>178</v>
      </c>
      <c r="V1709" s="16">
        <f t="shared" si="347"/>
        <v>12978.350999999999</v>
      </c>
      <c r="W1709" s="16">
        <f t="shared" si="348"/>
        <v>1297.8351</v>
      </c>
      <c r="X1709" s="16">
        <f t="shared" si="349"/>
        <v>14276.186099999999</v>
      </c>
      <c r="Y1709" s="16">
        <f t="shared" si="350"/>
        <v>5.9484108749999999E-3</v>
      </c>
      <c r="Z1709" s="16">
        <f t="shared" si="351"/>
        <v>3.6050974999999999E-2</v>
      </c>
      <c r="AA1709" s="17">
        <f t="shared" si="352"/>
        <v>2400000</v>
      </c>
      <c r="AB1709" s="10">
        <v>13012</v>
      </c>
      <c r="AC1709" s="18">
        <f t="shared" si="353"/>
        <v>77.400722305499997</v>
      </c>
      <c r="AD1709" s="12">
        <f t="shared" si="354"/>
        <v>548546</v>
      </c>
      <c r="AE1709" s="13">
        <f t="shared" si="355"/>
        <v>1851454</v>
      </c>
    </row>
    <row r="1710" spans="1:31">
      <c r="A1710" s="6">
        <v>19</v>
      </c>
      <c r="B1710" s="6">
        <v>17</v>
      </c>
      <c r="C1710" s="6" t="str">
        <f t="shared" si="330"/>
        <v>639590100BSCREW SELF TAPPING INTERNAL T15, 15.0798510145681100000</v>
      </c>
      <c r="D1710" s="21" t="s">
        <v>440</v>
      </c>
      <c r="E1710" s="6" t="s">
        <v>165</v>
      </c>
      <c r="F1710" s="6"/>
      <c r="G1710" s="7" t="s">
        <v>143</v>
      </c>
      <c r="H1710" s="19"/>
      <c r="I1710" s="19"/>
      <c r="J1710" s="19"/>
      <c r="K1710" s="19"/>
      <c r="L1710" s="14">
        <v>7985101</v>
      </c>
      <c r="M1710" s="22">
        <v>45681</v>
      </c>
      <c r="N1710" s="19" t="s">
        <v>180</v>
      </c>
      <c r="O1710" s="19" t="s">
        <v>332</v>
      </c>
      <c r="P1710" s="15">
        <v>100000</v>
      </c>
      <c r="Q1710" s="15">
        <v>135898.69</v>
      </c>
      <c r="R1710" s="15">
        <v>87089400</v>
      </c>
      <c r="S1710" s="15">
        <v>15</v>
      </c>
      <c r="T1710" s="19" t="s">
        <v>425</v>
      </c>
      <c r="U1710" s="19" t="s">
        <v>178</v>
      </c>
      <c r="V1710" s="16">
        <f t="shared" si="347"/>
        <v>20384.803499999998</v>
      </c>
      <c r="W1710" s="16">
        <f t="shared" si="348"/>
        <v>2038.4803499999998</v>
      </c>
      <c r="X1710" s="16">
        <f t="shared" si="349"/>
        <v>22423.28385</v>
      </c>
      <c r="Y1710" s="16">
        <f t="shared" si="350"/>
        <v>0.2242328385</v>
      </c>
      <c r="Z1710" s="16">
        <f t="shared" si="351"/>
        <v>1.3589869000000001</v>
      </c>
      <c r="AA1710" s="17">
        <f t="shared" si="352"/>
        <v>100000</v>
      </c>
      <c r="AB1710" s="10">
        <v>43960</v>
      </c>
      <c r="AC1710" s="18">
        <f t="shared" si="353"/>
        <v>9857.2755804600001</v>
      </c>
      <c r="AD1710" s="12">
        <f t="shared" si="354"/>
        <v>95936</v>
      </c>
      <c r="AE1710" s="13">
        <f t="shared" si="355"/>
        <v>4064</v>
      </c>
    </row>
    <row r="1711" spans="1:31">
      <c r="A1711" s="6">
        <v>19</v>
      </c>
      <c r="B1711" s="6">
        <v>18</v>
      </c>
      <c r="C1711" s="6" t="str">
        <f t="shared" si="330"/>
        <v>644345600ASCREW, SELF-TAPPING, PLA PLASTIC, 3.0, CROSS54768324554235000</v>
      </c>
      <c r="D1711" s="21" t="s">
        <v>440</v>
      </c>
      <c r="E1711" s="6" t="s">
        <v>166</v>
      </c>
      <c r="F1711" s="6"/>
      <c r="G1711" s="7" t="s">
        <v>144</v>
      </c>
      <c r="H1711" s="19"/>
      <c r="I1711" s="19"/>
      <c r="J1711" s="19"/>
      <c r="K1711" s="19"/>
      <c r="L1711" s="14">
        <v>5476832</v>
      </c>
      <c r="M1711" s="22">
        <v>45542</v>
      </c>
      <c r="N1711" s="19" t="s">
        <v>189</v>
      </c>
      <c r="O1711" s="19" t="s">
        <v>333</v>
      </c>
      <c r="P1711" s="15">
        <v>35000</v>
      </c>
      <c r="Q1711" s="15">
        <v>27345.25</v>
      </c>
      <c r="R1711" s="15">
        <v>87089500</v>
      </c>
      <c r="S1711" s="15">
        <v>15</v>
      </c>
      <c r="T1711" s="19" t="s">
        <v>392</v>
      </c>
      <c r="U1711" s="19" t="s">
        <v>178</v>
      </c>
      <c r="V1711" s="16">
        <f t="shared" si="347"/>
        <v>4101.7874999999995</v>
      </c>
      <c r="W1711" s="16">
        <f t="shared" si="348"/>
        <v>410.17874999999998</v>
      </c>
      <c r="X1711" s="16">
        <f t="shared" si="349"/>
        <v>4511.9662499999995</v>
      </c>
      <c r="Y1711" s="16">
        <f t="shared" si="350"/>
        <v>0.12891332142857143</v>
      </c>
      <c r="Z1711" s="16">
        <f t="shared" si="351"/>
        <v>0.78129285714285712</v>
      </c>
      <c r="AA1711" s="17">
        <f t="shared" si="352"/>
        <v>35000</v>
      </c>
      <c r="AB1711" s="10">
        <v>14120</v>
      </c>
      <c r="AC1711" s="18">
        <f t="shared" si="353"/>
        <v>1820.2560985714285</v>
      </c>
      <c r="AD1711" s="12">
        <f t="shared" si="354"/>
        <v>33280</v>
      </c>
      <c r="AE1711" s="13">
        <f t="shared" si="355"/>
        <v>1720</v>
      </c>
    </row>
    <row r="1712" spans="1:31">
      <c r="A1712" s="6">
        <v>19</v>
      </c>
      <c r="B1712" s="6">
        <v>19</v>
      </c>
      <c r="C1712" s="6" t="str">
        <f t="shared" si="330"/>
        <v>628408700ASCREW, STANDARD, METRIC, M5, HEXALOBULAR INTERNAL97016534530845000</v>
      </c>
      <c r="D1712" s="21" t="s">
        <v>440</v>
      </c>
      <c r="E1712" s="6" t="s">
        <v>167</v>
      </c>
      <c r="F1712" s="6"/>
      <c r="G1712" s="7" t="s">
        <v>145</v>
      </c>
      <c r="H1712" s="19"/>
      <c r="I1712" s="19"/>
      <c r="J1712" s="19"/>
      <c r="K1712" s="19"/>
      <c r="L1712" s="14">
        <v>9701653</v>
      </c>
      <c r="M1712" s="22">
        <v>45308</v>
      </c>
      <c r="N1712" s="19" t="s">
        <v>190</v>
      </c>
      <c r="O1712" s="19" t="s">
        <v>333</v>
      </c>
      <c r="P1712" s="15">
        <v>45000</v>
      </c>
      <c r="Q1712" s="15">
        <v>230282.27</v>
      </c>
      <c r="R1712" s="15">
        <v>87089400</v>
      </c>
      <c r="S1712" s="15">
        <v>15</v>
      </c>
      <c r="T1712" s="19" t="s">
        <v>391</v>
      </c>
      <c r="U1712" s="19" t="s">
        <v>178</v>
      </c>
      <c r="V1712" s="16">
        <f t="shared" si="347"/>
        <v>34542.340499999998</v>
      </c>
      <c r="W1712" s="16">
        <f t="shared" si="348"/>
        <v>3454.23405</v>
      </c>
      <c r="X1712" s="16">
        <f t="shared" si="349"/>
        <v>37996.574549999998</v>
      </c>
      <c r="Y1712" s="16">
        <f t="shared" si="350"/>
        <v>0.84436832333333323</v>
      </c>
      <c r="Z1712" s="16">
        <f t="shared" si="351"/>
        <v>5.1173837777777775</v>
      </c>
      <c r="AA1712" s="17">
        <f t="shared" si="352"/>
        <v>45000</v>
      </c>
      <c r="AB1712" s="10">
        <v>1600</v>
      </c>
      <c r="AC1712" s="18">
        <f t="shared" si="353"/>
        <v>1350.9893173333332</v>
      </c>
      <c r="AD1712" s="12">
        <f t="shared" si="354"/>
        <v>45000</v>
      </c>
      <c r="AE1712" s="13">
        <f t="shared" si="355"/>
        <v>0</v>
      </c>
    </row>
    <row r="1713" spans="1:33">
      <c r="A1713" s="6">
        <v>19</v>
      </c>
      <c r="B1713" s="6">
        <v>20</v>
      </c>
      <c r="C1713" s="6" t="str">
        <f t="shared" si="330"/>
        <v>628408700ASCREW, STANDARD, METRIC, M5, HEXALOBULAR INTERNAL23178254534925000</v>
      </c>
      <c r="D1713" s="21" t="s">
        <v>440</v>
      </c>
      <c r="E1713" s="6" t="s">
        <v>167</v>
      </c>
      <c r="F1713" s="6"/>
      <c r="G1713" s="7" t="s">
        <v>145</v>
      </c>
      <c r="H1713" s="19"/>
      <c r="I1713" s="19"/>
      <c r="J1713" s="19"/>
      <c r="K1713" s="19"/>
      <c r="L1713" s="14">
        <v>2317825</v>
      </c>
      <c r="M1713" s="22">
        <v>45349</v>
      </c>
      <c r="N1713" s="19" t="s">
        <v>180</v>
      </c>
      <c r="O1713" s="19" t="s">
        <v>333</v>
      </c>
      <c r="P1713" s="15">
        <v>25000</v>
      </c>
      <c r="Q1713" s="15">
        <v>130897.09</v>
      </c>
      <c r="R1713" s="15">
        <v>87089400</v>
      </c>
      <c r="S1713" s="15">
        <v>15</v>
      </c>
      <c r="T1713" s="19" t="s">
        <v>387</v>
      </c>
      <c r="U1713" s="19" t="s">
        <v>178</v>
      </c>
      <c r="V1713" s="16">
        <f t="shared" si="347"/>
        <v>19634.5635</v>
      </c>
      <c r="W1713" s="16">
        <f t="shared" si="348"/>
        <v>1963.4563500000002</v>
      </c>
      <c r="X1713" s="16">
        <f t="shared" si="349"/>
        <v>21598.019850000001</v>
      </c>
      <c r="Y1713" s="16">
        <f t="shared" si="350"/>
        <v>0.86392079399999999</v>
      </c>
      <c r="Z1713" s="16">
        <f t="shared" si="351"/>
        <v>5.2358836000000002</v>
      </c>
      <c r="AA1713" s="17">
        <f t="shared" si="352"/>
        <v>25000</v>
      </c>
      <c r="AB1713" s="10">
        <v>3400</v>
      </c>
      <c r="AC1713" s="18">
        <f t="shared" si="353"/>
        <v>2937.3306996000001</v>
      </c>
      <c r="AD1713" s="12">
        <f t="shared" si="354"/>
        <v>25000</v>
      </c>
      <c r="AE1713" s="13">
        <f t="shared" si="355"/>
        <v>0</v>
      </c>
    </row>
    <row r="1714" spans="1:33">
      <c r="A1714" s="6">
        <v>19</v>
      </c>
      <c r="B1714" s="6">
        <v>21</v>
      </c>
      <c r="C1714" s="6" t="str">
        <f t="shared" si="330"/>
        <v>628408700ASCREW, STANDARD, METRIC, M5, HEXALOBULAR INTERNAL56284784555125000</v>
      </c>
      <c r="D1714" s="21" t="s">
        <v>440</v>
      </c>
      <c r="E1714" s="6" t="s">
        <v>167</v>
      </c>
      <c r="F1714" s="6"/>
      <c r="G1714" s="7" t="s">
        <v>145</v>
      </c>
      <c r="H1714" s="19"/>
      <c r="I1714" s="19"/>
      <c r="J1714" s="19"/>
      <c r="K1714" s="19"/>
      <c r="L1714" s="14">
        <v>5628478</v>
      </c>
      <c r="M1714" s="22">
        <v>45551</v>
      </c>
      <c r="N1714" s="19" t="s">
        <v>180</v>
      </c>
      <c r="O1714" s="19" t="s">
        <v>333</v>
      </c>
      <c r="P1714" s="15">
        <v>25000</v>
      </c>
      <c r="Q1714" s="15">
        <v>132466.07</v>
      </c>
      <c r="R1714" s="15">
        <v>87089400</v>
      </c>
      <c r="S1714" s="15">
        <v>15</v>
      </c>
      <c r="T1714" s="19" t="s">
        <v>387</v>
      </c>
      <c r="U1714" s="19" t="s">
        <v>178</v>
      </c>
      <c r="V1714" s="16">
        <f t="shared" si="347"/>
        <v>19869.910500000002</v>
      </c>
      <c r="W1714" s="16">
        <f t="shared" si="348"/>
        <v>1986.9910500000003</v>
      </c>
      <c r="X1714" s="16">
        <f t="shared" si="349"/>
        <v>21856.901550000002</v>
      </c>
      <c r="Y1714" s="16">
        <f t="shared" si="350"/>
        <v>0.87427606200000008</v>
      </c>
      <c r="Z1714" s="16">
        <f t="shared" si="351"/>
        <v>5.2986428000000005</v>
      </c>
      <c r="AA1714" s="17">
        <f t="shared" si="352"/>
        <v>25000</v>
      </c>
      <c r="AB1714" s="10">
        <v>16180</v>
      </c>
      <c r="AC1714" s="18">
        <f t="shared" si="353"/>
        <v>14145.78668316</v>
      </c>
      <c r="AD1714" s="12">
        <f t="shared" si="354"/>
        <v>24920</v>
      </c>
      <c r="AE1714" s="13">
        <f t="shared" si="355"/>
        <v>80</v>
      </c>
    </row>
    <row r="1715" spans="1:33">
      <c r="A1715" s="6">
        <v>19</v>
      </c>
      <c r="B1715" s="6">
        <v>22</v>
      </c>
      <c r="C1715" s="6" t="str">
        <f t="shared" si="330"/>
        <v>651409900ASCREW, STD METRIC M6 HEXALOBULAR INTERNAL, T458717404556530000</v>
      </c>
      <c r="D1715" s="21" t="s">
        <v>440</v>
      </c>
      <c r="E1715" s="6" t="s">
        <v>168</v>
      </c>
      <c r="F1715" s="6"/>
      <c r="G1715" s="7" t="s">
        <v>146</v>
      </c>
      <c r="H1715" s="19"/>
      <c r="I1715" s="19"/>
      <c r="J1715" s="19"/>
      <c r="K1715" s="19"/>
      <c r="L1715" s="14">
        <v>5871740</v>
      </c>
      <c r="M1715" s="22">
        <v>45565</v>
      </c>
      <c r="N1715" s="19" t="s">
        <v>189</v>
      </c>
      <c r="O1715" s="19" t="s">
        <v>333</v>
      </c>
      <c r="P1715" s="15">
        <v>30000</v>
      </c>
      <c r="Q1715" s="15">
        <v>100534.3</v>
      </c>
      <c r="R1715" s="15">
        <v>87089500</v>
      </c>
      <c r="S1715" s="15">
        <v>15</v>
      </c>
      <c r="T1715" s="19" t="s">
        <v>392</v>
      </c>
      <c r="U1715" s="19" t="s">
        <v>178</v>
      </c>
      <c r="V1715" s="16">
        <f t="shared" si="347"/>
        <v>15080.145</v>
      </c>
      <c r="W1715" s="16">
        <f t="shared" si="348"/>
        <v>1508.0145000000002</v>
      </c>
      <c r="X1715" s="16">
        <f t="shared" si="349"/>
        <v>16588.159500000002</v>
      </c>
      <c r="Y1715" s="16">
        <f t="shared" si="350"/>
        <v>0.55293865000000009</v>
      </c>
      <c r="Z1715" s="16">
        <f t="shared" si="351"/>
        <v>3.3511433333333334</v>
      </c>
      <c r="AA1715" s="17">
        <f t="shared" si="352"/>
        <v>30000</v>
      </c>
      <c r="AB1715" s="10">
        <v>8400</v>
      </c>
      <c r="AC1715" s="18">
        <f t="shared" si="353"/>
        <v>4644.6846600000008</v>
      </c>
      <c r="AD1715" s="12">
        <f t="shared" si="354"/>
        <v>30000</v>
      </c>
      <c r="AE1715" s="13">
        <f t="shared" si="355"/>
        <v>0</v>
      </c>
    </row>
    <row r="1716" spans="1:33">
      <c r="A1716" s="6">
        <v>19</v>
      </c>
      <c r="B1716" s="6">
        <v>23</v>
      </c>
      <c r="C1716" s="6" t="str">
        <f t="shared" si="330"/>
        <v>651409900ASCREW, STD METRIC M6 HEXALOBULAR INTERNAL, T470968704563330000</v>
      </c>
      <c r="D1716" s="21" t="s">
        <v>440</v>
      </c>
      <c r="E1716" s="6" t="s">
        <v>168</v>
      </c>
      <c r="F1716" s="6"/>
      <c r="G1716" s="7" t="s">
        <v>146</v>
      </c>
      <c r="H1716" s="19"/>
      <c r="I1716" s="19"/>
      <c r="J1716" s="19"/>
      <c r="K1716" s="19"/>
      <c r="L1716" s="14">
        <v>7096870</v>
      </c>
      <c r="M1716" s="22">
        <v>45633</v>
      </c>
      <c r="N1716" s="19" t="s">
        <v>189</v>
      </c>
      <c r="O1716" s="19" t="s">
        <v>333</v>
      </c>
      <c r="P1716" s="15">
        <v>30000</v>
      </c>
      <c r="Q1716" s="15">
        <v>101569.01</v>
      </c>
      <c r="R1716" s="15">
        <v>87089500</v>
      </c>
      <c r="S1716" s="15">
        <v>15</v>
      </c>
      <c r="T1716" s="19" t="s">
        <v>392</v>
      </c>
      <c r="U1716" s="19" t="s">
        <v>178</v>
      </c>
      <c r="V1716" s="16">
        <f t="shared" si="347"/>
        <v>15235.351499999999</v>
      </c>
      <c r="W1716" s="16">
        <f t="shared" si="348"/>
        <v>1523.5351499999999</v>
      </c>
      <c r="X1716" s="16">
        <f t="shared" si="349"/>
        <v>16758.88665</v>
      </c>
      <c r="Y1716" s="16">
        <f t="shared" si="350"/>
        <v>0.558629555</v>
      </c>
      <c r="Z1716" s="16">
        <f t="shared" si="351"/>
        <v>3.3856336666666667</v>
      </c>
      <c r="AA1716" s="17">
        <f t="shared" si="352"/>
        <v>30000</v>
      </c>
      <c r="AB1716" s="10">
        <v>5720</v>
      </c>
      <c r="AC1716" s="18">
        <f t="shared" si="353"/>
        <v>3195.3610546</v>
      </c>
      <c r="AD1716" s="12">
        <f t="shared" si="354"/>
        <v>24880</v>
      </c>
      <c r="AE1716" s="13">
        <f t="shared" si="355"/>
        <v>5120</v>
      </c>
    </row>
    <row r="1717" spans="1:33">
      <c r="A1717" s="6">
        <v>19</v>
      </c>
      <c r="B1717" s="6">
        <v>24</v>
      </c>
      <c r="C1717" s="6" t="str">
        <f t="shared" si="330"/>
        <v>651166400CSPRING, COIL, UPPER 52513994553030000</v>
      </c>
      <c r="D1717" s="21" t="s">
        <v>440</v>
      </c>
      <c r="E1717" s="6" t="s">
        <v>170</v>
      </c>
      <c r="F1717" s="6"/>
      <c r="G1717" s="7" t="s">
        <v>148</v>
      </c>
      <c r="H1717" s="19"/>
      <c r="I1717" s="19"/>
      <c r="J1717" s="19"/>
      <c r="K1717" s="19"/>
      <c r="L1717" s="14">
        <v>5251399</v>
      </c>
      <c r="M1717" s="22">
        <v>45530</v>
      </c>
      <c r="N1717" s="19" t="s">
        <v>189</v>
      </c>
      <c r="O1717" s="19" t="s">
        <v>333</v>
      </c>
      <c r="P1717" s="15">
        <v>30000</v>
      </c>
      <c r="Q1717" s="15">
        <v>56668.02</v>
      </c>
      <c r="R1717" s="15">
        <v>87089500</v>
      </c>
      <c r="S1717" s="15">
        <v>15</v>
      </c>
      <c r="T1717" s="19" t="s">
        <v>443</v>
      </c>
      <c r="U1717" s="19" t="s">
        <v>178</v>
      </c>
      <c r="V1717" s="16">
        <f t="shared" si="347"/>
        <v>8500.2029999999995</v>
      </c>
      <c r="W1717" s="16">
        <f t="shared" si="348"/>
        <v>850.02030000000002</v>
      </c>
      <c r="X1717" s="16">
        <f t="shared" si="349"/>
        <v>9350.2232999999997</v>
      </c>
      <c r="Y1717" s="16">
        <f t="shared" si="350"/>
        <v>0.31167411</v>
      </c>
      <c r="Z1717" s="16">
        <f t="shared" si="351"/>
        <v>1.8889339999999999</v>
      </c>
      <c r="AA1717" s="17">
        <f t="shared" si="352"/>
        <v>30000</v>
      </c>
      <c r="AB1717" s="10">
        <v>21180</v>
      </c>
      <c r="AC1717" s="18">
        <f t="shared" si="353"/>
        <v>6601.2576497999999</v>
      </c>
      <c r="AD1717" s="12">
        <f t="shared" si="354"/>
        <v>21180</v>
      </c>
      <c r="AE1717" s="13">
        <f t="shared" si="355"/>
        <v>8820</v>
      </c>
    </row>
    <row r="1718" spans="1:33">
      <c r="A1718" s="6">
        <v>19</v>
      </c>
      <c r="B1718" s="6">
        <v>25</v>
      </c>
      <c r="C1718" s="6" t="str">
        <f t="shared" si="330"/>
        <v>625090202BTAPE, IC, CONTINUOUS, 13.0 MM., PET 3M 842125401144536335100</v>
      </c>
      <c r="D1718" s="21" t="s">
        <v>440</v>
      </c>
      <c r="E1718" s="6" t="s">
        <v>128</v>
      </c>
      <c r="F1718" s="6"/>
      <c r="G1718" s="19" t="s">
        <v>103</v>
      </c>
      <c r="H1718" s="19"/>
      <c r="I1718" s="19"/>
      <c r="J1718" s="19"/>
      <c r="K1718" s="19"/>
      <c r="L1718" s="14">
        <v>2540114</v>
      </c>
      <c r="M1718" s="22">
        <v>45363</v>
      </c>
      <c r="N1718" s="19" t="s">
        <v>196</v>
      </c>
      <c r="O1718" s="19" t="s">
        <v>333</v>
      </c>
      <c r="P1718" s="15">
        <v>35100</v>
      </c>
      <c r="Q1718" s="15">
        <v>408423.54</v>
      </c>
      <c r="R1718" s="15">
        <v>87089500</v>
      </c>
      <c r="S1718" s="15">
        <v>15</v>
      </c>
      <c r="T1718" s="19" t="s">
        <v>344</v>
      </c>
      <c r="U1718" s="19" t="s">
        <v>178</v>
      </c>
      <c r="V1718" s="16">
        <f t="shared" si="347"/>
        <v>61263.530999999995</v>
      </c>
      <c r="W1718" s="16">
        <f t="shared" si="348"/>
        <v>6126.3531000000003</v>
      </c>
      <c r="X1718" s="16">
        <f t="shared" si="349"/>
        <v>67389.884099999996</v>
      </c>
      <c r="Y1718" s="16">
        <f t="shared" si="350"/>
        <v>1.9199397179487179</v>
      </c>
      <c r="Z1718" s="16">
        <f t="shared" si="351"/>
        <v>11.635998290598289</v>
      </c>
      <c r="AA1718" s="17">
        <f t="shared" si="352"/>
        <v>35100</v>
      </c>
      <c r="AB1718" s="10">
        <v>2296.3200000000002</v>
      </c>
      <c r="AC1718" s="18">
        <f t="shared" si="353"/>
        <v>4408.7959731199999</v>
      </c>
      <c r="AD1718" s="12">
        <f t="shared" si="354"/>
        <v>2836.32</v>
      </c>
      <c r="AE1718" s="13">
        <f t="shared" si="355"/>
        <v>32263.68</v>
      </c>
    </row>
    <row r="1719" spans="1:33">
      <c r="A1719" s="6">
        <v>19</v>
      </c>
      <c r="B1719" s="6">
        <v>26</v>
      </c>
      <c r="C1719" s="6" t="str">
        <f t="shared" si="330"/>
        <v>649421100AINFLATOR, ASP-5.1, P20, SRR, IMI, SERV, NO STUDS5002457455168640</v>
      </c>
      <c r="D1719" s="21" t="s">
        <v>440</v>
      </c>
      <c r="E1719" s="6" t="s">
        <v>469</v>
      </c>
      <c r="F1719" s="6"/>
      <c r="G1719" s="7" t="s">
        <v>16</v>
      </c>
      <c r="H1719" s="19"/>
      <c r="I1719" s="19"/>
      <c r="J1719" s="19"/>
      <c r="K1719" s="19"/>
      <c r="L1719" s="14">
        <v>5002457</v>
      </c>
      <c r="M1719" s="22">
        <v>45516</v>
      </c>
      <c r="N1719" s="19" t="s">
        <v>197</v>
      </c>
      <c r="O1719" s="19" t="s">
        <v>333</v>
      </c>
      <c r="P1719" s="15">
        <v>8640</v>
      </c>
      <c r="Q1719" s="15">
        <v>1662283.96</v>
      </c>
      <c r="R1719" s="15">
        <v>87089500</v>
      </c>
      <c r="S1719" s="15">
        <v>15</v>
      </c>
      <c r="T1719" s="19" t="s">
        <v>428</v>
      </c>
      <c r="U1719" s="19" t="s">
        <v>200</v>
      </c>
      <c r="V1719" s="16">
        <f t="shared" si="347"/>
        <v>249342.59399999998</v>
      </c>
      <c r="W1719" s="16">
        <f t="shared" si="348"/>
        <v>24934.259399999999</v>
      </c>
      <c r="X1719" s="16">
        <f t="shared" si="349"/>
        <v>274276.85339999996</v>
      </c>
      <c r="Y1719" s="16">
        <f t="shared" si="350"/>
        <v>31.745006180555553</v>
      </c>
      <c r="Z1719" s="16">
        <f t="shared" si="351"/>
        <v>192.39397685185185</v>
      </c>
      <c r="AA1719" s="17">
        <f t="shared" si="352"/>
        <v>8640</v>
      </c>
      <c r="AB1719" s="10">
        <v>6528</v>
      </c>
      <c r="AC1719" s="18">
        <f t="shared" si="353"/>
        <v>207231.40034666666</v>
      </c>
      <c r="AD1719" s="12">
        <f t="shared" si="354"/>
        <v>7488</v>
      </c>
      <c r="AE1719" s="13">
        <f t="shared" si="355"/>
        <v>1152</v>
      </c>
    </row>
    <row r="1720" spans="1:33">
      <c r="A1720" s="6">
        <v>19</v>
      </c>
      <c r="B1720" s="6">
        <v>27</v>
      </c>
      <c r="C1720" s="6" t="str">
        <f t="shared" si="330"/>
        <v>656334800FCushion ICAB FI 2 Row C KSID, ASP5.1, BUTTON HOL463017445495660</v>
      </c>
      <c r="D1720" s="21" t="s">
        <v>440</v>
      </c>
      <c r="E1720" s="6" t="s">
        <v>131</v>
      </c>
      <c r="F1720" s="6"/>
      <c r="G1720" s="19" t="s">
        <v>104</v>
      </c>
      <c r="H1720" s="19"/>
      <c r="I1720" s="19"/>
      <c r="J1720" s="19"/>
      <c r="K1720" s="19"/>
      <c r="L1720" s="14">
        <v>4630174</v>
      </c>
      <c r="M1720" s="22">
        <v>45495</v>
      </c>
      <c r="N1720" s="19" t="s">
        <v>197</v>
      </c>
      <c r="O1720" s="19" t="s">
        <v>333</v>
      </c>
      <c r="P1720" s="15">
        <v>660</v>
      </c>
      <c r="Q1720" s="15">
        <v>430891.03</v>
      </c>
      <c r="R1720" s="15">
        <v>87089900</v>
      </c>
      <c r="S1720" s="15">
        <v>5</v>
      </c>
      <c r="T1720" s="19" t="s">
        <v>363</v>
      </c>
      <c r="U1720" s="19" t="s">
        <v>178</v>
      </c>
      <c r="V1720" s="16">
        <f t="shared" si="347"/>
        <v>21544.551500000001</v>
      </c>
      <c r="W1720" s="16">
        <f t="shared" si="348"/>
        <v>2154.4551500000002</v>
      </c>
      <c r="X1720" s="16">
        <f t="shared" si="349"/>
        <v>23699.006650000003</v>
      </c>
      <c r="Y1720" s="16">
        <f t="shared" si="350"/>
        <v>35.907585833333336</v>
      </c>
      <c r="Z1720" s="16">
        <f t="shared" si="351"/>
        <v>652.86519696969697</v>
      </c>
      <c r="AA1720" s="17">
        <f t="shared" si="352"/>
        <v>660</v>
      </c>
      <c r="AB1720" s="10">
        <v>660</v>
      </c>
      <c r="AC1720" s="18">
        <f t="shared" si="353"/>
        <v>23699.006650000003</v>
      </c>
      <c r="AD1720" s="12">
        <f t="shared" si="354"/>
        <v>660</v>
      </c>
      <c r="AE1720" s="13">
        <f t="shared" si="355"/>
        <v>0</v>
      </c>
    </row>
    <row r="1721" spans="1:33">
      <c r="A1721" s="6">
        <v>19</v>
      </c>
      <c r="B1721" s="6">
        <v>28</v>
      </c>
      <c r="C1721" s="6" t="str">
        <f t="shared" si="330"/>
        <v>656334800FCushion ICAB FI 2 Row C KSID, ASP5.1, BUTTON HOL451083745488660</v>
      </c>
      <c r="D1721" s="21" t="s">
        <v>440</v>
      </c>
      <c r="E1721" s="6" t="s">
        <v>131</v>
      </c>
      <c r="F1721" s="6"/>
      <c r="G1721" s="19" t="s">
        <v>104</v>
      </c>
      <c r="H1721" s="19"/>
      <c r="I1721" s="19"/>
      <c r="J1721" s="19"/>
      <c r="K1721" s="19"/>
      <c r="L1721" s="14">
        <v>4510837</v>
      </c>
      <c r="M1721" s="22">
        <v>45488</v>
      </c>
      <c r="N1721" s="19" t="s">
        <v>185</v>
      </c>
      <c r="O1721" s="19" t="s">
        <v>332</v>
      </c>
      <c r="P1721" s="15">
        <v>660</v>
      </c>
      <c r="Q1721" s="15">
        <v>433880.92</v>
      </c>
      <c r="R1721" s="15">
        <v>87089900</v>
      </c>
      <c r="S1721" s="15">
        <v>5</v>
      </c>
      <c r="T1721" s="19" t="s">
        <v>355</v>
      </c>
      <c r="U1721" s="19" t="s">
        <v>178</v>
      </c>
      <c r="V1721" s="16">
        <f t="shared" si="347"/>
        <v>21694.046000000002</v>
      </c>
      <c r="W1721" s="16">
        <f t="shared" si="348"/>
        <v>2169.4046000000003</v>
      </c>
      <c r="X1721" s="16">
        <f t="shared" si="349"/>
        <v>23863.450600000004</v>
      </c>
      <c r="Y1721" s="16">
        <f t="shared" si="350"/>
        <v>36.156743333333338</v>
      </c>
      <c r="Z1721" s="16">
        <f t="shared" si="351"/>
        <v>657.39533333333327</v>
      </c>
      <c r="AA1721" s="17">
        <f t="shared" si="352"/>
        <v>660</v>
      </c>
      <c r="AB1721" s="10">
        <v>300</v>
      </c>
      <c r="AC1721" s="18">
        <f t="shared" si="353"/>
        <v>10847.023000000001</v>
      </c>
      <c r="AD1721" s="12">
        <f t="shared" si="354"/>
        <v>492</v>
      </c>
      <c r="AE1721" s="13">
        <f t="shared" si="355"/>
        <v>168</v>
      </c>
    </row>
    <row r="1722" spans="1:33">
      <c r="A1722" s="6">
        <v>19</v>
      </c>
      <c r="B1722" s="6">
        <v>29</v>
      </c>
      <c r="C1722" s="6" t="str">
        <f t="shared" si="330"/>
        <v>6242999AABFELT, OTHER OTHER2011457453284800</v>
      </c>
      <c r="D1722" s="21" t="s">
        <v>440</v>
      </c>
      <c r="E1722" s="6" t="s">
        <v>127</v>
      </c>
      <c r="F1722" s="6"/>
      <c r="G1722" s="19" t="s">
        <v>105</v>
      </c>
      <c r="H1722" s="19"/>
      <c r="I1722" s="19"/>
      <c r="J1722" s="19"/>
      <c r="K1722" s="19"/>
      <c r="L1722" s="14">
        <v>2011457</v>
      </c>
      <c r="M1722" s="22">
        <v>45328</v>
      </c>
      <c r="N1722" s="19" t="s">
        <v>196</v>
      </c>
      <c r="O1722" s="19" t="s">
        <v>333</v>
      </c>
      <c r="P1722" s="15">
        <v>4800</v>
      </c>
      <c r="Q1722" s="15">
        <v>65850.58</v>
      </c>
      <c r="R1722" s="15">
        <v>87082900</v>
      </c>
      <c r="S1722" s="15">
        <v>15</v>
      </c>
      <c r="T1722" s="19" t="s">
        <v>343</v>
      </c>
      <c r="U1722" s="19" t="s">
        <v>178</v>
      </c>
      <c r="V1722" s="16">
        <f t="shared" si="347"/>
        <v>9877.5869999999995</v>
      </c>
      <c r="W1722" s="16">
        <f t="shared" si="348"/>
        <v>987.75869999999998</v>
      </c>
      <c r="X1722" s="16">
        <f t="shared" si="349"/>
        <v>10865.3457</v>
      </c>
      <c r="Y1722" s="16">
        <f t="shared" si="350"/>
        <v>2.2636136874999999</v>
      </c>
      <c r="Z1722" s="16">
        <f t="shared" si="351"/>
        <v>13.718870833333334</v>
      </c>
      <c r="AA1722" s="17">
        <f t="shared" si="352"/>
        <v>4800</v>
      </c>
      <c r="AB1722" s="10">
        <v>1536</v>
      </c>
      <c r="AC1722" s="18">
        <f t="shared" si="353"/>
        <v>3476.9106240000001</v>
      </c>
      <c r="AD1722" s="12">
        <f t="shared" si="354"/>
        <v>4569.6000000000004</v>
      </c>
      <c r="AE1722" s="13">
        <f t="shared" si="355"/>
        <v>230.39999999999964</v>
      </c>
    </row>
    <row r="1723" spans="1:33">
      <c r="A1723" s="6">
        <v>19</v>
      </c>
      <c r="B1723" s="6">
        <v>30</v>
      </c>
      <c r="C1723" s="6" t="str">
        <f t="shared" si="330"/>
        <v>649421000AAB INFLATOR, ASP-5.1, P20, SRR, IMI, SERV, NO STUDS5002457455168640</v>
      </c>
      <c r="D1723" s="21" t="s">
        <v>440</v>
      </c>
      <c r="E1723" s="6" t="s">
        <v>56</v>
      </c>
      <c r="F1723" s="6"/>
      <c r="G1723" s="7" t="s">
        <v>245</v>
      </c>
      <c r="H1723" s="19"/>
      <c r="I1723" s="19"/>
      <c r="J1723" s="19"/>
      <c r="K1723" s="19"/>
      <c r="L1723" s="14">
        <v>5002457</v>
      </c>
      <c r="M1723" s="22">
        <v>45516</v>
      </c>
      <c r="N1723" s="19" t="s">
        <v>197</v>
      </c>
      <c r="O1723" s="19" t="s">
        <v>333</v>
      </c>
      <c r="P1723" s="15">
        <v>8640</v>
      </c>
      <c r="Q1723" s="15">
        <v>1662283.96</v>
      </c>
      <c r="R1723" s="15">
        <v>87089500</v>
      </c>
      <c r="S1723" s="15">
        <v>15</v>
      </c>
      <c r="T1723" s="19" t="s">
        <v>428</v>
      </c>
      <c r="U1723" s="19" t="s">
        <v>200</v>
      </c>
      <c r="V1723" s="16">
        <f t="shared" si="347"/>
        <v>249342.59399999998</v>
      </c>
      <c r="W1723" s="16">
        <f t="shared" si="348"/>
        <v>24934.259399999999</v>
      </c>
      <c r="X1723" s="16">
        <f t="shared" si="349"/>
        <v>274276.85339999996</v>
      </c>
      <c r="Y1723" s="16">
        <f t="shared" si="350"/>
        <v>31.745006180555553</v>
      </c>
      <c r="Z1723" s="16">
        <f t="shared" si="351"/>
        <v>192.39397685185185</v>
      </c>
      <c r="AA1723" s="17">
        <f t="shared" si="352"/>
        <v>8640</v>
      </c>
      <c r="AB1723" s="10">
        <v>7488</v>
      </c>
      <c r="AC1723" s="18">
        <f t="shared" si="353"/>
        <v>237706.60627999998</v>
      </c>
      <c r="AD1723" s="12">
        <f t="shared" si="354"/>
        <v>8640</v>
      </c>
      <c r="AE1723" s="13">
        <f t="shared" si="355"/>
        <v>0</v>
      </c>
      <c r="AG1723" s="25"/>
    </row>
    <row r="1724" spans="1:33">
      <c r="A1724" s="6">
        <v>19</v>
      </c>
      <c r="B1724" s="6">
        <v>31</v>
      </c>
      <c r="C1724" s="6" t="str">
        <f t="shared" si="330"/>
        <v>656334900FAB Cushion ICAB FI 2 Row C KSID, ASP5.1, BUTTON HOL463017445495660</v>
      </c>
      <c r="D1724" s="21" t="s">
        <v>440</v>
      </c>
      <c r="E1724" s="6" t="s">
        <v>474</v>
      </c>
      <c r="F1724" s="6"/>
      <c r="G1724" s="19" t="s">
        <v>243</v>
      </c>
      <c r="H1724" s="19"/>
      <c r="I1724" s="19"/>
      <c r="J1724" s="19"/>
      <c r="K1724" s="19"/>
      <c r="L1724" s="14">
        <v>4630174</v>
      </c>
      <c r="M1724" s="22">
        <v>45495</v>
      </c>
      <c r="N1724" s="19" t="s">
        <v>197</v>
      </c>
      <c r="O1724" s="19" t="s">
        <v>333</v>
      </c>
      <c r="P1724" s="15">
        <v>660</v>
      </c>
      <c r="Q1724" s="15">
        <v>430891.03</v>
      </c>
      <c r="R1724" s="15">
        <v>87089900</v>
      </c>
      <c r="S1724" s="15">
        <v>5</v>
      </c>
      <c r="T1724" s="19" t="s">
        <v>363</v>
      </c>
      <c r="U1724" s="19" t="s">
        <v>178</v>
      </c>
      <c r="V1724" s="16">
        <f t="shared" si="347"/>
        <v>21544.551500000001</v>
      </c>
      <c r="W1724" s="16">
        <f t="shared" si="348"/>
        <v>2154.4551500000002</v>
      </c>
      <c r="X1724" s="16">
        <f t="shared" si="349"/>
        <v>23699.006650000003</v>
      </c>
      <c r="Y1724" s="16">
        <f t="shared" si="350"/>
        <v>35.907585833333336</v>
      </c>
      <c r="Z1724" s="16">
        <f t="shared" si="351"/>
        <v>652.86519696969697</v>
      </c>
      <c r="AA1724" s="17">
        <f t="shared" si="352"/>
        <v>660</v>
      </c>
      <c r="AB1724" s="10">
        <v>660</v>
      </c>
      <c r="AC1724" s="18">
        <f t="shared" si="353"/>
        <v>23699.006650000003</v>
      </c>
      <c r="AD1724" s="12">
        <f t="shared" si="354"/>
        <v>660</v>
      </c>
      <c r="AE1724" s="13">
        <f t="shared" si="355"/>
        <v>0</v>
      </c>
    </row>
    <row r="1725" spans="1:33">
      <c r="A1725" s="6">
        <v>19</v>
      </c>
      <c r="B1725" s="6">
        <v>32</v>
      </c>
      <c r="C1725" s="6" t="str">
        <f t="shared" si="330"/>
        <v>656334900FAB Cushion ICAB FI 2 Row C KSID, ASP5.1, BUTTON HOL451083745488720</v>
      </c>
      <c r="D1725" s="21" t="s">
        <v>440</v>
      </c>
      <c r="E1725" s="6" t="s">
        <v>474</v>
      </c>
      <c r="F1725" s="6"/>
      <c r="G1725" s="19" t="s">
        <v>243</v>
      </c>
      <c r="H1725" s="19"/>
      <c r="I1725" s="19"/>
      <c r="J1725" s="19"/>
      <c r="K1725" s="19"/>
      <c r="L1725" s="14">
        <v>4510837</v>
      </c>
      <c r="M1725" s="22">
        <v>45488</v>
      </c>
      <c r="N1725" s="19" t="s">
        <v>185</v>
      </c>
      <c r="O1725" s="19" t="s">
        <v>332</v>
      </c>
      <c r="P1725" s="15">
        <v>720</v>
      </c>
      <c r="Q1725" s="15">
        <v>473324.64</v>
      </c>
      <c r="R1725" s="15">
        <v>87089900</v>
      </c>
      <c r="S1725" s="15">
        <v>5</v>
      </c>
      <c r="T1725" s="19" t="s">
        <v>355</v>
      </c>
      <c r="U1725" s="19" t="s">
        <v>178</v>
      </c>
      <c r="V1725" s="16">
        <f t="shared" si="347"/>
        <v>23666.232000000004</v>
      </c>
      <c r="W1725" s="16">
        <f t="shared" si="348"/>
        <v>2366.6232000000005</v>
      </c>
      <c r="X1725" s="16">
        <f t="shared" si="349"/>
        <v>26032.855200000005</v>
      </c>
      <c r="Y1725" s="16">
        <f t="shared" si="350"/>
        <v>36.156743333333338</v>
      </c>
      <c r="Z1725" s="16">
        <f t="shared" si="351"/>
        <v>657.39533333333338</v>
      </c>
      <c r="AA1725" s="17">
        <f t="shared" si="352"/>
        <v>720</v>
      </c>
      <c r="AB1725" s="10">
        <v>720</v>
      </c>
      <c r="AC1725" s="18">
        <f t="shared" si="353"/>
        <v>26032.855200000005</v>
      </c>
      <c r="AD1725" s="12">
        <f t="shared" si="354"/>
        <v>720</v>
      </c>
      <c r="AE1725" s="13">
        <f t="shared" si="355"/>
        <v>0</v>
      </c>
    </row>
    <row r="1726" spans="1:33">
      <c r="A1726" s="6">
        <v>19</v>
      </c>
      <c r="B1726" s="6">
        <v>33</v>
      </c>
      <c r="C1726" s="6" t="str">
        <f t="shared" si="330"/>
        <v>656334900FAB Cushion ICAB FI 2 Row C KSID, ASP5.1, BUTTON HOL467321245497660</v>
      </c>
      <c r="D1726" s="21" t="s">
        <v>440</v>
      </c>
      <c r="E1726" s="6" t="s">
        <v>474</v>
      </c>
      <c r="F1726" s="6"/>
      <c r="G1726" s="19" t="s">
        <v>243</v>
      </c>
      <c r="H1726" s="19"/>
      <c r="I1726" s="19"/>
      <c r="J1726" s="19"/>
      <c r="K1726" s="19"/>
      <c r="L1726" s="14">
        <v>4673212</v>
      </c>
      <c r="M1726" s="22">
        <v>45497</v>
      </c>
      <c r="N1726" s="19" t="s">
        <v>185</v>
      </c>
      <c r="O1726" s="19" t="s">
        <v>332</v>
      </c>
      <c r="P1726" s="15">
        <v>660</v>
      </c>
      <c r="Q1726" s="15">
        <v>430592.37</v>
      </c>
      <c r="R1726" s="15">
        <v>87089900</v>
      </c>
      <c r="S1726" s="15">
        <v>5</v>
      </c>
      <c r="T1726" s="19" t="s">
        <v>355</v>
      </c>
      <c r="U1726" s="19" t="s">
        <v>178</v>
      </c>
      <c r="V1726" s="16">
        <f t="shared" si="347"/>
        <v>21529.6185</v>
      </c>
      <c r="W1726" s="16">
        <f t="shared" si="348"/>
        <v>2152.9618500000001</v>
      </c>
      <c r="X1726" s="16">
        <f t="shared" si="349"/>
        <v>23682.58035</v>
      </c>
      <c r="Y1726" s="16">
        <f t="shared" si="350"/>
        <v>35.882697499999999</v>
      </c>
      <c r="Z1726" s="16">
        <f t="shared" si="351"/>
        <v>652.4126818181818</v>
      </c>
      <c r="AA1726" s="17">
        <f t="shared" si="352"/>
        <v>660</v>
      </c>
      <c r="AB1726" s="10">
        <v>156</v>
      </c>
      <c r="AC1726" s="18">
        <f t="shared" si="353"/>
        <v>5597.7008100000003</v>
      </c>
      <c r="AD1726" s="12">
        <f t="shared" si="354"/>
        <v>156</v>
      </c>
      <c r="AE1726" s="13">
        <f t="shared" si="355"/>
        <v>504</v>
      </c>
    </row>
    <row r="1727" spans="1:33">
      <c r="A1727" s="6">
        <v>19</v>
      </c>
      <c r="B1727" s="6">
        <v>34</v>
      </c>
      <c r="C1727" s="6" t="str">
        <f t="shared" si="330"/>
        <v>621343500CNUT, ISO, M5, NYLON INSE NYLON INSERT2175457453381105000</v>
      </c>
      <c r="D1727" s="21" t="s">
        <v>440</v>
      </c>
      <c r="E1727" s="6" t="s">
        <v>45</v>
      </c>
      <c r="F1727" s="6"/>
      <c r="G1727" s="7" t="s">
        <v>7</v>
      </c>
      <c r="H1727" s="19"/>
      <c r="I1727" s="19"/>
      <c r="J1727" s="19"/>
      <c r="K1727" s="19"/>
      <c r="L1727" s="14">
        <v>2175457</v>
      </c>
      <c r="M1727" s="22">
        <v>45338</v>
      </c>
      <c r="N1727" s="19" t="s">
        <v>182</v>
      </c>
      <c r="O1727" s="19" t="s">
        <v>333</v>
      </c>
      <c r="P1727" s="15">
        <v>1105000</v>
      </c>
      <c r="Q1727" s="15">
        <v>1881273.11</v>
      </c>
      <c r="R1727" s="15">
        <v>87089500</v>
      </c>
      <c r="S1727" s="15">
        <v>15</v>
      </c>
      <c r="T1727" s="19" t="s">
        <v>404</v>
      </c>
      <c r="U1727" s="19" t="s">
        <v>178</v>
      </c>
      <c r="V1727" s="16">
        <f t="shared" si="347"/>
        <v>282190.96649999998</v>
      </c>
      <c r="W1727" s="16">
        <f t="shared" si="348"/>
        <v>28219.096649999999</v>
      </c>
      <c r="X1727" s="16">
        <f t="shared" si="349"/>
        <v>310410.06315</v>
      </c>
      <c r="Y1727" s="16">
        <f t="shared" si="350"/>
        <v>0.28091408429864251</v>
      </c>
      <c r="Z1727" s="16">
        <f t="shared" si="351"/>
        <v>1.7025096018099548</v>
      </c>
      <c r="AA1727" s="17">
        <f t="shared" si="352"/>
        <v>1105000</v>
      </c>
      <c r="AB1727" s="10">
        <v>65772</v>
      </c>
      <c r="AC1727" s="18">
        <f t="shared" si="353"/>
        <v>18476.281152490315</v>
      </c>
      <c r="AD1727" s="12">
        <f t="shared" si="354"/>
        <v>375112</v>
      </c>
      <c r="AE1727" s="13">
        <f t="shared" si="355"/>
        <v>729888</v>
      </c>
    </row>
    <row r="1728" spans="1:33">
      <c r="A1728" s="6">
        <v>19</v>
      </c>
      <c r="B1728" s="6">
        <v>35</v>
      </c>
      <c r="C1728" s="6" t="str">
        <f t="shared" si="330"/>
        <v>643302000AINFLATOR, ADP-1.3B, MP, MIB, SQUARE, NO STUD50570854500014688</v>
      </c>
      <c r="D1728" s="21" t="s">
        <v>440</v>
      </c>
      <c r="E1728" s="6" t="s">
        <v>46</v>
      </c>
      <c r="F1728" s="6"/>
      <c r="G1728" s="7" t="s">
        <v>8</v>
      </c>
      <c r="H1728" s="19"/>
      <c r="I1728" s="19"/>
      <c r="J1728" s="19"/>
      <c r="K1728" s="19"/>
      <c r="L1728" s="14">
        <v>5057085</v>
      </c>
      <c r="M1728" s="22">
        <v>45000</v>
      </c>
      <c r="N1728" s="19" t="s">
        <v>197</v>
      </c>
      <c r="O1728" s="19" t="s">
        <v>333</v>
      </c>
      <c r="P1728" s="15">
        <v>14688</v>
      </c>
      <c r="Q1728" s="15">
        <v>5384941.5700000003</v>
      </c>
      <c r="R1728" s="15">
        <v>87089500</v>
      </c>
      <c r="S1728" s="15">
        <v>15</v>
      </c>
      <c r="T1728" s="19" t="s">
        <v>202</v>
      </c>
      <c r="U1728" s="19" t="s">
        <v>200</v>
      </c>
      <c r="V1728" s="16">
        <f t="shared" si="347"/>
        <v>807741.23550000007</v>
      </c>
      <c r="W1728" s="16">
        <f t="shared" si="348"/>
        <v>80774.123550000018</v>
      </c>
      <c r="X1728" s="16">
        <f t="shared" si="349"/>
        <v>888515.35905000009</v>
      </c>
      <c r="Y1728" s="16">
        <f t="shared" si="350"/>
        <v>60.492603421160133</v>
      </c>
      <c r="Z1728" s="16">
        <f t="shared" si="351"/>
        <v>366.62183891612204</v>
      </c>
      <c r="AA1728" s="17">
        <f t="shared" si="352"/>
        <v>14688</v>
      </c>
      <c r="AB1728" s="10">
        <v>1734</v>
      </c>
      <c r="AC1728" s="18">
        <f t="shared" si="353"/>
        <v>104894.17433229167</v>
      </c>
      <c r="AD1728" s="12">
        <f t="shared" si="354"/>
        <v>14688</v>
      </c>
      <c r="AE1728" s="13">
        <f t="shared" si="355"/>
        <v>0</v>
      </c>
    </row>
    <row r="1729" spans="1:31">
      <c r="A1729" s="6">
        <v>19</v>
      </c>
      <c r="B1729" s="6">
        <v>36</v>
      </c>
      <c r="C1729" s="6" t="str">
        <f t="shared" si="330"/>
        <v>643302000AINFLATOR, ADP-1.3B, MP, MIB, SQUARE, NO STUD94867304529219872</v>
      </c>
      <c r="D1729" s="21" t="s">
        <v>440</v>
      </c>
      <c r="E1729" s="6" t="s">
        <v>46</v>
      </c>
      <c r="F1729" s="6"/>
      <c r="G1729" s="7" t="s">
        <v>8</v>
      </c>
      <c r="H1729" s="19"/>
      <c r="I1729" s="19"/>
      <c r="J1729" s="19"/>
      <c r="K1729" s="19"/>
      <c r="L1729" s="14">
        <v>9486730</v>
      </c>
      <c r="M1729" s="22">
        <v>45292</v>
      </c>
      <c r="N1729" s="19" t="s">
        <v>197</v>
      </c>
      <c r="O1729" s="19" t="s">
        <v>333</v>
      </c>
      <c r="P1729" s="15">
        <v>19872</v>
      </c>
      <c r="Q1729" s="15">
        <v>5160310.24</v>
      </c>
      <c r="R1729" s="15">
        <v>87089500</v>
      </c>
      <c r="S1729" s="15">
        <v>15</v>
      </c>
      <c r="T1729" s="19" t="s">
        <v>202</v>
      </c>
      <c r="U1729" s="19" t="s">
        <v>178</v>
      </c>
      <c r="V1729" s="16">
        <f t="shared" si="347"/>
        <v>774046.53599999996</v>
      </c>
      <c r="W1729" s="16">
        <f t="shared" si="348"/>
        <v>77404.653600000005</v>
      </c>
      <c r="X1729" s="16">
        <f t="shared" si="349"/>
        <v>851451.18959999993</v>
      </c>
      <c r="Y1729" s="16">
        <f t="shared" si="350"/>
        <v>42.846778864734297</v>
      </c>
      <c r="Z1729" s="16">
        <f t="shared" si="351"/>
        <v>259.67744766505638</v>
      </c>
      <c r="AA1729" s="17">
        <f t="shared" si="352"/>
        <v>19872</v>
      </c>
      <c r="AB1729" s="10">
        <v>1176</v>
      </c>
      <c r="AC1729" s="18">
        <f t="shared" si="353"/>
        <v>50387.811944927533</v>
      </c>
      <c r="AD1729" s="12">
        <f t="shared" si="354"/>
        <v>19872</v>
      </c>
      <c r="AE1729" s="13">
        <f t="shared" si="355"/>
        <v>0</v>
      </c>
    </row>
    <row r="1730" spans="1:31">
      <c r="A1730" s="6">
        <v>19</v>
      </c>
      <c r="B1730" s="6">
        <v>37</v>
      </c>
      <c r="C1730" s="6" t="str">
        <f t="shared" ref="C1730:C1793" si="356">E1730&amp;G1730&amp;L1730&amp;M1730&amp;P1730</f>
        <v>643302000AINFLATOR, ADP-1.3B, MP, MIB, SQUARE, NO STUD55141074554512960</v>
      </c>
      <c r="D1730" s="21" t="s">
        <v>440</v>
      </c>
      <c r="E1730" s="6" t="s">
        <v>46</v>
      </c>
      <c r="F1730" s="6"/>
      <c r="G1730" s="7" t="s">
        <v>8</v>
      </c>
      <c r="H1730" s="19"/>
      <c r="I1730" s="19"/>
      <c r="J1730" s="19"/>
      <c r="K1730" s="19"/>
      <c r="L1730" s="14">
        <v>5514107</v>
      </c>
      <c r="M1730" s="22">
        <v>45545</v>
      </c>
      <c r="N1730" s="19" t="s">
        <v>197</v>
      </c>
      <c r="O1730" s="19" t="s">
        <v>333</v>
      </c>
      <c r="P1730" s="15">
        <v>12960</v>
      </c>
      <c r="Q1730" s="15">
        <v>4565704.08</v>
      </c>
      <c r="R1730" s="15">
        <v>87089500</v>
      </c>
      <c r="S1730" s="15">
        <v>15</v>
      </c>
      <c r="T1730" s="19" t="s">
        <v>428</v>
      </c>
      <c r="U1730" s="19" t="s">
        <v>200</v>
      </c>
      <c r="V1730" s="16">
        <f t="shared" si="347"/>
        <v>684855.61199999996</v>
      </c>
      <c r="W1730" s="16">
        <f t="shared" si="348"/>
        <v>68485.561199999996</v>
      </c>
      <c r="X1730" s="16">
        <f t="shared" si="349"/>
        <v>753341.17319999996</v>
      </c>
      <c r="Y1730" s="16">
        <f t="shared" si="350"/>
        <v>58.128176944444441</v>
      </c>
      <c r="Z1730" s="16">
        <f t="shared" si="351"/>
        <v>352.29198148148151</v>
      </c>
      <c r="AA1730" s="17">
        <f t="shared" si="352"/>
        <v>12960</v>
      </c>
      <c r="AB1730" s="10">
        <v>4002</v>
      </c>
      <c r="AC1730" s="18">
        <f t="shared" si="353"/>
        <v>232628.96413166664</v>
      </c>
      <c r="AD1730" s="12">
        <f t="shared" si="354"/>
        <v>12606</v>
      </c>
      <c r="AE1730" s="13">
        <f t="shared" si="355"/>
        <v>354</v>
      </c>
    </row>
    <row r="1731" spans="1:31">
      <c r="A1731" s="6">
        <v>19</v>
      </c>
      <c r="B1731" s="6">
        <v>38</v>
      </c>
      <c r="C1731" s="6" t="str">
        <f t="shared" si="356"/>
        <v>560050622CCHANNEL, BUCKLE, K12 ROA K12A/AT, RIVET BUCKLE, S490021945510145600</v>
      </c>
      <c r="D1731" s="21" t="s">
        <v>440</v>
      </c>
      <c r="E1731" s="6" t="s">
        <v>72</v>
      </c>
      <c r="F1731" s="6"/>
      <c r="G1731" s="7" t="s">
        <v>32</v>
      </c>
      <c r="H1731" s="19"/>
      <c r="I1731" s="19"/>
      <c r="J1731" s="19"/>
      <c r="K1731" s="19"/>
      <c r="L1731" s="14">
        <v>4900219</v>
      </c>
      <c r="M1731" s="22">
        <v>45510</v>
      </c>
      <c r="N1731" s="19" t="s">
        <v>197</v>
      </c>
      <c r="O1731" s="19" t="s">
        <v>333</v>
      </c>
      <c r="P1731" s="15">
        <v>145600</v>
      </c>
      <c r="Q1731" s="15">
        <v>2640438.61</v>
      </c>
      <c r="R1731" s="15">
        <v>87082900</v>
      </c>
      <c r="S1731" s="15">
        <v>15</v>
      </c>
      <c r="T1731" s="19" t="s">
        <v>429</v>
      </c>
      <c r="U1731" s="19" t="s">
        <v>178</v>
      </c>
      <c r="V1731" s="16">
        <f t="shared" si="347"/>
        <v>396065.79149999999</v>
      </c>
      <c r="W1731" s="16">
        <f t="shared" si="348"/>
        <v>39606.579150000005</v>
      </c>
      <c r="X1731" s="16">
        <f t="shared" si="349"/>
        <v>435672.37065</v>
      </c>
      <c r="Y1731" s="16">
        <f t="shared" si="350"/>
        <v>2.9922552929258242</v>
      </c>
      <c r="Z1731" s="16">
        <f t="shared" si="351"/>
        <v>18.134880563186812</v>
      </c>
      <c r="AA1731" s="17">
        <f t="shared" si="352"/>
        <v>145600</v>
      </c>
      <c r="AB1731" s="10">
        <v>2688</v>
      </c>
      <c r="AC1731" s="18">
        <f t="shared" si="353"/>
        <v>8043.1822273846155</v>
      </c>
      <c r="AD1731" s="12">
        <f t="shared" si="354"/>
        <v>26816</v>
      </c>
      <c r="AE1731" s="13">
        <f t="shared" si="355"/>
        <v>118784</v>
      </c>
    </row>
    <row r="1732" spans="1:31">
      <c r="A1732" s="6">
        <v>19</v>
      </c>
      <c r="B1732" s="6">
        <v>39</v>
      </c>
      <c r="C1732" s="6" t="str">
        <f t="shared" si="356"/>
        <v>560130122ASPRING, WIRE, COMPRESSIO K12A/AT495151045028300000</v>
      </c>
      <c r="D1732" s="21" t="s">
        <v>440</v>
      </c>
      <c r="E1732" s="6" t="s">
        <v>73</v>
      </c>
      <c r="F1732" s="6"/>
      <c r="G1732" s="7" t="s">
        <v>33</v>
      </c>
      <c r="H1732" s="19"/>
      <c r="I1732" s="19"/>
      <c r="J1732" s="19"/>
      <c r="K1732" s="19"/>
      <c r="L1732" s="14">
        <v>4951510</v>
      </c>
      <c r="M1732" s="22">
        <v>45028</v>
      </c>
      <c r="N1732" s="19" t="s">
        <v>199</v>
      </c>
      <c r="O1732" s="19" t="s">
        <v>332</v>
      </c>
      <c r="P1732" s="15">
        <v>300000</v>
      </c>
      <c r="Q1732" s="15">
        <v>285155.93</v>
      </c>
      <c r="R1732" s="15">
        <v>87082900</v>
      </c>
      <c r="S1732" s="15">
        <v>15</v>
      </c>
      <c r="T1732" s="19" t="s">
        <v>319</v>
      </c>
      <c r="U1732" s="19" t="s">
        <v>178</v>
      </c>
      <c r="V1732" s="16">
        <f t="shared" si="347"/>
        <v>42773.389499999997</v>
      </c>
      <c r="W1732" s="16">
        <f t="shared" si="348"/>
        <v>4277.3389500000003</v>
      </c>
      <c r="X1732" s="16">
        <f t="shared" si="349"/>
        <v>47050.728449999995</v>
      </c>
      <c r="Y1732" s="16">
        <f t="shared" si="350"/>
        <v>0.15683576149999998</v>
      </c>
      <c r="Z1732" s="16">
        <f t="shared" si="351"/>
        <v>0.9505197666666666</v>
      </c>
      <c r="AA1732" s="17">
        <f t="shared" si="352"/>
        <v>300000</v>
      </c>
      <c r="AB1732" s="10">
        <v>2688</v>
      </c>
      <c r="AC1732" s="18">
        <f t="shared" si="353"/>
        <v>421.57452691199995</v>
      </c>
      <c r="AD1732" s="12">
        <f t="shared" si="354"/>
        <v>94048</v>
      </c>
      <c r="AE1732" s="13">
        <f t="shared" si="355"/>
        <v>205952</v>
      </c>
    </row>
    <row r="1733" spans="1:31">
      <c r="A1733" s="6">
        <v>19</v>
      </c>
      <c r="B1733" s="6">
        <v>40</v>
      </c>
      <c r="C1733" s="6" t="str">
        <f t="shared" si="356"/>
        <v>560762022ALATCH, BUCKLE, K12 ROADM K12A/AT, SILVER, LATCH W54569304493980000</v>
      </c>
      <c r="D1733" s="21" t="s">
        <v>440</v>
      </c>
      <c r="E1733" s="6" t="s">
        <v>74</v>
      </c>
      <c r="F1733" s="6"/>
      <c r="G1733" s="7" t="s">
        <v>34</v>
      </c>
      <c r="H1733" s="19"/>
      <c r="I1733" s="19"/>
      <c r="J1733" s="19"/>
      <c r="K1733" s="19"/>
      <c r="L1733" s="14">
        <v>5456930</v>
      </c>
      <c r="M1733" s="22">
        <v>44939</v>
      </c>
      <c r="N1733" s="19" t="s">
        <v>185</v>
      </c>
      <c r="O1733" s="19" t="s">
        <v>332</v>
      </c>
      <c r="P1733" s="15">
        <v>80000</v>
      </c>
      <c r="Q1733" s="15">
        <v>680240</v>
      </c>
      <c r="R1733" s="15">
        <v>87082900</v>
      </c>
      <c r="S1733" s="15">
        <v>15</v>
      </c>
      <c r="T1733" s="19" t="s">
        <v>320</v>
      </c>
      <c r="U1733" s="19" t="s">
        <v>178</v>
      </c>
      <c r="V1733" s="16">
        <f t="shared" si="347"/>
        <v>102036</v>
      </c>
      <c r="W1733" s="16">
        <f t="shared" si="348"/>
        <v>10203.6</v>
      </c>
      <c r="X1733" s="16">
        <f t="shared" si="349"/>
        <v>112239.6</v>
      </c>
      <c r="Y1733" s="16">
        <f t="shared" si="350"/>
        <v>1.402995</v>
      </c>
      <c r="Z1733" s="16">
        <f t="shared" si="351"/>
        <v>8.5030000000000001</v>
      </c>
      <c r="AA1733" s="17">
        <f t="shared" si="352"/>
        <v>80000</v>
      </c>
      <c r="AB1733" s="10">
        <v>2688</v>
      </c>
      <c r="AC1733" s="18">
        <f t="shared" si="353"/>
        <v>3771.25056</v>
      </c>
      <c r="AD1733" s="12">
        <f t="shared" si="354"/>
        <v>74976</v>
      </c>
      <c r="AE1733" s="13">
        <f t="shared" si="355"/>
        <v>5024</v>
      </c>
    </row>
    <row r="1734" spans="1:31">
      <c r="A1734" s="6">
        <v>19</v>
      </c>
      <c r="B1734" s="6">
        <v>41</v>
      </c>
      <c r="C1734" s="6" t="str">
        <f t="shared" si="356"/>
        <v>604213200ALOCKING BAR, BUCKLE, K12 K12A/AT, L=34.3, silver415111844909306000</v>
      </c>
      <c r="D1734" s="21" t="s">
        <v>440</v>
      </c>
      <c r="E1734" s="6" t="s">
        <v>75</v>
      </c>
      <c r="F1734" s="6"/>
      <c r="G1734" s="7" t="s">
        <v>35</v>
      </c>
      <c r="H1734" s="19"/>
      <c r="I1734" s="19"/>
      <c r="J1734" s="19"/>
      <c r="K1734" s="19"/>
      <c r="L1734" s="14">
        <v>4151118</v>
      </c>
      <c r="M1734" s="22">
        <v>44909</v>
      </c>
      <c r="N1734" s="19" t="s">
        <v>199</v>
      </c>
      <c r="O1734" s="19" t="s">
        <v>332</v>
      </c>
      <c r="P1734" s="15">
        <v>306000</v>
      </c>
      <c r="Q1734" s="15">
        <v>347494.89</v>
      </c>
      <c r="R1734" s="15">
        <v>87082900</v>
      </c>
      <c r="S1734" s="15">
        <v>15</v>
      </c>
      <c r="T1734" s="19" t="s">
        <v>319</v>
      </c>
      <c r="U1734" s="19" t="s">
        <v>178</v>
      </c>
      <c r="V1734" s="16">
        <f t="shared" si="347"/>
        <v>52124.233500000002</v>
      </c>
      <c r="W1734" s="16">
        <f t="shared" si="348"/>
        <v>5212.4233500000009</v>
      </c>
      <c r="X1734" s="16">
        <f t="shared" si="349"/>
        <v>57336.656849999999</v>
      </c>
      <c r="Y1734" s="16">
        <f t="shared" si="350"/>
        <v>0.1873746955882353</v>
      </c>
      <c r="Z1734" s="16">
        <f t="shared" si="351"/>
        <v>1.1356042156862745</v>
      </c>
      <c r="AA1734" s="17">
        <f t="shared" si="352"/>
        <v>306000</v>
      </c>
      <c r="AB1734" s="10">
        <v>2688</v>
      </c>
      <c r="AC1734" s="18">
        <f t="shared" si="353"/>
        <v>503.66318174117652</v>
      </c>
      <c r="AD1734" s="12">
        <f t="shared" si="354"/>
        <v>94048</v>
      </c>
      <c r="AE1734" s="13">
        <f t="shared" si="355"/>
        <v>211952</v>
      </c>
    </row>
    <row r="1735" spans="1:31">
      <c r="A1735" s="6">
        <v>19</v>
      </c>
      <c r="B1735" s="6">
        <v>42</v>
      </c>
      <c r="C1735" s="6" t="str">
        <f t="shared" si="356"/>
        <v>NPB10271-ZKSCREW, SELF-TAPPING, MET OTHER, HEXALOBULAR INTER406701444998150000</v>
      </c>
      <c r="D1735" s="21" t="s">
        <v>440</v>
      </c>
      <c r="E1735" s="6" t="s">
        <v>76</v>
      </c>
      <c r="F1735" s="6"/>
      <c r="G1735" s="7" t="s">
        <v>36</v>
      </c>
      <c r="H1735" s="19"/>
      <c r="I1735" s="19"/>
      <c r="J1735" s="19"/>
      <c r="K1735" s="19"/>
      <c r="L1735" s="14">
        <v>4067014</v>
      </c>
      <c r="M1735" s="22">
        <v>44998</v>
      </c>
      <c r="N1735" s="19" t="s">
        <v>196</v>
      </c>
      <c r="O1735" s="19" t="s">
        <v>333</v>
      </c>
      <c r="P1735" s="15">
        <v>150000</v>
      </c>
      <c r="Q1735" s="15">
        <v>146157.25</v>
      </c>
      <c r="R1735" s="15">
        <v>87082900</v>
      </c>
      <c r="S1735" s="15">
        <v>15</v>
      </c>
      <c r="T1735" s="19" t="s">
        <v>321</v>
      </c>
      <c r="U1735" s="19" t="s">
        <v>178</v>
      </c>
      <c r="V1735" s="16">
        <f t="shared" si="347"/>
        <v>21923.587499999998</v>
      </c>
      <c r="W1735" s="16">
        <f t="shared" si="348"/>
        <v>2192.3587499999999</v>
      </c>
      <c r="X1735" s="16">
        <f t="shared" si="349"/>
        <v>24115.946249999997</v>
      </c>
      <c r="Y1735" s="16">
        <f t="shared" si="350"/>
        <v>0.16077297499999998</v>
      </c>
      <c r="Z1735" s="16">
        <f t="shared" si="351"/>
        <v>0.9743816666666667</v>
      </c>
      <c r="AA1735" s="17">
        <f t="shared" si="352"/>
        <v>150000</v>
      </c>
      <c r="AB1735" s="10">
        <v>5376</v>
      </c>
      <c r="AC1735" s="18">
        <f t="shared" si="353"/>
        <v>864.31551359999992</v>
      </c>
      <c r="AD1735" s="12">
        <f t="shared" si="354"/>
        <v>149952</v>
      </c>
      <c r="AE1735" s="13">
        <f t="shared" si="355"/>
        <v>48</v>
      </c>
    </row>
    <row r="1736" spans="1:31">
      <c r="A1736" s="6">
        <v>19</v>
      </c>
      <c r="B1736" s="6">
        <v>43</v>
      </c>
      <c r="C1736" s="6" t="str">
        <f t="shared" si="356"/>
        <v>NWB2834WASHER, WAVED 69498204512640000</v>
      </c>
      <c r="D1736" s="21" t="s">
        <v>440</v>
      </c>
      <c r="E1736" s="6" t="s">
        <v>77</v>
      </c>
      <c r="F1736" s="6"/>
      <c r="G1736" s="7" t="s">
        <v>37</v>
      </c>
      <c r="H1736" s="19"/>
      <c r="I1736" s="19"/>
      <c r="J1736" s="19"/>
      <c r="K1736" s="19"/>
      <c r="L1736" s="14">
        <v>6949820</v>
      </c>
      <c r="M1736" s="22">
        <v>45126</v>
      </c>
      <c r="N1736" s="19" t="s">
        <v>196</v>
      </c>
      <c r="O1736" s="19" t="s">
        <v>333</v>
      </c>
      <c r="P1736" s="15">
        <v>40000</v>
      </c>
      <c r="Q1736" s="15">
        <v>70563.69</v>
      </c>
      <c r="R1736" s="15">
        <v>87082900</v>
      </c>
      <c r="S1736" s="15">
        <v>15</v>
      </c>
      <c r="T1736" s="19" t="s">
        <v>207</v>
      </c>
      <c r="U1736" s="19" t="s">
        <v>178</v>
      </c>
      <c r="V1736" s="16">
        <f t="shared" si="347"/>
        <v>10584.5535</v>
      </c>
      <c r="W1736" s="16">
        <f t="shared" si="348"/>
        <v>1058.45535</v>
      </c>
      <c r="X1736" s="16">
        <f t="shared" si="349"/>
        <v>11643.00885</v>
      </c>
      <c r="Y1736" s="16">
        <f t="shared" si="350"/>
        <v>0.29107522125000002</v>
      </c>
      <c r="Z1736" s="16">
        <f t="shared" si="351"/>
        <v>1.76409225</v>
      </c>
      <c r="AA1736" s="17">
        <f t="shared" si="352"/>
        <v>40000</v>
      </c>
      <c r="AB1736" s="10">
        <v>2688</v>
      </c>
      <c r="AC1736" s="18">
        <f t="shared" si="353"/>
        <v>782.41019472000005</v>
      </c>
      <c r="AD1736" s="12">
        <f t="shared" si="354"/>
        <v>36128</v>
      </c>
      <c r="AE1736" s="13">
        <f t="shared" si="355"/>
        <v>3872</v>
      </c>
    </row>
    <row r="1737" spans="1:31">
      <c r="A1737" s="6">
        <v>19</v>
      </c>
      <c r="B1737" s="6">
        <v>44</v>
      </c>
      <c r="C1737" s="6" t="str">
        <f t="shared" si="356"/>
        <v>566098600CWEBBING PIN, RETRACTOR, AGB, AGB-95POM FARBE:SCH432749644950120000</v>
      </c>
      <c r="D1737" s="21" t="s">
        <v>440</v>
      </c>
      <c r="E1737" s="6" t="s">
        <v>57</v>
      </c>
      <c r="F1737" s="6"/>
      <c r="G1737" s="7" t="s">
        <v>17</v>
      </c>
      <c r="H1737" s="19"/>
      <c r="I1737" s="19"/>
      <c r="J1737" s="19"/>
      <c r="K1737" s="19"/>
      <c r="L1737" s="14">
        <v>4327496</v>
      </c>
      <c r="M1737" s="22">
        <v>44950</v>
      </c>
      <c r="N1737" s="19" t="s">
        <v>199</v>
      </c>
      <c r="O1737" s="19" t="s">
        <v>332</v>
      </c>
      <c r="P1737" s="15">
        <v>120000</v>
      </c>
      <c r="Q1737" s="15">
        <v>117311.7</v>
      </c>
      <c r="R1737" s="15">
        <v>87082900</v>
      </c>
      <c r="S1737" s="15">
        <v>15</v>
      </c>
      <c r="T1737" s="19" t="s">
        <v>307</v>
      </c>
      <c r="U1737" s="19" t="s">
        <v>178</v>
      </c>
      <c r="V1737" s="16">
        <f t="shared" si="347"/>
        <v>17596.754999999997</v>
      </c>
      <c r="W1737" s="16">
        <f t="shared" si="348"/>
        <v>1759.6754999999998</v>
      </c>
      <c r="X1737" s="16">
        <f t="shared" si="349"/>
        <v>19356.430499999999</v>
      </c>
      <c r="Y1737" s="16">
        <f t="shared" si="350"/>
        <v>0.16130358749999998</v>
      </c>
      <c r="Z1737" s="16">
        <f t="shared" si="351"/>
        <v>0.97759750000000001</v>
      </c>
      <c r="AA1737" s="17">
        <f t="shared" si="352"/>
        <v>120000</v>
      </c>
      <c r="AB1737" s="10">
        <v>1920</v>
      </c>
      <c r="AC1737" s="18">
        <f t="shared" si="353"/>
        <v>309.70288799999997</v>
      </c>
      <c r="AD1737" s="12">
        <f t="shared" si="354"/>
        <v>86652</v>
      </c>
      <c r="AE1737" s="13">
        <f t="shared" si="355"/>
        <v>33348</v>
      </c>
    </row>
    <row r="1738" spans="1:31">
      <c r="A1738" s="6">
        <v>19</v>
      </c>
      <c r="B1738" s="6">
        <v>45</v>
      </c>
      <c r="C1738" s="6" t="str">
        <f t="shared" si="356"/>
        <v>566253211EADAPTER, CAR SENS, RETRA ALL VERSIONS390969644984216000</v>
      </c>
      <c r="D1738" s="21" t="s">
        <v>440</v>
      </c>
      <c r="E1738" s="6" t="s">
        <v>58</v>
      </c>
      <c r="F1738" s="6"/>
      <c r="G1738" s="7" t="s">
        <v>18</v>
      </c>
      <c r="H1738" s="19"/>
      <c r="I1738" s="19"/>
      <c r="J1738" s="19"/>
      <c r="K1738" s="19"/>
      <c r="L1738" s="14">
        <v>3909696</v>
      </c>
      <c r="M1738" s="22">
        <v>44984</v>
      </c>
      <c r="N1738" s="19" t="s">
        <v>199</v>
      </c>
      <c r="O1738" s="19" t="s">
        <v>332</v>
      </c>
      <c r="P1738" s="15">
        <v>216000</v>
      </c>
      <c r="Q1738" s="15">
        <v>549354.86</v>
      </c>
      <c r="R1738" s="15">
        <v>87082900</v>
      </c>
      <c r="S1738" s="15">
        <v>15</v>
      </c>
      <c r="T1738" s="19" t="s">
        <v>308</v>
      </c>
      <c r="U1738" s="19" t="s">
        <v>178</v>
      </c>
      <c r="V1738" s="16">
        <f t="shared" si="347"/>
        <v>82403.228999999992</v>
      </c>
      <c r="W1738" s="16">
        <f t="shared" si="348"/>
        <v>8240.3228999999992</v>
      </c>
      <c r="X1738" s="16">
        <f t="shared" si="349"/>
        <v>90643.551899999991</v>
      </c>
      <c r="Y1738" s="16">
        <f t="shared" si="350"/>
        <v>0.41964607361111106</v>
      </c>
      <c r="Z1738" s="16">
        <f t="shared" si="351"/>
        <v>2.5433095370370369</v>
      </c>
      <c r="AA1738" s="17">
        <f t="shared" si="352"/>
        <v>216000</v>
      </c>
      <c r="AB1738" s="10">
        <v>1920</v>
      </c>
      <c r="AC1738" s="18">
        <f t="shared" si="353"/>
        <v>805.72046133333322</v>
      </c>
      <c r="AD1738" s="12">
        <f t="shared" si="354"/>
        <v>86652</v>
      </c>
      <c r="AE1738" s="13">
        <f t="shared" si="355"/>
        <v>129348</v>
      </c>
    </row>
    <row r="1739" spans="1:31">
      <c r="A1739" s="6">
        <v>19</v>
      </c>
      <c r="B1739" s="6">
        <v>46</v>
      </c>
      <c r="C1739" s="6" t="str">
        <f t="shared" si="356"/>
        <v>566305721BSPRING, SHEET, LEAF, RET ALL VERSIONS, WS ECE4742807449445000</v>
      </c>
      <c r="D1739" s="21" t="s">
        <v>440</v>
      </c>
      <c r="E1739" s="6" t="s">
        <v>59</v>
      </c>
      <c r="F1739" s="6"/>
      <c r="G1739" s="7" t="s">
        <v>19</v>
      </c>
      <c r="H1739" s="19"/>
      <c r="I1739" s="19"/>
      <c r="J1739" s="19"/>
      <c r="K1739" s="19"/>
      <c r="L1739" s="14">
        <v>4742807</v>
      </c>
      <c r="M1739" s="22">
        <v>44944</v>
      </c>
      <c r="N1739" s="19" t="s">
        <v>196</v>
      </c>
      <c r="O1739" s="19" t="s">
        <v>337</v>
      </c>
      <c r="P1739" s="15">
        <v>5000</v>
      </c>
      <c r="Q1739" s="15">
        <v>143362.42000000001</v>
      </c>
      <c r="R1739" s="15">
        <v>87082900</v>
      </c>
      <c r="S1739" s="15">
        <v>15</v>
      </c>
      <c r="T1739" s="19" t="s">
        <v>309</v>
      </c>
      <c r="U1739" s="19" t="s">
        <v>178</v>
      </c>
      <c r="V1739" s="16">
        <f t="shared" si="347"/>
        <v>21504.363000000001</v>
      </c>
      <c r="W1739" s="16">
        <f t="shared" si="348"/>
        <v>2150.4363000000003</v>
      </c>
      <c r="X1739" s="16">
        <f t="shared" si="349"/>
        <v>23654.799300000002</v>
      </c>
      <c r="Y1739" s="16">
        <f t="shared" si="350"/>
        <v>4.7309598600000005</v>
      </c>
      <c r="Z1739" s="16">
        <f t="shared" si="351"/>
        <v>28.672484000000004</v>
      </c>
      <c r="AA1739" s="17">
        <f t="shared" si="352"/>
        <v>5000</v>
      </c>
      <c r="AB1739" s="10">
        <v>35.376000000000005</v>
      </c>
      <c r="AC1739" s="18">
        <f t="shared" si="353"/>
        <v>167.36243600736003</v>
      </c>
      <c r="AD1739" s="12">
        <f t="shared" si="354"/>
        <v>1540.98</v>
      </c>
      <c r="AE1739" s="13">
        <v>0</v>
      </c>
    </row>
    <row r="1740" spans="1:31">
      <c r="A1740" s="6">
        <v>19</v>
      </c>
      <c r="B1740" s="6">
        <v>47</v>
      </c>
      <c r="C1740" s="6" t="str">
        <f t="shared" si="356"/>
        <v>600188700BLEVER, WEB SENS, RETRACT ALL VERSIONS421599144956270000</v>
      </c>
      <c r="D1740" s="21" t="s">
        <v>440</v>
      </c>
      <c r="E1740" s="6" t="s">
        <v>60</v>
      </c>
      <c r="F1740" s="6"/>
      <c r="G1740" s="7" t="s">
        <v>20</v>
      </c>
      <c r="H1740" s="19"/>
      <c r="I1740" s="19"/>
      <c r="J1740" s="19"/>
      <c r="K1740" s="19"/>
      <c r="L1740" s="14">
        <v>4215991</v>
      </c>
      <c r="M1740" s="22">
        <v>44956</v>
      </c>
      <c r="N1740" s="19" t="s">
        <v>199</v>
      </c>
      <c r="O1740" s="19" t="s">
        <v>332</v>
      </c>
      <c r="P1740" s="15">
        <v>270000</v>
      </c>
      <c r="Q1740" s="15">
        <v>1513733.76</v>
      </c>
      <c r="R1740" s="15">
        <v>87082900</v>
      </c>
      <c r="S1740" s="15">
        <v>15</v>
      </c>
      <c r="T1740" s="19" t="s">
        <v>310</v>
      </c>
      <c r="U1740" s="19" t="s">
        <v>178</v>
      </c>
      <c r="V1740" s="16">
        <f t="shared" si="347"/>
        <v>227060.06399999998</v>
      </c>
      <c r="W1740" s="16">
        <f t="shared" si="348"/>
        <v>22706.006399999998</v>
      </c>
      <c r="X1740" s="16">
        <f t="shared" si="349"/>
        <v>249766.07039999997</v>
      </c>
      <c r="Y1740" s="16">
        <f t="shared" si="350"/>
        <v>0.92505951999999991</v>
      </c>
      <c r="Z1740" s="16">
        <f t="shared" si="351"/>
        <v>5.6064213333333335</v>
      </c>
      <c r="AA1740" s="17">
        <f t="shared" si="352"/>
        <v>270000</v>
      </c>
      <c r="AB1740" s="10">
        <v>1920</v>
      </c>
      <c r="AC1740" s="18">
        <f t="shared" si="353"/>
        <v>1776.1142783999999</v>
      </c>
      <c r="AD1740" s="12">
        <f t="shared" si="354"/>
        <v>86652</v>
      </c>
      <c r="AE1740" s="13">
        <f t="shared" si="355"/>
        <v>183348</v>
      </c>
    </row>
    <row r="1741" spans="1:31">
      <c r="A1741" s="6">
        <v>19</v>
      </c>
      <c r="B1741" s="6">
        <v>48</v>
      </c>
      <c r="C1741" s="6" t="str">
        <f t="shared" si="356"/>
        <v>601182600ASPINDLE, RETRACTOR, R27, STD98117254531517920</v>
      </c>
      <c r="D1741" s="21" t="s">
        <v>440</v>
      </c>
      <c r="E1741" s="6" t="s">
        <v>61</v>
      </c>
      <c r="F1741" s="6"/>
      <c r="G1741" s="7" t="s">
        <v>21</v>
      </c>
      <c r="H1741" s="19"/>
      <c r="I1741" s="19"/>
      <c r="J1741" s="19"/>
      <c r="K1741" s="19"/>
      <c r="L1741" s="14">
        <v>9811725</v>
      </c>
      <c r="M1741" s="22">
        <v>45315</v>
      </c>
      <c r="N1741" s="19" t="s">
        <v>185</v>
      </c>
      <c r="O1741" s="19" t="s">
        <v>332</v>
      </c>
      <c r="P1741" s="15">
        <v>17920</v>
      </c>
      <c r="Q1741" s="15">
        <v>781622.05</v>
      </c>
      <c r="R1741" s="15">
        <v>87082900</v>
      </c>
      <c r="S1741" s="15">
        <v>15</v>
      </c>
      <c r="T1741" s="19" t="s">
        <v>371</v>
      </c>
      <c r="U1741" s="19" t="s">
        <v>178</v>
      </c>
      <c r="V1741" s="16">
        <f t="shared" si="347"/>
        <v>117243.30750000001</v>
      </c>
      <c r="W1741" s="16">
        <f t="shared" si="348"/>
        <v>11724.330750000001</v>
      </c>
      <c r="X1741" s="16">
        <f t="shared" si="349"/>
        <v>128967.63825000002</v>
      </c>
      <c r="Y1741" s="16">
        <f t="shared" si="350"/>
        <v>7.196854813058037</v>
      </c>
      <c r="Z1741" s="16">
        <f t="shared" si="351"/>
        <v>43.617301897321433</v>
      </c>
      <c r="AA1741" s="17">
        <f t="shared" si="352"/>
        <v>17920</v>
      </c>
      <c r="AB1741" s="10">
        <v>1920</v>
      </c>
      <c r="AC1741" s="18">
        <f t="shared" si="353"/>
        <v>13817.961241071431</v>
      </c>
      <c r="AD1741" s="12">
        <f t="shared" si="354"/>
        <v>17676</v>
      </c>
      <c r="AE1741" s="13">
        <f t="shared" si="355"/>
        <v>244</v>
      </c>
    </row>
    <row r="1742" spans="1:31">
      <c r="A1742" s="6">
        <v>19</v>
      </c>
      <c r="B1742" s="6">
        <v>49</v>
      </c>
      <c r="C1742" s="6" t="str">
        <f t="shared" si="356"/>
        <v>601256700GBUSH, RETRACTOR, R27, AL ALL VERSIONS405080544944160000</v>
      </c>
      <c r="D1742" s="21" t="s">
        <v>440</v>
      </c>
      <c r="E1742" s="6" t="s">
        <v>62</v>
      </c>
      <c r="F1742" s="6"/>
      <c r="G1742" s="7" t="s">
        <v>22</v>
      </c>
      <c r="H1742" s="19"/>
      <c r="I1742" s="19"/>
      <c r="J1742" s="19"/>
      <c r="K1742" s="19"/>
      <c r="L1742" s="14">
        <v>4050805</v>
      </c>
      <c r="M1742" s="22">
        <v>44944</v>
      </c>
      <c r="N1742" s="19" t="s">
        <v>196</v>
      </c>
      <c r="O1742" s="19" t="s">
        <v>333</v>
      </c>
      <c r="P1742" s="15">
        <v>160000</v>
      </c>
      <c r="Q1742" s="15">
        <v>278597.26</v>
      </c>
      <c r="R1742" s="15">
        <v>87082900</v>
      </c>
      <c r="S1742" s="15">
        <v>15</v>
      </c>
      <c r="T1742" s="19" t="s">
        <v>312</v>
      </c>
      <c r="U1742" s="19" t="s">
        <v>178</v>
      </c>
      <c r="V1742" s="16">
        <f t="shared" si="347"/>
        <v>41789.589</v>
      </c>
      <c r="W1742" s="16">
        <f t="shared" si="348"/>
        <v>4178.9589000000005</v>
      </c>
      <c r="X1742" s="16">
        <f t="shared" si="349"/>
        <v>45968.547899999998</v>
      </c>
      <c r="Y1742" s="16">
        <f t="shared" si="350"/>
        <v>0.287303424375</v>
      </c>
      <c r="Z1742" s="16">
        <f t="shared" si="351"/>
        <v>1.7412328750000001</v>
      </c>
      <c r="AA1742" s="17">
        <f t="shared" si="352"/>
        <v>160000</v>
      </c>
      <c r="AB1742" s="10">
        <v>1920</v>
      </c>
      <c r="AC1742" s="18">
        <f t="shared" si="353"/>
        <v>551.62257480000005</v>
      </c>
      <c r="AD1742" s="12">
        <f t="shared" si="354"/>
        <v>86652</v>
      </c>
      <c r="AE1742" s="13">
        <f t="shared" si="355"/>
        <v>73348</v>
      </c>
    </row>
    <row r="1743" spans="1:31">
      <c r="A1743" s="6">
        <v>19</v>
      </c>
      <c r="B1743" s="6">
        <v>50</v>
      </c>
      <c r="C1743" s="6" t="str">
        <f t="shared" si="356"/>
        <v>601472600ALATCH, RETRACTOR, R27, A ALL VERSIONS421598844951162000</v>
      </c>
      <c r="D1743" s="21" t="s">
        <v>440</v>
      </c>
      <c r="E1743" s="6" t="s">
        <v>63</v>
      </c>
      <c r="F1743" s="6"/>
      <c r="G1743" s="7" t="s">
        <v>23</v>
      </c>
      <c r="H1743" s="19"/>
      <c r="I1743" s="19"/>
      <c r="J1743" s="19"/>
      <c r="K1743" s="19"/>
      <c r="L1743" s="14">
        <v>4215988</v>
      </c>
      <c r="M1743" s="22">
        <v>44951</v>
      </c>
      <c r="N1743" s="19" t="s">
        <v>199</v>
      </c>
      <c r="O1743" s="19" t="s">
        <v>332</v>
      </c>
      <c r="P1743" s="15">
        <v>162000</v>
      </c>
      <c r="Q1743" s="15">
        <v>1167023.94</v>
      </c>
      <c r="R1743" s="15">
        <v>87082900</v>
      </c>
      <c r="S1743" s="15">
        <v>15</v>
      </c>
      <c r="T1743" s="19" t="s">
        <v>313</v>
      </c>
      <c r="U1743" s="19" t="s">
        <v>178</v>
      </c>
      <c r="V1743" s="16">
        <f t="shared" si="347"/>
        <v>175053.59099999999</v>
      </c>
      <c r="W1743" s="16">
        <f t="shared" si="348"/>
        <v>17505.359099999998</v>
      </c>
      <c r="X1743" s="16">
        <f t="shared" si="349"/>
        <v>192558.95009999999</v>
      </c>
      <c r="Y1743" s="16">
        <f t="shared" si="350"/>
        <v>1.1886354944444444</v>
      </c>
      <c r="Z1743" s="16">
        <f t="shared" si="351"/>
        <v>7.2038514814814816</v>
      </c>
      <c r="AA1743" s="17">
        <f t="shared" si="352"/>
        <v>162000</v>
      </c>
      <c r="AB1743" s="10">
        <v>1920</v>
      </c>
      <c r="AC1743" s="18">
        <f t="shared" si="353"/>
        <v>2282.1801493333332</v>
      </c>
      <c r="AD1743" s="12">
        <f t="shared" si="354"/>
        <v>86652</v>
      </c>
      <c r="AE1743" s="13">
        <f t="shared" si="355"/>
        <v>75348</v>
      </c>
    </row>
    <row r="1744" spans="1:31">
      <c r="A1744" s="6">
        <v>19</v>
      </c>
      <c r="B1744" s="6">
        <v>51</v>
      </c>
      <c r="C1744" s="6" t="str">
        <f t="shared" si="356"/>
        <v>601487200CCOVER, RETRACTOR, R27, S SYSTEMKAPPE DELRIN 100T43274964495048000</v>
      </c>
      <c r="D1744" s="21" t="s">
        <v>440</v>
      </c>
      <c r="E1744" s="6" t="s">
        <v>64</v>
      </c>
      <c r="F1744" s="6"/>
      <c r="G1744" s="7" t="s">
        <v>24</v>
      </c>
      <c r="H1744" s="19"/>
      <c r="I1744" s="19"/>
      <c r="J1744" s="19"/>
      <c r="K1744" s="19"/>
      <c r="L1744" s="14">
        <v>4327496</v>
      </c>
      <c r="M1744" s="22">
        <v>44950</v>
      </c>
      <c r="N1744" s="19" t="s">
        <v>199</v>
      </c>
      <c r="O1744" s="19" t="s">
        <v>332</v>
      </c>
      <c r="P1744" s="15">
        <v>48000</v>
      </c>
      <c r="Q1744" s="15">
        <v>514349.16</v>
      </c>
      <c r="R1744" s="15">
        <v>87082900</v>
      </c>
      <c r="S1744" s="15">
        <v>15</v>
      </c>
      <c r="T1744" s="19" t="s">
        <v>307</v>
      </c>
      <c r="U1744" s="19" t="s">
        <v>178</v>
      </c>
      <c r="V1744" s="16">
        <f t="shared" si="347"/>
        <v>77152.373999999996</v>
      </c>
      <c r="W1744" s="16">
        <f t="shared" si="348"/>
        <v>7715.2374</v>
      </c>
      <c r="X1744" s="16">
        <f t="shared" si="349"/>
        <v>84867.611399999994</v>
      </c>
      <c r="Y1744" s="16">
        <f t="shared" si="350"/>
        <v>1.7680752375</v>
      </c>
      <c r="Z1744" s="16">
        <f t="shared" si="351"/>
        <v>10.715607499999999</v>
      </c>
      <c r="AA1744" s="17">
        <f t="shared" si="352"/>
        <v>48000</v>
      </c>
      <c r="AB1744" s="10">
        <v>1008</v>
      </c>
      <c r="AC1744" s="18">
        <f t="shared" si="353"/>
        <v>1782.2198394</v>
      </c>
      <c r="AD1744" s="12">
        <f t="shared" si="354"/>
        <v>47964</v>
      </c>
      <c r="AE1744" s="13">
        <f t="shared" si="355"/>
        <v>36</v>
      </c>
    </row>
    <row r="1745" spans="1:31">
      <c r="A1745" s="6">
        <v>19</v>
      </c>
      <c r="B1745" s="6">
        <v>52</v>
      </c>
      <c r="C1745" s="6" t="str">
        <f t="shared" si="356"/>
        <v>605151600ASPRING, SHEET, LEAF, RET ALL VERSIONS, WS US407852744933100000</v>
      </c>
      <c r="D1745" s="21" t="s">
        <v>440</v>
      </c>
      <c r="E1745" s="6" t="s">
        <v>65</v>
      </c>
      <c r="F1745" s="6"/>
      <c r="G1745" s="7" t="s">
        <v>25</v>
      </c>
      <c r="H1745" s="19"/>
      <c r="I1745" s="19"/>
      <c r="J1745" s="19"/>
      <c r="K1745" s="19"/>
      <c r="L1745" s="14">
        <v>4078527</v>
      </c>
      <c r="M1745" s="22">
        <v>44933</v>
      </c>
      <c r="N1745" s="19" t="s">
        <v>196</v>
      </c>
      <c r="O1745" s="19" t="s">
        <v>333</v>
      </c>
      <c r="P1745" s="15">
        <v>100000</v>
      </c>
      <c r="Q1745" s="15">
        <v>147318.03</v>
      </c>
      <c r="R1745" s="15">
        <v>87082900</v>
      </c>
      <c r="S1745" s="15">
        <v>15</v>
      </c>
      <c r="T1745" s="19" t="s">
        <v>314</v>
      </c>
      <c r="U1745" s="19" t="s">
        <v>178</v>
      </c>
      <c r="V1745" s="16">
        <f t="shared" si="347"/>
        <v>22097.7045</v>
      </c>
      <c r="W1745" s="16">
        <f t="shared" si="348"/>
        <v>2209.77045</v>
      </c>
      <c r="X1745" s="16">
        <f t="shared" si="349"/>
        <v>24307.47495</v>
      </c>
      <c r="Y1745" s="16">
        <f t="shared" si="350"/>
        <v>0.24307474949999999</v>
      </c>
      <c r="Z1745" s="16">
        <f t="shared" si="351"/>
        <v>1.4731802999999999</v>
      </c>
      <c r="AA1745" s="17">
        <f t="shared" si="352"/>
        <v>100000</v>
      </c>
      <c r="AB1745" s="10">
        <v>1920</v>
      </c>
      <c r="AC1745" s="18">
        <f t="shared" si="353"/>
        <v>466.70351904</v>
      </c>
      <c r="AD1745" s="12">
        <f t="shared" si="354"/>
        <v>86652</v>
      </c>
      <c r="AE1745" s="13">
        <f t="shared" si="355"/>
        <v>13348</v>
      </c>
    </row>
    <row r="1746" spans="1:31">
      <c r="A1746" s="6">
        <v>19</v>
      </c>
      <c r="B1746" s="6">
        <v>53</v>
      </c>
      <c r="C1746" s="6" t="str">
        <f t="shared" si="356"/>
        <v>605555507ESTEERING DISC NATURE WHITE717838944902100800</v>
      </c>
      <c r="D1746" s="21" t="s">
        <v>440</v>
      </c>
      <c r="E1746" s="6" t="s">
        <v>66</v>
      </c>
      <c r="F1746" s="6"/>
      <c r="G1746" s="7" t="s">
        <v>26</v>
      </c>
      <c r="H1746" s="19"/>
      <c r="I1746" s="19"/>
      <c r="J1746" s="19"/>
      <c r="K1746" s="19"/>
      <c r="L1746" s="14">
        <v>7178389</v>
      </c>
      <c r="M1746" s="22">
        <v>44902</v>
      </c>
      <c r="N1746" s="19" t="s">
        <v>185</v>
      </c>
      <c r="O1746" s="19" t="s">
        <v>332</v>
      </c>
      <c r="P1746" s="15">
        <v>100800</v>
      </c>
      <c r="Q1746" s="15">
        <v>397158.13</v>
      </c>
      <c r="R1746" s="15">
        <v>87082900</v>
      </c>
      <c r="S1746" s="15">
        <v>15</v>
      </c>
      <c r="T1746" s="19" t="s">
        <v>315</v>
      </c>
      <c r="U1746" s="19" t="s">
        <v>178</v>
      </c>
      <c r="V1746" s="16">
        <f t="shared" si="347"/>
        <v>59573.719499999999</v>
      </c>
      <c r="W1746" s="16">
        <f t="shared" si="348"/>
        <v>5957.3719500000007</v>
      </c>
      <c r="X1746" s="16">
        <f t="shared" si="349"/>
        <v>65531.09145</v>
      </c>
      <c r="Y1746" s="16">
        <f t="shared" si="350"/>
        <v>0.65011003422619051</v>
      </c>
      <c r="Z1746" s="16">
        <f t="shared" si="351"/>
        <v>3.9400608134920634</v>
      </c>
      <c r="AA1746" s="17">
        <f t="shared" si="352"/>
        <v>100800</v>
      </c>
      <c r="AB1746" s="10">
        <v>1920</v>
      </c>
      <c r="AC1746" s="18">
        <f t="shared" si="353"/>
        <v>1248.2112657142857</v>
      </c>
      <c r="AD1746" s="12">
        <f t="shared" si="354"/>
        <v>80292</v>
      </c>
      <c r="AE1746" s="13">
        <f t="shared" si="355"/>
        <v>20508</v>
      </c>
    </row>
    <row r="1747" spans="1:31">
      <c r="A1747" s="6">
        <v>19</v>
      </c>
      <c r="B1747" s="6">
        <v>54</v>
      </c>
      <c r="C1747" s="6" t="str">
        <f t="shared" si="356"/>
        <v>615795701BPILLAR LOOP, OVERMOULDED LIGHT GRAY, STD, WITH CA9019565452614000</v>
      </c>
      <c r="D1747" s="21" t="s">
        <v>440</v>
      </c>
      <c r="E1747" s="6" t="s">
        <v>67</v>
      </c>
      <c r="F1747" s="6"/>
      <c r="G1747" s="7" t="s">
        <v>27</v>
      </c>
      <c r="H1747" s="19"/>
      <c r="I1747" s="19"/>
      <c r="J1747" s="19"/>
      <c r="K1747" s="19"/>
      <c r="L1747" s="14">
        <v>9019565</v>
      </c>
      <c r="M1747" s="22">
        <v>45261</v>
      </c>
      <c r="N1747" s="19" t="s">
        <v>185</v>
      </c>
      <c r="O1747" s="19" t="s">
        <v>332</v>
      </c>
      <c r="P1747" s="15">
        <v>4000</v>
      </c>
      <c r="Q1747" s="15">
        <v>235983.84</v>
      </c>
      <c r="R1747" s="15">
        <v>87082900</v>
      </c>
      <c r="S1747" s="15">
        <v>15</v>
      </c>
      <c r="T1747" s="19" t="s">
        <v>198</v>
      </c>
      <c r="U1747" s="19" t="s">
        <v>178</v>
      </c>
      <c r="V1747" s="16">
        <f t="shared" si="347"/>
        <v>35397.576000000001</v>
      </c>
      <c r="W1747" s="16">
        <f t="shared" si="348"/>
        <v>3539.7576000000004</v>
      </c>
      <c r="X1747" s="16">
        <f t="shared" si="349"/>
        <v>38937.333599999998</v>
      </c>
      <c r="Y1747" s="16">
        <f t="shared" si="350"/>
        <v>9.7343333999999988</v>
      </c>
      <c r="Z1747" s="16">
        <f t="shared" si="351"/>
        <v>58.995959999999997</v>
      </c>
      <c r="AA1747" s="17">
        <f t="shared" si="352"/>
        <v>4000</v>
      </c>
      <c r="AB1747" s="10">
        <v>1920</v>
      </c>
      <c r="AC1747" s="18">
        <f t="shared" si="353"/>
        <v>18689.920127999998</v>
      </c>
      <c r="AD1747" s="12">
        <f t="shared" si="354"/>
        <v>3984</v>
      </c>
      <c r="AE1747" s="13">
        <f t="shared" si="355"/>
        <v>16</v>
      </c>
    </row>
    <row r="1748" spans="1:31">
      <c r="A1748" s="6">
        <v>19</v>
      </c>
      <c r="B1748" s="6">
        <v>55</v>
      </c>
      <c r="C1748" s="6" t="str">
        <f t="shared" si="356"/>
        <v>618470500EBEARING, CAR SENS, RETRA All Versions, Noise redu408531144933170000</v>
      </c>
      <c r="D1748" s="21" t="s">
        <v>440</v>
      </c>
      <c r="E1748" s="6" t="s">
        <v>68</v>
      </c>
      <c r="F1748" s="6"/>
      <c r="G1748" s="7" t="s">
        <v>28</v>
      </c>
      <c r="H1748" s="19"/>
      <c r="I1748" s="19"/>
      <c r="J1748" s="19"/>
      <c r="K1748" s="19"/>
      <c r="L1748" s="14">
        <v>4085311</v>
      </c>
      <c r="M1748" s="22">
        <v>44933</v>
      </c>
      <c r="N1748" s="19" t="s">
        <v>196</v>
      </c>
      <c r="O1748" s="19" t="s">
        <v>333</v>
      </c>
      <c r="P1748" s="15">
        <v>170000</v>
      </c>
      <c r="Q1748" s="15">
        <v>305828.40000000002</v>
      </c>
      <c r="R1748" s="15">
        <v>87082900</v>
      </c>
      <c r="S1748" s="15">
        <v>15</v>
      </c>
      <c r="T1748" s="19" t="s">
        <v>316</v>
      </c>
      <c r="U1748" s="19" t="s">
        <v>178</v>
      </c>
      <c r="V1748" s="16">
        <f t="shared" si="347"/>
        <v>45874.26</v>
      </c>
      <c r="W1748" s="16">
        <f t="shared" si="348"/>
        <v>4587.4260000000004</v>
      </c>
      <c r="X1748" s="16">
        <f t="shared" si="349"/>
        <v>50461.686000000002</v>
      </c>
      <c r="Y1748" s="16">
        <f t="shared" si="350"/>
        <v>0.29683344705882353</v>
      </c>
      <c r="Z1748" s="16">
        <f t="shared" si="351"/>
        <v>1.7989905882352943</v>
      </c>
      <c r="AA1748" s="17">
        <f t="shared" si="352"/>
        <v>170000</v>
      </c>
      <c r="AB1748" s="10">
        <v>1920</v>
      </c>
      <c r="AC1748" s="18">
        <f t="shared" si="353"/>
        <v>569.92021835294122</v>
      </c>
      <c r="AD1748" s="12">
        <f t="shared" si="354"/>
        <v>61944</v>
      </c>
      <c r="AE1748" s="13">
        <f t="shared" si="355"/>
        <v>108056</v>
      </c>
    </row>
    <row r="1749" spans="1:31">
      <c r="A1749" s="6">
        <v>19</v>
      </c>
      <c r="B1749" s="6">
        <v>56</v>
      </c>
      <c r="C1749" s="6" t="str">
        <f t="shared" si="356"/>
        <v>618472000BLEVER, CAR SENS, RETRACT ALL VERSIONS, NOISE REDU408531144933170000</v>
      </c>
      <c r="D1749" s="21" t="s">
        <v>440</v>
      </c>
      <c r="E1749" s="6" t="s">
        <v>69</v>
      </c>
      <c r="F1749" s="6"/>
      <c r="G1749" s="7" t="s">
        <v>29</v>
      </c>
      <c r="H1749" s="19"/>
      <c r="I1749" s="19"/>
      <c r="J1749" s="19"/>
      <c r="K1749" s="19"/>
      <c r="L1749" s="14">
        <v>4085311</v>
      </c>
      <c r="M1749" s="22">
        <v>44933</v>
      </c>
      <c r="N1749" s="19" t="s">
        <v>196</v>
      </c>
      <c r="O1749" s="19" t="s">
        <v>333</v>
      </c>
      <c r="P1749" s="15">
        <v>170000</v>
      </c>
      <c r="Q1749" s="15">
        <v>247799.42</v>
      </c>
      <c r="R1749" s="15">
        <v>87082900</v>
      </c>
      <c r="S1749" s="15">
        <v>15</v>
      </c>
      <c r="T1749" s="19" t="s">
        <v>316</v>
      </c>
      <c r="U1749" s="19" t="s">
        <v>178</v>
      </c>
      <c r="V1749" s="16">
        <f t="shared" si="347"/>
        <v>37169.913</v>
      </c>
      <c r="W1749" s="16">
        <f t="shared" si="348"/>
        <v>3716.9913000000001</v>
      </c>
      <c r="X1749" s="16">
        <f t="shared" si="349"/>
        <v>40886.904300000002</v>
      </c>
      <c r="Y1749" s="16">
        <f t="shared" si="350"/>
        <v>0.24051120176470589</v>
      </c>
      <c r="Z1749" s="16">
        <f t="shared" si="351"/>
        <v>1.4576436470588237</v>
      </c>
      <c r="AA1749" s="17">
        <f t="shared" si="352"/>
        <v>170000</v>
      </c>
      <c r="AB1749" s="10">
        <v>1920</v>
      </c>
      <c r="AC1749" s="18">
        <f t="shared" si="353"/>
        <v>461.7815073882353</v>
      </c>
      <c r="AD1749" s="12">
        <f t="shared" si="354"/>
        <v>86652</v>
      </c>
      <c r="AE1749" s="13">
        <f t="shared" si="355"/>
        <v>83348</v>
      </c>
    </row>
    <row r="1750" spans="1:31">
      <c r="A1750" s="6">
        <v>19</v>
      </c>
      <c r="B1750" s="6">
        <v>57</v>
      </c>
      <c r="C1750" s="6" t="str">
        <f t="shared" si="356"/>
        <v>618472300CMASS, CAR SENS, RETRACTO ALL VERSIONS, CAR 2-PIN406183045012209560</v>
      </c>
      <c r="D1750" s="21" t="s">
        <v>440</v>
      </c>
      <c r="E1750" s="6" t="s">
        <v>70</v>
      </c>
      <c r="F1750" s="6"/>
      <c r="G1750" s="7" t="s">
        <v>30</v>
      </c>
      <c r="H1750" s="19"/>
      <c r="I1750" s="19"/>
      <c r="J1750" s="19"/>
      <c r="K1750" s="19"/>
      <c r="L1750" s="14">
        <v>4061830</v>
      </c>
      <c r="M1750" s="22">
        <v>45012</v>
      </c>
      <c r="N1750" s="19" t="s">
        <v>196</v>
      </c>
      <c r="O1750" s="19" t="s">
        <v>333</v>
      </c>
      <c r="P1750" s="15">
        <v>209560</v>
      </c>
      <c r="Q1750" s="15">
        <v>786307.66</v>
      </c>
      <c r="R1750" s="15">
        <v>87082900</v>
      </c>
      <c r="S1750" s="15">
        <v>15</v>
      </c>
      <c r="T1750" s="19" t="s">
        <v>317</v>
      </c>
      <c r="U1750" s="19" t="s">
        <v>178</v>
      </c>
      <c r="V1750" s="16">
        <f t="shared" si="347"/>
        <v>117946.149</v>
      </c>
      <c r="W1750" s="16">
        <f t="shared" si="348"/>
        <v>11794.6149</v>
      </c>
      <c r="X1750" s="16">
        <f t="shared" si="349"/>
        <v>129740.76390000001</v>
      </c>
      <c r="Y1750" s="16">
        <f t="shared" si="350"/>
        <v>0.61911034500858941</v>
      </c>
      <c r="Z1750" s="16">
        <f t="shared" si="351"/>
        <v>3.7521839091429663</v>
      </c>
      <c r="AA1750" s="17">
        <f t="shared" si="352"/>
        <v>209560</v>
      </c>
      <c r="AB1750" s="10">
        <v>1920</v>
      </c>
      <c r="AC1750" s="18">
        <f t="shared" si="353"/>
        <v>1188.6918624164916</v>
      </c>
      <c r="AD1750" s="12">
        <f t="shared" si="354"/>
        <v>86652</v>
      </c>
      <c r="AE1750" s="13">
        <f t="shared" si="355"/>
        <v>122908</v>
      </c>
    </row>
    <row r="1751" spans="1:31">
      <c r="A1751" s="6">
        <v>19</v>
      </c>
      <c r="B1751" s="6">
        <v>58</v>
      </c>
      <c r="C1751" s="6" t="str">
        <f t="shared" si="356"/>
        <v>632154400AADHESIVE, PAD 411920545464120000</v>
      </c>
      <c r="D1751" s="21" t="s">
        <v>440</v>
      </c>
      <c r="E1751" s="6" t="s">
        <v>79</v>
      </c>
      <c r="F1751" s="6"/>
      <c r="G1751" s="7" t="s">
        <v>39</v>
      </c>
      <c r="H1751" s="19"/>
      <c r="I1751" s="19"/>
      <c r="J1751" s="19"/>
      <c r="K1751" s="19"/>
      <c r="L1751" s="14">
        <v>4119205</v>
      </c>
      <c r="M1751" s="22">
        <v>45464</v>
      </c>
      <c r="N1751" s="19" t="s">
        <v>196</v>
      </c>
      <c r="O1751" s="19" t="s">
        <v>333</v>
      </c>
      <c r="P1751" s="15">
        <v>120000</v>
      </c>
      <c r="Q1751" s="15">
        <v>394723.3</v>
      </c>
      <c r="R1751" s="15">
        <v>87082900</v>
      </c>
      <c r="S1751" s="15">
        <v>15</v>
      </c>
      <c r="T1751" s="19" t="s">
        <v>201</v>
      </c>
      <c r="U1751" s="19" t="s">
        <v>178</v>
      </c>
      <c r="V1751" s="16">
        <f t="shared" si="347"/>
        <v>59208.494999999995</v>
      </c>
      <c r="W1751" s="16">
        <f t="shared" si="348"/>
        <v>5920.8495000000003</v>
      </c>
      <c r="X1751" s="16">
        <f t="shared" si="349"/>
        <v>65129.344499999992</v>
      </c>
      <c r="Y1751" s="16">
        <f t="shared" si="350"/>
        <v>0.54274453749999996</v>
      </c>
      <c r="Z1751" s="16">
        <f t="shared" si="351"/>
        <v>3.2893608333333333</v>
      </c>
      <c r="AA1751" s="17">
        <f t="shared" si="352"/>
        <v>120000</v>
      </c>
      <c r="AB1751" s="10">
        <v>1920</v>
      </c>
      <c r="AC1751" s="18">
        <f t="shared" si="353"/>
        <v>1042.069512</v>
      </c>
      <c r="AD1751" s="12">
        <f t="shared" si="354"/>
        <v>30564</v>
      </c>
      <c r="AE1751" s="13">
        <f t="shared" si="355"/>
        <v>89436</v>
      </c>
    </row>
    <row r="1752" spans="1:31">
      <c r="A1752" s="6">
        <v>19</v>
      </c>
      <c r="B1752" s="6">
        <v>59</v>
      </c>
      <c r="C1752" s="6" t="str">
        <f t="shared" si="356"/>
        <v>597509600AWEBBING, COATING, P10960 P109604300080245394300</v>
      </c>
      <c r="D1752" s="21" t="s">
        <v>440</v>
      </c>
      <c r="E1752" s="6" t="s">
        <v>481</v>
      </c>
      <c r="F1752" s="6"/>
      <c r="G1752" s="7" t="s">
        <v>413</v>
      </c>
      <c r="H1752" s="19"/>
      <c r="I1752" s="19"/>
      <c r="J1752" s="19"/>
      <c r="K1752" s="19"/>
      <c r="L1752" s="14">
        <v>3000802</v>
      </c>
      <c r="M1752" s="22">
        <v>45394</v>
      </c>
      <c r="N1752" s="19" t="s">
        <v>185</v>
      </c>
      <c r="O1752" s="19" t="s">
        <v>337</v>
      </c>
      <c r="P1752" s="15">
        <v>300</v>
      </c>
      <c r="Q1752" s="15">
        <v>435159.64</v>
      </c>
      <c r="R1752" s="15">
        <v>38099190</v>
      </c>
      <c r="S1752" s="15">
        <v>7.5</v>
      </c>
      <c r="T1752" s="19" t="s">
        <v>430</v>
      </c>
      <c r="U1752" s="19" t="s">
        <v>178</v>
      </c>
      <c r="V1752" s="16">
        <f t="shared" si="347"/>
        <v>32636.972999999998</v>
      </c>
      <c r="W1752" s="16">
        <f t="shared" si="348"/>
        <v>3263.6972999999998</v>
      </c>
      <c r="X1752" s="16">
        <f t="shared" si="349"/>
        <v>35900.670299999998</v>
      </c>
      <c r="Y1752" s="16">
        <f t="shared" si="350"/>
        <v>119.66890099999999</v>
      </c>
      <c r="Z1752" s="16">
        <f t="shared" si="351"/>
        <v>1450.5321333333334</v>
      </c>
      <c r="AA1752" s="17">
        <f t="shared" si="352"/>
        <v>300</v>
      </c>
      <c r="AB1752" s="10">
        <v>2.9040000000000004</v>
      </c>
      <c r="AC1752" s="18">
        <f t="shared" si="353"/>
        <v>347.518488504</v>
      </c>
      <c r="AD1752" s="12">
        <f t="shared" si="354"/>
        <v>40.703999999999994</v>
      </c>
      <c r="AE1752" s="13">
        <f t="shared" si="355"/>
        <v>259.29599999999999</v>
      </c>
    </row>
    <row r="1753" spans="1:31">
      <c r="A1753" s="6">
        <v>19</v>
      </c>
      <c r="B1753" s="6">
        <v>60</v>
      </c>
      <c r="C1753" s="6" t="str">
        <f t="shared" si="356"/>
        <v>597509800AWEBBING, COATING, P17101 P171013300080245394480</v>
      </c>
      <c r="D1753" s="21" t="s">
        <v>440</v>
      </c>
      <c r="E1753" s="6" t="s">
        <v>482</v>
      </c>
      <c r="F1753" s="6"/>
      <c r="G1753" s="7" t="s">
        <v>414</v>
      </c>
      <c r="H1753" s="19"/>
      <c r="I1753" s="19"/>
      <c r="J1753" s="19"/>
      <c r="K1753" s="19"/>
      <c r="L1753" s="14">
        <v>3000802</v>
      </c>
      <c r="M1753" s="22">
        <v>45394</v>
      </c>
      <c r="N1753" s="19" t="s">
        <v>185</v>
      </c>
      <c r="O1753" s="19" t="s">
        <v>337</v>
      </c>
      <c r="P1753" s="15">
        <v>480</v>
      </c>
      <c r="Q1753" s="15">
        <v>342109.54</v>
      </c>
      <c r="R1753" s="15">
        <v>38099190</v>
      </c>
      <c r="S1753" s="15">
        <v>7.5</v>
      </c>
      <c r="T1753" s="19" t="s">
        <v>430</v>
      </c>
      <c r="U1753" s="19" t="s">
        <v>178</v>
      </c>
      <c r="V1753" s="16">
        <f t="shared" si="347"/>
        <v>25658.215499999998</v>
      </c>
      <c r="W1753" s="16">
        <f t="shared" si="348"/>
        <v>2565.8215500000001</v>
      </c>
      <c r="X1753" s="16">
        <f t="shared" si="349"/>
        <v>28224.037049999999</v>
      </c>
      <c r="Y1753" s="16">
        <f t="shared" si="350"/>
        <v>58.800077187500001</v>
      </c>
      <c r="Z1753" s="16">
        <f t="shared" si="351"/>
        <v>712.72820833333333</v>
      </c>
      <c r="AA1753" s="17">
        <f t="shared" si="352"/>
        <v>480</v>
      </c>
      <c r="AB1753" s="10">
        <v>5.8080000000000007</v>
      </c>
      <c r="AC1753" s="18">
        <f t="shared" si="353"/>
        <v>341.51084830500002</v>
      </c>
      <c r="AD1753" s="12">
        <f t="shared" si="354"/>
        <v>81.407999999999987</v>
      </c>
      <c r="AE1753" s="13">
        <f t="shared" si="355"/>
        <v>398.59199999999998</v>
      </c>
    </row>
    <row r="1754" spans="1:31">
      <c r="A1754" s="6">
        <v>19</v>
      </c>
      <c r="B1754" s="6">
        <v>61</v>
      </c>
      <c r="C1754" s="6" t="str">
        <f t="shared" si="356"/>
        <v>597509900AWEBBING, COATING, P70007 P7000783000802453942600</v>
      </c>
      <c r="D1754" s="21" t="s">
        <v>440</v>
      </c>
      <c r="E1754" s="6" t="s">
        <v>483</v>
      </c>
      <c r="F1754" s="6"/>
      <c r="G1754" s="7" t="s">
        <v>415</v>
      </c>
      <c r="H1754" s="19"/>
      <c r="I1754" s="19"/>
      <c r="J1754" s="19"/>
      <c r="K1754" s="19"/>
      <c r="L1754" s="14">
        <v>3000802</v>
      </c>
      <c r="M1754" s="22">
        <v>45394</v>
      </c>
      <c r="N1754" s="19" t="s">
        <v>185</v>
      </c>
      <c r="O1754" s="19" t="s">
        <v>337</v>
      </c>
      <c r="P1754" s="15">
        <v>2600</v>
      </c>
      <c r="Q1754" s="15">
        <v>955383.72</v>
      </c>
      <c r="R1754" s="15">
        <v>38099190</v>
      </c>
      <c r="S1754" s="15">
        <v>7.5</v>
      </c>
      <c r="T1754" s="19" t="s">
        <v>430</v>
      </c>
      <c r="U1754" s="19" t="s">
        <v>178</v>
      </c>
      <c r="V1754" s="16">
        <f t="shared" si="347"/>
        <v>71653.778999999995</v>
      </c>
      <c r="W1754" s="16">
        <f t="shared" si="348"/>
        <v>7165.3778999999995</v>
      </c>
      <c r="X1754" s="16">
        <f t="shared" si="349"/>
        <v>78819.156900000002</v>
      </c>
      <c r="Y1754" s="16">
        <f t="shared" si="350"/>
        <v>30.315060346153846</v>
      </c>
      <c r="Z1754" s="16">
        <f t="shared" si="351"/>
        <v>367.45527692307689</v>
      </c>
      <c r="AA1754" s="17">
        <f t="shared" si="352"/>
        <v>2600</v>
      </c>
      <c r="AB1754" s="10">
        <v>18.024000000000001</v>
      </c>
      <c r="AC1754" s="18">
        <f t="shared" si="353"/>
        <v>546.39864767907693</v>
      </c>
      <c r="AD1754" s="12">
        <f t="shared" si="354"/>
        <v>812.46400800000004</v>
      </c>
      <c r="AE1754" s="13">
        <f t="shared" si="355"/>
        <v>1787.5359920000001</v>
      </c>
    </row>
    <row r="1755" spans="1:31">
      <c r="A1755" s="6">
        <v>19</v>
      </c>
      <c r="B1755" s="6">
        <v>62</v>
      </c>
      <c r="C1755" s="6" t="str">
        <f t="shared" si="356"/>
        <v>597510000BWEBBING, COATING,P3225503000802453942880</v>
      </c>
      <c r="D1755" s="21" t="s">
        <v>440</v>
      </c>
      <c r="E1755" s="6" t="s">
        <v>484</v>
      </c>
      <c r="F1755" s="6"/>
      <c r="G1755" s="7" t="s">
        <v>444</v>
      </c>
      <c r="H1755" s="19"/>
      <c r="I1755" s="19"/>
      <c r="J1755" s="19"/>
      <c r="K1755" s="19"/>
      <c r="L1755" s="14">
        <v>3000802</v>
      </c>
      <c r="M1755" s="22">
        <v>45394</v>
      </c>
      <c r="N1755" s="19" t="s">
        <v>185</v>
      </c>
      <c r="O1755" s="19" t="s">
        <v>337</v>
      </c>
      <c r="P1755" s="15">
        <v>2880</v>
      </c>
      <c r="Q1755" s="15">
        <v>922168.08</v>
      </c>
      <c r="R1755" s="15">
        <v>38099190</v>
      </c>
      <c r="S1755" s="15">
        <v>7.5</v>
      </c>
      <c r="T1755" s="19" t="s">
        <v>430</v>
      </c>
      <c r="U1755" s="19" t="s">
        <v>178</v>
      </c>
      <c r="V1755" s="16">
        <f t="shared" si="347"/>
        <v>69162.606</v>
      </c>
      <c r="W1755" s="16">
        <f t="shared" si="348"/>
        <v>6916.2606000000005</v>
      </c>
      <c r="X1755" s="16">
        <f t="shared" si="349"/>
        <v>76078.866599999994</v>
      </c>
      <c r="Y1755" s="16">
        <f t="shared" si="350"/>
        <v>26.416273124999996</v>
      </c>
      <c r="Z1755" s="16">
        <f t="shared" si="351"/>
        <v>320.19725</v>
      </c>
      <c r="AA1755" s="17">
        <f t="shared" si="352"/>
        <v>2880</v>
      </c>
      <c r="AB1755" s="10">
        <v>24.432000000000002</v>
      </c>
      <c r="AC1755" s="18">
        <f t="shared" si="353"/>
        <v>645.40238498999997</v>
      </c>
      <c r="AD1755" s="12">
        <f t="shared" si="354"/>
        <v>956.68977600000005</v>
      </c>
      <c r="AE1755" s="13">
        <f t="shared" si="355"/>
        <v>1923.3102239999998</v>
      </c>
    </row>
    <row r="1756" spans="1:31">
      <c r="A1756" s="6">
        <v>19</v>
      </c>
      <c r="B1756" s="6">
        <v>63</v>
      </c>
      <c r="C1756" s="6" t="str">
        <f t="shared" si="356"/>
        <v>597510100AWEBBING, COATING, P70014 P700146300080245394115</v>
      </c>
      <c r="D1756" s="21" t="s">
        <v>440</v>
      </c>
      <c r="E1756" s="6" t="s">
        <v>485</v>
      </c>
      <c r="F1756" s="6"/>
      <c r="G1756" s="7" t="s">
        <v>416</v>
      </c>
      <c r="H1756" s="19"/>
      <c r="I1756" s="19"/>
      <c r="J1756" s="19"/>
      <c r="K1756" s="19"/>
      <c r="L1756" s="14">
        <v>3000802</v>
      </c>
      <c r="M1756" s="22">
        <v>45394</v>
      </c>
      <c r="N1756" s="19" t="s">
        <v>185</v>
      </c>
      <c r="O1756" s="19" t="s">
        <v>337</v>
      </c>
      <c r="P1756" s="15">
        <v>115</v>
      </c>
      <c r="Q1756" s="15">
        <v>26840.63</v>
      </c>
      <c r="R1756" s="15">
        <v>38099190</v>
      </c>
      <c r="S1756" s="15">
        <v>7.5</v>
      </c>
      <c r="T1756" s="19" t="s">
        <v>430</v>
      </c>
      <c r="U1756" s="19" t="s">
        <v>178</v>
      </c>
      <c r="V1756" s="16">
        <f t="shared" si="347"/>
        <v>2013.0472500000001</v>
      </c>
      <c r="W1756" s="16">
        <f t="shared" si="348"/>
        <v>201.30472500000002</v>
      </c>
      <c r="X1756" s="16">
        <f t="shared" si="349"/>
        <v>2214.351975</v>
      </c>
      <c r="Y1756" s="16">
        <f t="shared" si="350"/>
        <v>19.255234565217393</v>
      </c>
      <c r="Z1756" s="16">
        <f t="shared" si="351"/>
        <v>233.39678260869567</v>
      </c>
      <c r="AA1756" s="17">
        <f t="shared" si="352"/>
        <v>115</v>
      </c>
      <c r="AB1756" s="10">
        <v>1.4040000000000001</v>
      </c>
      <c r="AC1756" s="18">
        <f t="shared" si="353"/>
        <v>27.03434932956522</v>
      </c>
      <c r="AD1756" s="12">
        <f t="shared" si="354"/>
        <v>16.701600000000003</v>
      </c>
      <c r="AE1756" s="13">
        <f t="shared" si="355"/>
        <v>98.298400000000001</v>
      </c>
    </row>
    <row r="1757" spans="1:31">
      <c r="A1757" s="6">
        <v>19</v>
      </c>
      <c r="B1757" s="6">
        <v>64</v>
      </c>
      <c r="C1757" s="6" t="str">
        <f t="shared" si="356"/>
        <v>625254901AWEBBING YARN PET PERF FIBERS 550DTEX F70 V0707719845134137733</v>
      </c>
      <c r="D1757" s="21" t="s">
        <v>440</v>
      </c>
      <c r="E1757" s="6" t="s">
        <v>486</v>
      </c>
      <c r="F1757" s="6"/>
      <c r="G1757" s="7" t="s">
        <v>417</v>
      </c>
      <c r="H1757" s="19"/>
      <c r="I1757" s="19"/>
      <c r="J1757" s="19"/>
      <c r="K1757" s="19"/>
      <c r="L1757" s="14">
        <v>7077198</v>
      </c>
      <c r="M1757" s="22">
        <v>45134</v>
      </c>
      <c r="N1757" s="19" t="s">
        <v>197</v>
      </c>
      <c r="O1757" s="19" t="s">
        <v>337</v>
      </c>
      <c r="P1757" s="15">
        <v>137733</v>
      </c>
      <c r="Q1757" s="15">
        <v>23488638.550000001</v>
      </c>
      <c r="R1757" s="15">
        <v>54025290</v>
      </c>
      <c r="S1757" s="15">
        <v>5</v>
      </c>
      <c r="T1757" s="19" t="s">
        <v>431</v>
      </c>
      <c r="U1757" s="19" t="s">
        <v>178</v>
      </c>
      <c r="V1757" s="16">
        <f t="shared" si="347"/>
        <v>1174431.9275</v>
      </c>
      <c r="W1757" s="16">
        <f t="shared" si="348"/>
        <v>117443.19275</v>
      </c>
      <c r="X1757" s="16">
        <f t="shared" si="349"/>
        <v>1291875.1202499999</v>
      </c>
      <c r="Y1757" s="16">
        <f t="shared" si="350"/>
        <v>9.3795613269877212</v>
      </c>
      <c r="Z1757" s="16">
        <f t="shared" si="351"/>
        <v>170.53747867250405</v>
      </c>
      <c r="AA1757" s="17">
        <f t="shared" si="352"/>
        <v>137733</v>
      </c>
      <c r="AB1757" s="10">
        <v>331.26000000000005</v>
      </c>
      <c r="AC1757" s="18">
        <f t="shared" si="353"/>
        <v>3107.073485177953</v>
      </c>
      <c r="AD1757" s="12">
        <f t="shared" si="354"/>
        <v>2759.808</v>
      </c>
      <c r="AE1757" s="13">
        <f t="shared" si="355"/>
        <v>134973.19200000001</v>
      </c>
    </row>
    <row r="1758" spans="1:31">
      <c r="A1758" s="6">
        <v>19</v>
      </c>
      <c r="B1758" s="6">
        <v>65</v>
      </c>
      <c r="C1758" s="6" t="str">
        <f t="shared" si="356"/>
        <v>623642402AWEBBING YARN PET PERF FIBERS 275DTEX F35 V04879341455091050</v>
      </c>
      <c r="D1758" s="21" t="s">
        <v>440</v>
      </c>
      <c r="E1758" s="6" t="s">
        <v>487</v>
      </c>
      <c r="F1758" s="6"/>
      <c r="G1758" s="7" t="s">
        <v>418</v>
      </c>
      <c r="H1758" s="19"/>
      <c r="I1758" s="19"/>
      <c r="J1758" s="19"/>
      <c r="K1758" s="19"/>
      <c r="L1758" s="14">
        <v>4879341</v>
      </c>
      <c r="M1758" s="22">
        <v>45509</v>
      </c>
      <c r="N1758" s="19" t="s">
        <v>197</v>
      </c>
      <c r="O1758" s="19" t="s">
        <v>337</v>
      </c>
      <c r="P1758" s="15">
        <v>1050</v>
      </c>
      <c r="Q1758" s="15">
        <v>234373.62</v>
      </c>
      <c r="R1758" s="15">
        <v>54025290</v>
      </c>
      <c r="S1758" s="15">
        <v>5</v>
      </c>
      <c r="T1758" s="19" t="s">
        <v>432</v>
      </c>
      <c r="U1758" s="19" t="s">
        <v>178</v>
      </c>
      <c r="V1758" s="16">
        <f t="shared" si="347"/>
        <v>11718.681</v>
      </c>
      <c r="W1758" s="16">
        <f t="shared" si="348"/>
        <v>1171.8681000000001</v>
      </c>
      <c r="X1758" s="16">
        <f t="shared" si="349"/>
        <v>12890.5491</v>
      </c>
      <c r="Y1758" s="16">
        <f t="shared" si="350"/>
        <v>12.276713428571428</v>
      </c>
      <c r="Z1758" s="16">
        <f t="shared" si="351"/>
        <v>223.21297142857142</v>
      </c>
      <c r="AA1758" s="17">
        <f t="shared" si="352"/>
        <v>1050</v>
      </c>
      <c r="AB1758" s="10">
        <v>52.679999999999993</v>
      </c>
      <c r="AC1758" s="18">
        <f t="shared" si="353"/>
        <v>646.73726341714269</v>
      </c>
      <c r="AD1758" s="12">
        <f t="shared" si="354"/>
        <v>97.079999999999984</v>
      </c>
      <c r="AE1758" s="13">
        <f t="shared" si="355"/>
        <v>952.92000000000007</v>
      </c>
    </row>
    <row r="1759" spans="1:31">
      <c r="A1759" s="6">
        <v>19</v>
      </c>
      <c r="B1759" s="6">
        <v>66</v>
      </c>
      <c r="C1759" s="6" t="str">
        <f t="shared" si="356"/>
        <v>625255601AWEBBING YARN PET PERF FIBERS 110DTEX F35, V0399198445457288</v>
      </c>
      <c r="D1759" s="21" t="s">
        <v>440</v>
      </c>
      <c r="E1759" s="6" t="s">
        <v>488</v>
      </c>
      <c r="F1759" s="6"/>
      <c r="G1759" s="7" t="s">
        <v>419</v>
      </c>
      <c r="H1759" s="19"/>
      <c r="I1759" s="19"/>
      <c r="J1759" s="19"/>
      <c r="K1759" s="19"/>
      <c r="L1759" s="14">
        <v>3991984</v>
      </c>
      <c r="M1759" s="22">
        <v>45457</v>
      </c>
      <c r="N1759" s="19" t="s">
        <v>197</v>
      </c>
      <c r="O1759" s="19" t="s">
        <v>337</v>
      </c>
      <c r="P1759" s="15">
        <v>288</v>
      </c>
      <c r="Q1759" s="15">
        <v>107819.84</v>
      </c>
      <c r="R1759" s="15">
        <v>54025290</v>
      </c>
      <c r="S1759" s="15">
        <v>5</v>
      </c>
      <c r="T1759" s="19" t="s">
        <v>433</v>
      </c>
      <c r="U1759" s="19" t="s">
        <v>178</v>
      </c>
      <c r="V1759" s="16">
        <f t="shared" ref="V1759:V1782" si="357">Q1759*S1759%</f>
        <v>5390.9920000000002</v>
      </c>
      <c r="W1759" s="16">
        <f t="shared" ref="W1759:W1782" si="358">V1759*0.1</f>
        <v>539.0992</v>
      </c>
      <c r="X1759" s="16">
        <f t="shared" ref="X1759:X1782" si="359">V1759+W1759</f>
        <v>5930.0911999999998</v>
      </c>
      <c r="Y1759" s="16">
        <f t="shared" ref="Y1759:Y1782" si="360">X1759/P1759</f>
        <v>20.590594444444445</v>
      </c>
      <c r="Z1759" s="16">
        <f t="shared" ref="Z1759:Z1782" si="361">Q1759/P1759</f>
        <v>374.37444444444441</v>
      </c>
      <c r="AA1759" s="17">
        <f t="shared" ref="AA1759:AA1782" si="362">P1759</f>
        <v>288</v>
      </c>
      <c r="AB1759" s="10">
        <v>3.12</v>
      </c>
      <c r="AC1759" s="18">
        <f t="shared" ref="AC1759:AC1782" si="363">AB1759*Y1759</f>
        <v>64.242654666666667</v>
      </c>
      <c r="AD1759" s="12">
        <f t="shared" ref="AD1759:AD1822" si="364">SUMIF($C$2:$C$2284,C1759,$AB$2:$AB$2284)</f>
        <v>99.003240000000019</v>
      </c>
      <c r="AE1759" s="13">
        <f t="shared" ref="AE1759:AE1782" si="365">AA1759-AD1759</f>
        <v>188.99675999999999</v>
      </c>
    </row>
    <row r="1760" spans="1:31">
      <c r="A1760" s="6">
        <v>19</v>
      </c>
      <c r="B1760" s="6">
        <v>67</v>
      </c>
      <c r="C1760" s="6" t="str">
        <f t="shared" si="356"/>
        <v>640839400AWEBBING, YARN, PET, OTIZ 575 DTEX, F97, Z130, WHI626703045082480</v>
      </c>
      <c r="D1760" s="21" t="s">
        <v>440</v>
      </c>
      <c r="E1760" s="6" t="s">
        <v>489</v>
      </c>
      <c r="F1760" s="6"/>
      <c r="G1760" s="7" t="s">
        <v>420</v>
      </c>
      <c r="H1760" s="19"/>
      <c r="I1760" s="19"/>
      <c r="J1760" s="19"/>
      <c r="K1760" s="19"/>
      <c r="L1760" s="14">
        <v>6267030</v>
      </c>
      <c r="M1760" s="22">
        <v>45082</v>
      </c>
      <c r="N1760" s="19" t="s">
        <v>185</v>
      </c>
      <c r="O1760" s="19" t="s">
        <v>337</v>
      </c>
      <c r="P1760" s="15">
        <v>480</v>
      </c>
      <c r="Q1760" s="15">
        <v>394315.2</v>
      </c>
      <c r="R1760" s="15">
        <v>54022090</v>
      </c>
      <c r="S1760" s="15">
        <v>5</v>
      </c>
      <c r="T1760" s="19" t="s">
        <v>434</v>
      </c>
      <c r="U1760" s="19" t="s">
        <v>178</v>
      </c>
      <c r="V1760" s="16">
        <f t="shared" si="357"/>
        <v>19715.760000000002</v>
      </c>
      <c r="W1760" s="16">
        <f t="shared" si="358"/>
        <v>1971.5760000000002</v>
      </c>
      <c r="X1760" s="16">
        <f t="shared" si="359"/>
        <v>21687.336000000003</v>
      </c>
      <c r="Y1760" s="16">
        <f t="shared" si="360"/>
        <v>45.181950000000008</v>
      </c>
      <c r="Z1760" s="16">
        <f t="shared" si="361"/>
        <v>821.49</v>
      </c>
      <c r="AA1760" s="17">
        <f t="shared" si="362"/>
        <v>480</v>
      </c>
      <c r="AB1760" s="10">
        <v>0.72</v>
      </c>
      <c r="AC1760" s="18">
        <f t="shared" si="363"/>
        <v>32.531004000000003</v>
      </c>
      <c r="AD1760" s="12">
        <f t="shared" si="364"/>
        <v>5.04</v>
      </c>
      <c r="AE1760" s="13">
        <f t="shared" si="365"/>
        <v>474.96</v>
      </c>
    </row>
    <row r="1761" spans="1:31">
      <c r="A1761" s="6">
        <v>19</v>
      </c>
      <c r="B1761" s="6">
        <v>68</v>
      </c>
      <c r="C1761" s="6" t="str">
        <f t="shared" si="356"/>
        <v>623851800AWEBBING,YARN,PET,Hyosung 830, F96, V0, White62972374508458320</v>
      </c>
      <c r="D1761" s="21" t="s">
        <v>440</v>
      </c>
      <c r="E1761" s="6" t="s">
        <v>490</v>
      </c>
      <c r="F1761" s="6"/>
      <c r="G1761" s="7" t="s">
        <v>421</v>
      </c>
      <c r="H1761" s="19"/>
      <c r="I1761" s="19"/>
      <c r="J1761" s="19"/>
      <c r="K1761" s="19"/>
      <c r="L1761" s="14">
        <v>6297237</v>
      </c>
      <c r="M1761" s="22">
        <v>45084</v>
      </c>
      <c r="N1761" s="19" t="s">
        <v>185</v>
      </c>
      <c r="O1761" s="19" t="s">
        <v>337</v>
      </c>
      <c r="P1761" s="15">
        <v>58320</v>
      </c>
      <c r="Q1761" s="15">
        <v>9290026.0800000001</v>
      </c>
      <c r="R1761" s="15">
        <v>54022090</v>
      </c>
      <c r="S1761" s="15">
        <v>5</v>
      </c>
      <c r="T1761" s="19" t="s">
        <v>435</v>
      </c>
      <c r="U1761" s="19" t="s">
        <v>178</v>
      </c>
      <c r="V1761" s="16">
        <f t="shared" si="357"/>
        <v>464501.304</v>
      </c>
      <c r="W1761" s="16">
        <f t="shared" si="358"/>
        <v>46450.130400000002</v>
      </c>
      <c r="X1761" s="16">
        <f t="shared" si="359"/>
        <v>510951.43440000003</v>
      </c>
      <c r="Y1761" s="16">
        <f t="shared" si="360"/>
        <v>8.7611699999999999</v>
      </c>
      <c r="Z1761" s="16">
        <f t="shared" si="361"/>
        <v>159.29400000000001</v>
      </c>
      <c r="AA1761" s="17">
        <f t="shared" si="362"/>
        <v>58320</v>
      </c>
      <c r="AB1761" s="10">
        <v>69.48</v>
      </c>
      <c r="AC1761" s="18">
        <f t="shared" si="363"/>
        <v>608.72609160000002</v>
      </c>
      <c r="AD1761" s="12">
        <f t="shared" si="364"/>
        <v>486.36</v>
      </c>
      <c r="AE1761" s="13">
        <f t="shared" si="365"/>
        <v>57833.64</v>
      </c>
    </row>
    <row r="1762" spans="1:31">
      <c r="A1762" s="6">
        <v>19</v>
      </c>
      <c r="B1762" s="6">
        <v>69</v>
      </c>
      <c r="C1762" s="6" t="str">
        <f t="shared" si="356"/>
        <v>625236501AWEBBING YARN PET HYOSUNG 1670DTEX F144 V0 WHIT62972374508497200</v>
      </c>
      <c r="D1762" s="21" t="s">
        <v>440</v>
      </c>
      <c r="E1762" s="6" t="s">
        <v>491</v>
      </c>
      <c r="F1762" s="6"/>
      <c r="G1762" s="7" t="s">
        <v>422</v>
      </c>
      <c r="H1762" s="19"/>
      <c r="I1762" s="19"/>
      <c r="J1762" s="19"/>
      <c r="K1762" s="19"/>
      <c r="L1762" s="14">
        <v>6297237</v>
      </c>
      <c r="M1762" s="22">
        <v>45084</v>
      </c>
      <c r="N1762" s="19" t="s">
        <v>185</v>
      </c>
      <c r="O1762" s="19" t="s">
        <v>337</v>
      </c>
      <c r="P1762" s="15">
        <v>97200</v>
      </c>
      <c r="Q1762" s="15">
        <v>13537821.6</v>
      </c>
      <c r="R1762" s="15">
        <v>54022090</v>
      </c>
      <c r="S1762" s="15">
        <v>5</v>
      </c>
      <c r="T1762" s="19" t="s">
        <v>435</v>
      </c>
      <c r="U1762" s="19" t="s">
        <v>178</v>
      </c>
      <c r="V1762" s="16">
        <f t="shared" si="357"/>
        <v>676891.08000000007</v>
      </c>
      <c r="W1762" s="16">
        <f t="shared" si="358"/>
        <v>67689.108000000007</v>
      </c>
      <c r="X1762" s="16">
        <f t="shared" si="359"/>
        <v>744580.18800000008</v>
      </c>
      <c r="Y1762" s="16">
        <f t="shared" si="360"/>
        <v>7.6602900000000007</v>
      </c>
      <c r="Z1762" s="16">
        <f t="shared" si="361"/>
        <v>139.27799999999999</v>
      </c>
      <c r="AA1762" s="17">
        <f t="shared" si="362"/>
        <v>97200</v>
      </c>
      <c r="AB1762" s="10">
        <v>623.52</v>
      </c>
      <c r="AC1762" s="18">
        <f t="shared" si="363"/>
        <v>4776.3440208000002</v>
      </c>
      <c r="AD1762" s="12">
        <f t="shared" si="364"/>
        <v>4364.6399999999994</v>
      </c>
      <c r="AE1762" s="13">
        <f t="shared" si="365"/>
        <v>92835.36</v>
      </c>
    </row>
    <row r="1763" spans="1:31">
      <c r="A1763" s="6">
        <v>19</v>
      </c>
      <c r="B1763" s="6">
        <v>70</v>
      </c>
      <c r="C1763" s="6" t="str">
        <f t="shared" si="356"/>
        <v>640294200AINFLATOR, ASP-2, GEN15,65265414560213824</v>
      </c>
      <c r="D1763" s="21" t="s">
        <v>440</v>
      </c>
      <c r="E1763" s="6" t="s">
        <v>470</v>
      </c>
      <c r="F1763" s="6"/>
      <c r="G1763" s="7" t="s">
        <v>238</v>
      </c>
      <c r="H1763" s="19"/>
      <c r="I1763" s="19"/>
      <c r="J1763" s="19"/>
      <c r="K1763" s="19"/>
      <c r="L1763" s="14">
        <v>6526541</v>
      </c>
      <c r="M1763" s="22">
        <v>45602</v>
      </c>
      <c r="N1763" s="19" t="s">
        <v>185</v>
      </c>
      <c r="O1763" s="19" t="s">
        <v>332</v>
      </c>
      <c r="P1763" s="15">
        <v>13824</v>
      </c>
      <c r="Q1763" s="15">
        <v>3568768.29</v>
      </c>
      <c r="R1763" s="15">
        <v>87089500</v>
      </c>
      <c r="S1763" s="15">
        <v>15</v>
      </c>
      <c r="T1763" s="19" t="s">
        <v>388</v>
      </c>
      <c r="U1763" s="19" t="s">
        <v>178</v>
      </c>
      <c r="V1763" s="16">
        <f t="shared" si="357"/>
        <v>535315.24349999998</v>
      </c>
      <c r="W1763" s="16">
        <f t="shared" si="358"/>
        <v>53531.52435</v>
      </c>
      <c r="X1763" s="16">
        <f t="shared" si="359"/>
        <v>588846.76784999995</v>
      </c>
      <c r="Y1763" s="16">
        <f t="shared" si="360"/>
        <v>42.595975683593743</v>
      </c>
      <c r="Z1763" s="16">
        <f t="shared" si="361"/>
        <v>258.15742838541667</v>
      </c>
      <c r="AA1763" s="17">
        <f t="shared" si="362"/>
        <v>13824</v>
      </c>
      <c r="AB1763" s="10">
        <v>3312</v>
      </c>
      <c r="AC1763" s="18">
        <f t="shared" si="363"/>
        <v>141077.87146406248</v>
      </c>
      <c r="AD1763" s="12">
        <f t="shared" si="364"/>
        <v>12904</v>
      </c>
      <c r="AE1763" s="13">
        <f t="shared" si="365"/>
        <v>920</v>
      </c>
    </row>
    <row r="1764" spans="1:31">
      <c r="A1764" s="6">
        <v>19</v>
      </c>
      <c r="B1764" s="6">
        <v>71</v>
      </c>
      <c r="C1764" s="6" t="str">
        <f t="shared" si="356"/>
        <v>622408300ALABEL, BLANK, BAR CODE,964466545303100000</v>
      </c>
      <c r="D1764" s="21" t="s">
        <v>440</v>
      </c>
      <c r="E1764" s="6" t="s">
        <v>473</v>
      </c>
      <c r="F1764" s="6"/>
      <c r="G1764" s="7" t="s">
        <v>239</v>
      </c>
      <c r="H1764" s="19"/>
      <c r="I1764" s="19"/>
      <c r="J1764" s="19"/>
      <c r="K1764" s="19"/>
      <c r="L1764" s="14">
        <v>9644665</v>
      </c>
      <c r="M1764" s="22">
        <v>45303</v>
      </c>
      <c r="N1764" s="19" t="s">
        <v>196</v>
      </c>
      <c r="O1764" s="19" t="s">
        <v>333</v>
      </c>
      <c r="P1764" s="15">
        <v>100000</v>
      </c>
      <c r="Q1764" s="15">
        <v>69765.98</v>
      </c>
      <c r="R1764" s="15">
        <v>87089500</v>
      </c>
      <c r="S1764" s="15">
        <v>15</v>
      </c>
      <c r="T1764" s="19" t="s">
        <v>351</v>
      </c>
      <c r="U1764" s="19" t="s">
        <v>178</v>
      </c>
      <c r="V1764" s="16">
        <f t="shared" si="357"/>
        <v>10464.896999999999</v>
      </c>
      <c r="W1764" s="16">
        <f t="shared" si="358"/>
        <v>1046.4896999999999</v>
      </c>
      <c r="X1764" s="16">
        <f t="shared" si="359"/>
        <v>11511.386699999999</v>
      </c>
      <c r="Y1764" s="16">
        <f t="shared" si="360"/>
        <v>0.11511386699999999</v>
      </c>
      <c r="Z1764" s="16">
        <f t="shared" si="361"/>
        <v>0.69765979999999994</v>
      </c>
      <c r="AA1764" s="17">
        <f t="shared" si="362"/>
        <v>100000</v>
      </c>
      <c r="AB1764" s="10">
        <v>10656</v>
      </c>
      <c r="AC1764" s="18">
        <f t="shared" si="363"/>
        <v>1226.653366752</v>
      </c>
      <c r="AD1764" s="12">
        <f t="shared" si="364"/>
        <v>98136</v>
      </c>
      <c r="AE1764" s="13">
        <f t="shared" si="365"/>
        <v>1864</v>
      </c>
    </row>
    <row r="1765" spans="1:31">
      <c r="A1765" s="6">
        <v>19</v>
      </c>
      <c r="B1765" s="6">
        <v>72</v>
      </c>
      <c r="C1765" s="6" t="str">
        <f t="shared" si="356"/>
        <v>654590700ASU2ID CUSHION COMPONENTS CVR NON-WOVEN LH STD5279973450146300</v>
      </c>
      <c r="D1765" s="21" t="s">
        <v>440</v>
      </c>
      <c r="E1765" s="6" t="s">
        <v>477</v>
      </c>
      <c r="F1765" s="6"/>
      <c r="G1765" s="7" t="s">
        <v>330</v>
      </c>
      <c r="H1765" s="19"/>
      <c r="I1765" s="19"/>
      <c r="J1765" s="19"/>
      <c r="K1765" s="19"/>
      <c r="L1765" s="14">
        <v>5279973</v>
      </c>
      <c r="M1765" s="22">
        <v>45014</v>
      </c>
      <c r="N1765" s="19" t="s">
        <v>185</v>
      </c>
      <c r="O1765" s="19" t="s">
        <v>332</v>
      </c>
      <c r="P1765" s="15">
        <v>6300</v>
      </c>
      <c r="Q1765" s="15">
        <v>81753.97</v>
      </c>
      <c r="R1765" s="15">
        <v>87089500</v>
      </c>
      <c r="S1765" s="15">
        <v>15</v>
      </c>
      <c r="T1765" s="19" t="s">
        <v>358</v>
      </c>
      <c r="U1765" s="19" t="s">
        <v>178</v>
      </c>
      <c r="V1765" s="16">
        <f t="shared" si="357"/>
        <v>12263.095499999999</v>
      </c>
      <c r="W1765" s="16">
        <f t="shared" si="358"/>
        <v>1226.3095499999999</v>
      </c>
      <c r="X1765" s="16">
        <f t="shared" si="359"/>
        <v>13489.405049999999</v>
      </c>
      <c r="Y1765" s="16">
        <f t="shared" si="360"/>
        <v>2.1411754047619045</v>
      </c>
      <c r="Z1765" s="16">
        <f t="shared" si="361"/>
        <v>12.976820634920635</v>
      </c>
      <c r="AA1765" s="17">
        <f t="shared" si="362"/>
        <v>6300</v>
      </c>
      <c r="AB1765" s="10">
        <v>1692</v>
      </c>
      <c r="AC1765" s="18">
        <f t="shared" si="363"/>
        <v>3622.8687848571426</v>
      </c>
      <c r="AD1765" s="12">
        <f t="shared" si="364"/>
        <v>6300</v>
      </c>
      <c r="AE1765" s="13">
        <f t="shared" si="365"/>
        <v>0</v>
      </c>
    </row>
    <row r="1766" spans="1:31">
      <c r="A1766" s="6">
        <v>19</v>
      </c>
      <c r="B1766" s="6">
        <v>73</v>
      </c>
      <c r="C1766" s="6" t="str">
        <f t="shared" si="356"/>
        <v>654590700ASU2ID CUSHION COMPONENTS CVR NON-WOVEN LH STD2156837453374500</v>
      </c>
      <c r="D1766" s="21" t="s">
        <v>440</v>
      </c>
      <c r="E1766" s="6" t="s">
        <v>477</v>
      </c>
      <c r="F1766" s="6"/>
      <c r="G1766" s="7" t="s">
        <v>330</v>
      </c>
      <c r="H1766" s="19"/>
      <c r="I1766" s="19"/>
      <c r="J1766" s="19"/>
      <c r="K1766" s="19"/>
      <c r="L1766" s="14">
        <v>2156837</v>
      </c>
      <c r="M1766" s="22">
        <v>45337</v>
      </c>
      <c r="N1766" s="19" t="s">
        <v>185</v>
      </c>
      <c r="O1766" s="19" t="s">
        <v>333</v>
      </c>
      <c r="P1766" s="15">
        <v>4500</v>
      </c>
      <c r="Q1766" s="15">
        <v>54503.31</v>
      </c>
      <c r="R1766" s="15">
        <v>87089500</v>
      </c>
      <c r="S1766" s="15">
        <v>5</v>
      </c>
      <c r="T1766" s="19" t="s">
        <v>346</v>
      </c>
      <c r="U1766" s="19" t="s">
        <v>178</v>
      </c>
      <c r="V1766" s="16">
        <f t="shared" si="357"/>
        <v>2725.1655000000001</v>
      </c>
      <c r="W1766" s="16">
        <f t="shared" si="358"/>
        <v>272.51655</v>
      </c>
      <c r="X1766" s="16">
        <f t="shared" si="359"/>
        <v>2997.6820499999999</v>
      </c>
      <c r="Y1766" s="16">
        <f t="shared" si="360"/>
        <v>0.66615156666666664</v>
      </c>
      <c r="Z1766" s="16">
        <f t="shared" si="361"/>
        <v>12.111846666666667</v>
      </c>
      <c r="AA1766" s="17">
        <f t="shared" si="362"/>
        <v>4500</v>
      </c>
      <c r="AB1766" s="10">
        <v>468</v>
      </c>
      <c r="AC1766" s="18">
        <f t="shared" si="363"/>
        <v>311.7589332</v>
      </c>
      <c r="AD1766" s="12">
        <f t="shared" si="364"/>
        <v>4500</v>
      </c>
      <c r="AE1766" s="13">
        <f t="shared" si="365"/>
        <v>0</v>
      </c>
    </row>
    <row r="1767" spans="1:31">
      <c r="A1767" s="6">
        <v>19</v>
      </c>
      <c r="B1767" s="6">
        <v>74</v>
      </c>
      <c r="C1767" s="6" t="str">
        <f t="shared" si="356"/>
        <v>603171100BTAPE, ADHESIVE, TERAOKA TERAOKA NO.560S 283492694503640000</v>
      </c>
      <c r="D1767" s="21" t="s">
        <v>440</v>
      </c>
      <c r="E1767" s="6" t="s">
        <v>50</v>
      </c>
      <c r="F1767" s="6"/>
      <c r="G1767" s="7" t="s">
        <v>12</v>
      </c>
      <c r="H1767" s="19"/>
      <c r="I1767" s="19"/>
      <c r="J1767" s="19"/>
      <c r="K1767" s="19"/>
      <c r="L1767" s="14">
        <v>8349269</v>
      </c>
      <c r="M1767" s="22">
        <v>45036</v>
      </c>
      <c r="N1767" s="19" t="s">
        <v>180</v>
      </c>
      <c r="O1767" s="19" t="s">
        <v>333</v>
      </c>
      <c r="P1767" s="15">
        <v>40000</v>
      </c>
      <c r="Q1767" s="15">
        <v>180520.2</v>
      </c>
      <c r="R1767" s="15">
        <v>39199090</v>
      </c>
      <c r="S1767" s="15">
        <v>15</v>
      </c>
      <c r="T1767" s="19" t="s">
        <v>342</v>
      </c>
      <c r="U1767" s="19" t="s">
        <v>178</v>
      </c>
      <c r="V1767" s="16">
        <f t="shared" si="357"/>
        <v>27078.030000000002</v>
      </c>
      <c r="W1767" s="16">
        <f t="shared" si="358"/>
        <v>2707.8030000000003</v>
      </c>
      <c r="X1767" s="16">
        <f t="shared" si="359"/>
        <v>29785.833000000002</v>
      </c>
      <c r="Y1767" s="16">
        <f t="shared" si="360"/>
        <v>0.74464582500000009</v>
      </c>
      <c r="Z1767" s="16">
        <f t="shared" si="361"/>
        <v>4.5130050000000006</v>
      </c>
      <c r="AA1767" s="17">
        <f t="shared" si="362"/>
        <v>40000</v>
      </c>
      <c r="AB1767" s="10">
        <v>3456</v>
      </c>
      <c r="AC1767" s="18">
        <f t="shared" si="363"/>
        <v>2573.4959712000004</v>
      </c>
      <c r="AD1767" s="12">
        <f t="shared" si="364"/>
        <v>12498</v>
      </c>
      <c r="AE1767" s="13">
        <f t="shared" si="365"/>
        <v>27502</v>
      </c>
    </row>
    <row r="1768" spans="1:31">
      <c r="A1768" s="6">
        <v>19</v>
      </c>
      <c r="B1768" s="6">
        <v>75</v>
      </c>
      <c r="C1768" s="6" t="str">
        <f t="shared" si="356"/>
        <v>609183701ASTUD, M6 X 1.0, 16.0402550745458126000</v>
      </c>
      <c r="D1768" s="21" t="s">
        <v>440</v>
      </c>
      <c r="E1768" s="6" t="s">
        <v>51</v>
      </c>
      <c r="F1768" s="6"/>
      <c r="G1768" s="7" t="s">
        <v>411</v>
      </c>
      <c r="H1768" s="19"/>
      <c r="I1768" s="19"/>
      <c r="J1768" s="19"/>
      <c r="K1768" s="19"/>
      <c r="L1768" s="14">
        <v>4025507</v>
      </c>
      <c r="M1768" s="22">
        <v>45458</v>
      </c>
      <c r="N1768" s="19" t="s">
        <v>185</v>
      </c>
      <c r="O1768" s="19" t="s">
        <v>332</v>
      </c>
      <c r="P1768" s="15">
        <v>126000</v>
      </c>
      <c r="Q1768" s="15">
        <v>351674.67</v>
      </c>
      <c r="R1768" s="15">
        <v>87089500</v>
      </c>
      <c r="S1768" s="15">
        <v>15</v>
      </c>
      <c r="T1768" s="19" t="s">
        <v>304</v>
      </c>
      <c r="U1768" s="19" t="s">
        <v>178</v>
      </c>
      <c r="V1768" s="16">
        <f t="shared" si="357"/>
        <v>52751.200499999999</v>
      </c>
      <c r="W1768" s="16">
        <f t="shared" si="358"/>
        <v>5275.1200500000004</v>
      </c>
      <c r="X1768" s="16">
        <f t="shared" si="359"/>
        <v>58026.320549999997</v>
      </c>
      <c r="Y1768" s="16">
        <f t="shared" si="360"/>
        <v>0.46052635357142857</v>
      </c>
      <c r="Z1768" s="16">
        <f t="shared" si="361"/>
        <v>2.7910688095238094</v>
      </c>
      <c r="AA1768" s="17">
        <f t="shared" si="362"/>
        <v>126000</v>
      </c>
      <c r="AB1768" s="10">
        <v>33024</v>
      </c>
      <c r="AC1768" s="18">
        <f t="shared" si="363"/>
        <v>15208.422300342858</v>
      </c>
      <c r="AD1768" s="12">
        <f t="shared" si="364"/>
        <v>113280</v>
      </c>
      <c r="AE1768" s="13">
        <f t="shared" si="365"/>
        <v>12720</v>
      </c>
    </row>
    <row r="1769" spans="1:31">
      <c r="A1769" s="6">
        <v>19</v>
      </c>
      <c r="B1769" s="6">
        <v>76</v>
      </c>
      <c r="C1769" s="6" t="str">
        <f t="shared" si="356"/>
        <v>616531900ARING, CRIMP, CLAMP, BAND20497804533014000</v>
      </c>
      <c r="D1769" s="21" t="s">
        <v>440</v>
      </c>
      <c r="E1769" s="6" t="s">
        <v>52</v>
      </c>
      <c r="F1769" s="6"/>
      <c r="G1769" s="7" t="s">
        <v>410</v>
      </c>
      <c r="H1769" s="19"/>
      <c r="I1769" s="19"/>
      <c r="J1769" s="19"/>
      <c r="K1769" s="19"/>
      <c r="L1769" s="14">
        <v>2049780</v>
      </c>
      <c r="M1769" s="22">
        <v>45330</v>
      </c>
      <c r="N1769" s="19" t="s">
        <v>182</v>
      </c>
      <c r="O1769" s="19" t="s">
        <v>333</v>
      </c>
      <c r="P1769" s="15">
        <v>14000</v>
      </c>
      <c r="Q1769" s="15">
        <v>238138.95</v>
      </c>
      <c r="R1769" s="15">
        <v>87089500</v>
      </c>
      <c r="S1769" s="15">
        <v>15</v>
      </c>
      <c r="T1769" s="19" t="s">
        <v>436</v>
      </c>
      <c r="U1769" s="19" t="s">
        <v>178</v>
      </c>
      <c r="V1769" s="16">
        <f t="shared" si="357"/>
        <v>35720.842499999999</v>
      </c>
      <c r="W1769" s="16">
        <f t="shared" si="358"/>
        <v>3572.0842499999999</v>
      </c>
      <c r="X1769" s="16">
        <f t="shared" si="359"/>
        <v>39292.926749999999</v>
      </c>
      <c r="Y1769" s="16">
        <f t="shared" si="360"/>
        <v>2.806637625</v>
      </c>
      <c r="Z1769" s="16">
        <f t="shared" si="361"/>
        <v>17.009924999999999</v>
      </c>
      <c r="AA1769" s="17">
        <f t="shared" si="362"/>
        <v>14000</v>
      </c>
      <c r="AB1769" s="10">
        <v>14000</v>
      </c>
      <c r="AC1769" s="18">
        <f t="shared" si="363"/>
        <v>39292.926749999999</v>
      </c>
      <c r="AD1769" s="12">
        <f t="shared" si="364"/>
        <v>14000</v>
      </c>
      <c r="AE1769" s="13">
        <f t="shared" si="365"/>
        <v>0</v>
      </c>
    </row>
    <row r="1770" spans="1:31">
      <c r="A1770" s="6">
        <v>19</v>
      </c>
      <c r="B1770" s="6">
        <v>77</v>
      </c>
      <c r="C1770" s="6" t="str">
        <f t="shared" si="356"/>
        <v>616531900ARING, CRIMP, CLAMP, BAND20497804533018000</v>
      </c>
      <c r="D1770" s="21" t="s">
        <v>440</v>
      </c>
      <c r="E1770" s="6" t="s">
        <v>52</v>
      </c>
      <c r="F1770" s="6"/>
      <c r="G1770" s="7" t="s">
        <v>410</v>
      </c>
      <c r="H1770" s="19"/>
      <c r="I1770" s="19"/>
      <c r="J1770" s="19"/>
      <c r="K1770" s="19"/>
      <c r="L1770" s="14">
        <v>2049780</v>
      </c>
      <c r="M1770" s="22">
        <v>45330</v>
      </c>
      <c r="N1770" s="19" t="s">
        <v>182</v>
      </c>
      <c r="O1770" s="19" t="s">
        <v>333</v>
      </c>
      <c r="P1770" s="15">
        <v>18000</v>
      </c>
      <c r="Q1770" s="15">
        <v>306178.65000000002</v>
      </c>
      <c r="R1770" s="15">
        <v>87089500</v>
      </c>
      <c r="S1770" s="15">
        <v>15</v>
      </c>
      <c r="T1770" s="19" t="s">
        <v>436</v>
      </c>
      <c r="U1770" s="19" t="s">
        <v>178</v>
      </c>
      <c r="V1770" s="16">
        <f t="shared" si="357"/>
        <v>45926.797500000001</v>
      </c>
      <c r="W1770" s="16">
        <f t="shared" si="358"/>
        <v>4592.6797500000002</v>
      </c>
      <c r="X1770" s="16">
        <f t="shared" si="359"/>
        <v>50519.477250000004</v>
      </c>
      <c r="Y1770" s="16">
        <f t="shared" si="360"/>
        <v>2.806637625</v>
      </c>
      <c r="Z1770" s="16">
        <f t="shared" si="361"/>
        <v>17.009925000000003</v>
      </c>
      <c r="AA1770" s="17">
        <f t="shared" si="362"/>
        <v>18000</v>
      </c>
      <c r="AB1770" s="10">
        <v>14032</v>
      </c>
      <c r="AC1770" s="18">
        <f t="shared" si="363"/>
        <v>39382.739154000003</v>
      </c>
      <c r="AD1770" s="12">
        <f t="shared" si="364"/>
        <v>17072</v>
      </c>
      <c r="AE1770" s="13">
        <f t="shared" si="365"/>
        <v>928</v>
      </c>
    </row>
    <row r="1771" spans="1:31">
      <c r="A1771" s="6">
        <v>19</v>
      </c>
      <c r="B1771" s="6">
        <v>78</v>
      </c>
      <c r="C1771" s="6" t="str">
        <f t="shared" si="356"/>
        <v>666041200ACushion ICAB FI 2 Row C2287544453466912</v>
      </c>
      <c r="D1771" s="21" t="s">
        <v>440</v>
      </c>
      <c r="E1771" s="6" t="s">
        <v>472</v>
      </c>
      <c r="F1771" s="6"/>
      <c r="G1771" s="7" t="s">
        <v>237</v>
      </c>
      <c r="H1771" s="19"/>
      <c r="I1771" s="19"/>
      <c r="J1771" s="19"/>
      <c r="K1771" s="19"/>
      <c r="L1771" s="14">
        <v>2287544</v>
      </c>
      <c r="M1771" s="22">
        <v>45346</v>
      </c>
      <c r="N1771" s="19" t="s">
        <v>185</v>
      </c>
      <c r="O1771" s="19" t="s">
        <v>332</v>
      </c>
      <c r="P1771" s="15">
        <v>6912</v>
      </c>
      <c r="Q1771" s="15">
        <v>1466083.43</v>
      </c>
      <c r="R1771" s="15">
        <v>87089500</v>
      </c>
      <c r="S1771" s="15">
        <v>15</v>
      </c>
      <c r="T1771" s="19" t="s">
        <v>350</v>
      </c>
      <c r="U1771" s="19" t="s">
        <v>178</v>
      </c>
      <c r="V1771" s="16">
        <f t="shared" si="357"/>
        <v>219912.51449999999</v>
      </c>
      <c r="W1771" s="16">
        <f t="shared" si="358"/>
        <v>21991.25145</v>
      </c>
      <c r="X1771" s="16">
        <f t="shared" si="359"/>
        <v>241903.76595</v>
      </c>
      <c r="Y1771" s="16">
        <f t="shared" si="360"/>
        <v>34.997651323784723</v>
      </c>
      <c r="Z1771" s="16">
        <f t="shared" si="361"/>
        <v>212.10697771990741</v>
      </c>
      <c r="AA1771" s="17">
        <f t="shared" si="362"/>
        <v>6912</v>
      </c>
      <c r="AB1771" s="10">
        <v>5952</v>
      </c>
      <c r="AC1771" s="18">
        <f t="shared" si="363"/>
        <v>208306.02067916666</v>
      </c>
      <c r="AD1771" s="12">
        <f t="shared" si="364"/>
        <v>6912</v>
      </c>
      <c r="AE1771" s="13">
        <f t="shared" si="365"/>
        <v>0</v>
      </c>
    </row>
    <row r="1772" spans="1:31">
      <c r="A1772" s="6">
        <v>19</v>
      </c>
      <c r="B1772" s="6">
        <v>79</v>
      </c>
      <c r="C1772" s="6" t="str">
        <f t="shared" si="356"/>
        <v>PC47516-3810SNAP-IN-FASTENER, PUSH P PUSH PIN, BLACK36255814543542000</v>
      </c>
      <c r="D1772" s="21" t="s">
        <v>440</v>
      </c>
      <c r="E1772" s="6" t="s">
        <v>54</v>
      </c>
      <c r="F1772" s="6"/>
      <c r="G1772" s="7" t="s">
        <v>14</v>
      </c>
      <c r="H1772" s="19"/>
      <c r="I1772" s="19"/>
      <c r="J1772" s="19"/>
      <c r="K1772" s="19"/>
      <c r="L1772" s="14">
        <v>3625581</v>
      </c>
      <c r="M1772" s="22">
        <v>45435</v>
      </c>
      <c r="N1772" s="19" t="s">
        <v>196</v>
      </c>
      <c r="O1772" s="19" t="s">
        <v>333</v>
      </c>
      <c r="P1772" s="15">
        <v>42000</v>
      </c>
      <c r="Q1772" s="15">
        <v>49322.6</v>
      </c>
      <c r="R1772" s="15">
        <v>87089500</v>
      </c>
      <c r="S1772" s="15">
        <v>15</v>
      </c>
      <c r="T1772" s="19" t="s">
        <v>306</v>
      </c>
      <c r="U1772" s="19" t="s">
        <v>178</v>
      </c>
      <c r="V1772" s="16">
        <f t="shared" si="357"/>
        <v>7398.3899999999994</v>
      </c>
      <c r="W1772" s="16">
        <f t="shared" si="358"/>
        <v>739.83899999999994</v>
      </c>
      <c r="X1772" s="16">
        <f t="shared" si="359"/>
        <v>8138.2289999999994</v>
      </c>
      <c r="Y1772" s="16">
        <f t="shared" si="360"/>
        <v>0.19376735714285712</v>
      </c>
      <c r="Z1772" s="16">
        <f t="shared" si="361"/>
        <v>1.174347619047619</v>
      </c>
      <c r="AA1772" s="17">
        <f t="shared" si="362"/>
        <v>42000</v>
      </c>
      <c r="AB1772" s="10">
        <v>11520</v>
      </c>
      <c r="AC1772" s="18">
        <f t="shared" si="363"/>
        <v>2232.1999542857138</v>
      </c>
      <c r="AD1772" s="12">
        <f t="shared" si="364"/>
        <v>51936</v>
      </c>
      <c r="AE1772" s="13">
        <v>0</v>
      </c>
    </row>
    <row r="1773" spans="1:31">
      <c r="A1773" s="6">
        <v>19</v>
      </c>
      <c r="B1773" s="6">
        <v>80</v>
      </c>
      <c r="C1773" s="6" t="str">
        <f t="shared" si="356"/>
        <v>666041100AAB Cushion ICAB FI 2 Row C4965464455134500</v>
      </c>
      <c r="D1773" s="21" t="s">
        <v>440</v>
      </c>
      <c r="E1773" s="6" t="s">
        <v>476</v>
      </c>
      <c r="F1773" s="6"/>
      <c r="G1773" s="7" t="s">
        <v>246</v>
      </c>
      <c r="H1773" s="19"/>
      <c r="I1773" s="19"/>
      <c r="J1773" s="19"/>
      <c r="K1773" s="19"/>
      <c r="L1773" s="14">
        <v>4965464</v>
      </c>
      <c r="M1773" s="22">
        <v>45513</v>
      </c>
      <c r="N1773" s="19" t="s">
        <v>336</v>
      </c>
      <c r="O1773" s="19" t="s">
        <v>332</v>
      </c>
      <c r="P1773" s="15">
        <v>4500</v>
      </c>
      <c r="Q1773" s="15">
        <v>3889485.37</v>
      </c>
      <c r="R1773" s="15">
        <v>87089500</v>
      </c>
      <c r="S1773" s="15">
        <v>5</v>
      </c>
      <c r="T1773" s="19" t="s">
        <v>397</v>
      </c>
      <c r="U1773" s="19" t="s">
        <v>178</v>
      </c>
      <c r="V1773" s="16">
        <f t="shared" si="357"/>
        <v>194474.26850000001</v>
      </c>
      <c r="W1773" s="16">
        <f t="shared" si="358"/>
        <v>19447.42685</v>
      </c>
      <c r="X1773" s="16">
        <f t="shared" si="359"/>
        <v>213921.69534999999</v>
      </c>
      <c r="Y1773" s="16">
        <f t="shared" si="360"/>
        <v>47.538154522222221</v>
      </c>
      <c r="Z1773" s="16">
        <f t="shared" si="361"/>
        <v>864.33008222222225</v>
      </c>
      <c r="AA1773" s="17">
        <f t="shared" si="362"/>
        <v>4500</v>
      </c>
      <c r="AB1773" s="10">
        <v>4500</v>
      </c>
      <c r="AC1773" s="18">
        <f t="shared" si="363"/>
        <v>213921.69534999999</v>
      </c>
      <c r="AD1773" s="12">
        <f t="shared" si="364"/>
        <v>4500</v>
      </c>
      <c r="AE1773" s="13">
        <f t="shared" si="365"/>
        <v>0</v>
      </c>
    </row>
    <row r="1774" spans="1:31">
      <c r="A1774" s="6">
        <v>19</v>
      </c>
      <c r="B1774" s="6">
        <v>81</v>
      </c>
      <c r="C1774" s="6" t="str">
        <f t="shared" si="356"/>
        <v>666041100AAB Cushion ICAB FI 2 Row C5246960455305000</v>
      </c>
      <c r="D1774" s="21" t="s">
        <v>440</v>
      </c>
      <c r="E1774" s="6" t="s">
        <v>476</v>
      </c>
      <c r="F1774" s="6"/>
      <c r="G1774" s="7" t="s">
        <v>246</v>
      </c>
      <c r="H1774" s="19"/>
      <c r="I1774" s="19"/>
      <c r="J1774" s="19"/>
      <c r="K1774" s="19"/>
      <c r="L1774" s="14">
        <v>5246960</v>
      </c>
      <c r="M1774" s="22">
        <v>45530</v>
      </c>
      <c r="N1774" s="19" t="s">
        <v>197</v>
      </c>
      <c r="O1774" s="19" t="s">
        <v>333</v>
      </c>
      <c r="P1774" s="15">
        <v>5000</v>
      </c>
      <c r="Q1774" s="15">
        <v>4333293.93</v>
      </c>
      <c r="R1774" s="15">
        <v>87089500</v>
      </c>
      <c r="S1774" s="15">
        <v>5</v>
      </c>
      <c r="T1774" s="19" t="s">
        <v>204</v>
      </c>
      <c r="U1774" s="19" t="s">
        <v>178</v>
      </c>
      <c r="V1774" s="16">
        <f t="shared" si="357"/>
        <v>216664.69649999999</v>
      </c>
      <c r="W1774" s="16">
        <f t="shared" si="358"/>
        <v>21666.469649999999</v>
      </c>
      <c r="X1774" s="16">
        <f t="shared" si="359"/>
        <v>238331.16615</v>
      </c>
      <c r="Y1774" s="16">
        <f t="shared" si="360"/>
        <v>47.666233230000003</v>
      </c>
      <c r="Z1774" s="16">
        <f t="shared" si="361"/>
        <v>866.65878599999996</v>
      </c>
      <c r="AA1774" s="17">
        <f t="shared" si="362"/>
        <v>5000</v>
      </c>
      <c r="AB1774" s="10">
        <v>1068</v>
      </c>
      <c r="AC1774" s="18">
        <f t="shared" si="363"/>
        <v>50907.537089640005</v>
      </c>
      <c r="AD1774" s="12">
        <f t="shared" si="364"/>
        <v>1836</v>
      </c>
      <c r="AE1774" s="13">
        <f t="shared" si="365"/>
        <v>3164</v>
      </c>
    </row>
    <row r="1775" spans="1:31">
      <c r="A1775" s="6">
        <v>19</v>
      </c>
      <c r="B1775" s="6">
        <v>82</v>
      </c>
      <c r="C1775" s="6" t="str">
        <f t="shared" si="356"/>
        <v>640294000AAB INFLATOR, ASP-2, GEN15,4878784455095184</v>
      </c>
      <c r="D1775" s="21" t="s">
        <v>440</v>
      </c>
      <c r="E1775" s="6" t="s">
        <v>475</v>
      </c>
      <c r="F1775" s="6"/>
      <c r="G1775" s="7" t="s">
        <v>244</v>
      </c>
      <c r="H1775" s="19"/>
      <c r="I1775" s="19"/>
      <c r="J1775" s="19"/>
      <c r="K1775" s="19"/>
      <c r="L1775" s="14">
        <v>4878784</v>
      </c>
      <c r="M1775" s="22">
        <v>45509</v>
      </c>
      <c r="N1775" s="19" t="s">
        <v>197</v>
      </c>
      <c r="O1775" s="19" t="s">
        <v>333</v>
      </c>
      <c r="P1775" s="15">
        <v>5184</v>
      </c>
      <c r="Q1775" s="15">
        <v>1366432.91</v>
      </c>
      <c r="R1775" s="15">
        <v>87089500</v>
      </c>
      <c r="S1775" s="15">
        <v>15</v>
      </c>
      <c r="T1775" s="19" t="s">
        <v>428</v>
      </c>
      <c r="U1775" s="19" t="s">
        <v>200</v>
      </c>
      <c r="V1775" s="16">
        <f t="shared" si="357"/>
        <v>204964.93649999998</v>
      </c>
      <c r="W1775" s="16">
        <f t="shared" si="358"/>
        <v>20496.49365</v>
      </c>
      <c r="X1775" s="16">
        <f t="shared" si="359"/>
        <v>225461.43014999997</v>
      </c>
      <c r="Y1775" s="16">
        <f t="shared" si="360"/>
        <v>43.491788223379622</v>
      </c>
      <c r="Z1775" s="16">
        <f t="shared" si="361"/>
        <v>263.58659529320988</v>
      </c>
      <c r="AA1775" s="17">
        <f t="shared" si="362"/>
        <v>5184</v>
      </c>
      <c r="AB1775" s="10">
        <v>5184</v>
      </c>
      <c r="AC1775" s="18">
        <f t="shared" si="363"/>
        <v>225461.43014999997</v>
      </c>
      <c r="AD1775" s="12">
        <f t="shared" si="364"/>
        <v>5184</v>
      </c>
      <c r="AE1775" s="13">
        <f t="shared" si="365"/>
        <v>0</v>
      </c>
    </row>
    <row r="1776" spans="1:31">
      <c r="A1776" s="6">
        <v>19</v>
      </c>
      <c r="B1776" s="6">
        <v>83</v>
      </c>
      <c r="C1776" s="6" t="str">
        <f t="shared" si="356"/>
        <v>640294000AAB INFLATOR, ASP-2, GEN15,5260494455305184</v>
      </c>
      <c r="D1776" s="21" t="s">
        <v>440</v>
      </c>
      <c r="E1776" s="6" t="s">
        <v>475</v>
      </c>
      <c r="F1776" s="6"/>
      <c r="G1776" s="7" t="s">
        <v>244</v>
      </c>
      <c r="H1776" s="19"/>
      <c r="I1776" s="19"/>
      <c r="J1776" s="19"/>
      <c r="K1776" s="19"/>
      <c r="L1776" s="14">
        <v>5260494</v>
      </c>
      <c r="M1776" s="22">
        <v>45530</v>
      </c>
      <c r="N1776" s="19" t="s">
        <v>185</v>
      </c>
      <c r="O1776" s="19" t="s">
        <v>333</v>
      </c>
      <c r="P1776" s="15">
        <v>5184</v>
      </c>
      <c r="Q1776" s="15">
        <v>1370489.82</v>
      </c>
      <c r="R1776" s="15">
        <v>87089500</v>
      </c>
      <c r="S1776" s="15">
        <v>15</v>
      </c>
      <c r="T1776" s="19" t="s">
        <v>388</v>
      </c>
      <c r="U1776" s="19" t="s">
        <v>200</v>
      </c>
      <c r="V1776" s="16">
        <f t="shared" si="357"/>
        <v>205573.473</v>
      </c>
      <c r="W1776" s="16">
        <f t="shared" si="358"/>
        <v>20557.347300000001</v>
      </c>
      <c r="X1776" s="16">
        <f t="shared" si="359"/>
        <v>226130.82029999999</v>
      </c>
      <c r="Y1776" s="16">
        <f t="shared" si="360"/>
        <v>43.620914409722218</v>
      </c>
      <c r="Z1776" s="16">
        <f t="shared" si="361"/>
        <v>264.36917824074078</v>
      </c>
      <c r="AA1776" s="17">
        <f t="shared" si="362"/>
        <v>5184</v>
      </c>
      <c r="AB1776" s="10">
        <v>2160</v>
      </c>
      <c r="AC1776" s="18">
        <f t="shared" si="363"/>
        <v>94221.175124999994</v>
      </c>
      <c r="AD1776" s="12">
        <f t="shared" si="364"/>
        <v>2160</v>
      </c>
      <c r="AE1776" s="13">
        <f t="shared" si="365"/>
        <v>3024</v>
      </c>
    </row>
    <row r="1777" spans="1:31">
      <c r="A1777" s="6">
        <v>19</v>
      </c>
      <c r="B1777" s="6">
        <v>84</v>
      </c>
      <c r="C1777" s="6" t="str">
        <f t="shared" si="356"/>
        <v>654590600ASU2ID STD CUSHION COMPON CVR NON-WOVEN RH3628534454354500</v>
      </c>
      <c r="D1777" s="21" t="s">
        <v>440</v>
      </c>
      <c r="E1777" s="6" t="s">
        <v>78</v>
      </c>
      <c r="F1777" s="6"/>
      <c r="G1777" s="7" t="s">
        <v>38</v>
      </c>
      <c r="H1777" s="19"/>
      <c r="I1777" s="19"/>
      <c r="J1777" s="19"/>
      <c r="K1777" s="19"/>
      <c r="L1777" s="14">
        <v>3628534</v>
      </c>
      <c r="M1777" s="22">
        <v>45435</v>
      </c>
      <c r="N1777" s="19" t="s">
        <v>185</v>
      </c>
      <c r="O1777" s="19" t="s">
        <v>333</v>
      </c>
      <c r="P1777" s="15">
        <v>4500</v>
      </c>
      <c r="Q1777" s="15">
        <v>55334.66</v>
      </c>
      <c r="R1777" s="15">
        <v>87089500</v>
      </c>
      <c r="S1777" s="15">
        <v>5</v>
      </c>
      <c r="T1777" s="19" t="s">
        <v>346</v>
      </c>
      <c r="U1777" s="19" t="s">
        <v>178</v>
      </c>
      <c r="V1777" s="16">
        <f t="shared" si="357"/>
        <v>2766.7330000000002</v>
      </c>
      <c r="W1777" s="16">
        <f t="shared" si="358"/>
        <v>276.67330000000004</v>
      </c>
      <c r="X1777" s="16">
        <f t="shared" si="359"/>
        <v>3043.4063000000001</v>
      </c>
      <c r="Y1777" s="16">
        <f t="shared" si="360"/>
        <v>0.67631251111111113</v>
      </c>
      <c r="Z1777" s="16">
        <f t="shared" si="361"/>
        <v>12.296591111111113</v>
      </c>
      <c r="AA1777" s="17">
        <f t="shared" si="362"/>
        <v>4500</v>
      </c>
      <c r="AB1777" s="10">
        <v>3600</v>
      </c>
      <c r="AC1777" s="18">
        <f t="shared" si="363"/>
        <v>2434.7250400000003</v>
      </c>
      <c r="AD1777" s="12">
        <f t="shared" si="364"/>
        <v>4500</v>
      </c>
      <c r="AE1777" s="13">
        <f t="shared" si="365"/>
        <v>0</v>
      </c>
    </row>
    <row r="1778" spans="1:31">
      <c r="A1778" s="6">
        <v>19</v>
      </c>
      <c r="B1778" s="6">
        <v>85</v>
      </c>
      <c r="C1778" s="6" t="str">
        <f t="shared" si="356"/>
        <v>655116100ALABEL, BLANK, 50.0, 25.0  LABEL, BLANK, 2PCS, 50X41192064546436000</v>
      </c>
      <c r="D1778" s="21" t="s">
        <v>440</v>
      </c>
      <c r="E1778" s="6" t="s">
        <v>49</v>
      </c>
      <c r="F1778" s="6"/>
      <c r="G1778" s="7" t="s">
        <v>11</v>
      </c>
      <c r="H1778" s="19"/>
      <c r="I1778" s="19"/>
      <c r="J1778" s="19"/>
      <c r="K1778" s="19"/>
      <c r="L1778" s="14">
        <v>4119206</v>
      </c>
      <c r="M1778" s="22">
        <v>45464</v>
      </c>
      <c r="N1778" s="19" t="s">
        <v>196</v>
      </c>
      <c r="O1778" s="19" t="s">
        <v>333</v>
      </c>
      <c r="P1778" s="15">
        <v>36000</v>
      </c>
      <c r="Q1778" s="15">
        <v>105411.91</v>
      </c>
      <c r="R1778" s="15">
        <v>87089500</v>
      </c>
      <c r="S1778" s="15">
        <v>15</v>
      </c>
      <c r="T1778" s="19" t="s">
        <v>303</v>
      </c>
      <c r="U1778" s="19" t="s">
        <v>178</v>
      </c>
      <c r="V1778" s="16">
        <f t="shared" si="357"/>
        <v>15811.7865</v>
      </c>
      <c r="W1778" s="16">
        <f t="shared" si="358"/>
        <v>1581.1786500000001</v>
      </c>
      <c r="X1778" s="16">
        <f t="shared" si="359"/>
        <v>17392.96515</v>
      </c>
      <c r="Y1778" s="16">
        <f t="shared" si="360"/>
        <v>0.48313792083333335</v>
      </c>
      <c r="Z1778" s="16">
        <f t="shared" si="361"/>
        <v>2.9281086111111114</v>
      </c>
      <c r="AA1778" s="17">
        <f t="shared" si="362"/>
        <v>36000</v>
      </c>
      <c r="AB1778" s="10">
        <v>9531</v>
      </c>
      <c r="AC1778" s="18">
        <f t="shared" si="363"/>
        <v>4604.7875234624998</v>
      </c>
      <c r="AD1778" s="12">
        <f t="shared" si="364"/>
        <v>35703</v>
      </c>
      <c r="AE1778" s="13">
        <f t="shared" si="365"/>
        <v>297</v>
      </c>
    </row>
    <row r="1779" spans="1:31">
      <c r="A1779" s="6">
        <v>19</v>
      </c>
      <c r="B1779" s="6">
        <v>86</v>
      </c>
      <c r="C1779" s="6" t="str">
        <f t="shared" si="356"/>
        <v>655226900AINFLATOR APP-4.6, 325KPA 1.8MOL, STANDARD MIB SQU5199144455275184</v>
      </c>
      <c r="D1779" s="21" t="s">
        <v>440</v>
      </c>
      <c r="E1779" s="6" t="s">
        <v>130</v>
      </c>
      <c r="F1779" s="6"/>
      <c r="G1779" s="7" t="s">
        <v>102</v>
      </c>
      <c r="H1779" s="19"/>
      <c r="I1779" s="19"/>
      <c r="J1779" s="19"/>
      <c r="K1779" s="19"/>
      <c r="L1779" s="14">
        <v>5199144</v>
      </c>
      <c r="M1779" s="22">
        <v>45527</v>
      </c>
      <c r="N1779" s="19" t="s">
        <v>197</v>
      </c>
      <c r="O1779" s="19" t="s">
        <v>333</v>
      </c>
      <c r="P1779" s="15">
        <v>5184</v>
      </c>
      <c r="Q1779" s="15">
        <v>2200019.62</v>
      </c>
      <c r="R1779" s="15">
        <v>87089500</v>
      </c>
      <c r="S1779" s="15">
        <v>15</v>
      </c>
      <c r="T1779" s="19" t="s">
        <v>428</v>
      </c>
      <c r="U1779" s="19" t="s">
        <v>200</v>
      </c>
      <c r="V1779" s="16">
        <f t="shared" si="357"/>
        <v>330002.94300000003</v>
      </c>
      <c r="W1779" s="16">
        <f t="shared" si="358"/>
        <v>33000.294300000001</v>
      </c>
      <c r="X1779" s="16">
        <f t="shared" si="359"/>
        <v>363003.23730000004</v>
      </c>
      <c r="Y1779" s="16">
        <f t="shared" si="360"/>
        <v>70.023772627314827</v>
      </c>
      <c r="Z1779" s="16">
        <f t="shared" si="361"/>
        <v>424.38650077160497</v>
      </c>
      <c r="AA1779" s="17">
        <f t="shared" si="362"/>
        <v>5184</v>
      </c>
      <c r="AB1779" s="10">
        <v>5184</v>
      </c>
      <c r="AC1779" s="18">
        <f t="shared" si="363"/>
        <v>363003.23730000004</v>
      </c>
      <c r="AD1779" s="12">
        <f t="shared" si="364"/>
        <v>5184</v>
      </c>
      <c r="AE1779" s="13">
        <f t="shared" si="365"/>
        <v>0</v>
      </c>
    </row>
    <row r="1780" spans="1:31">
      <c r="A1780" s="6">
        <v>19</v>
      </c>
      <c r="B1780" s="6">
        <v>87</v>
      </c>
      <c r="C1780" s="6" t="str">
        <f t="shared" si="356"/>
        <v>655226900AINFLATOR APP-4.6, 325KPA 1.8MOL, STANDARD MIB SQU5260494455308640</v>
      </c>
      <c r="D1780" s="21" t="s">
        <v>440</v>
      </c>
      <c r="E1780" s="6" t="s">
        <v>130</v>
      </c>
      <c r="F1780" s="6"/>
      <c r="G1780" s="7" t="s">
        <v>102</v>
      </c>
      <c r="H1780" s="19"/>
      <c r="I1780" s="19"/>
      <c r="J1780" s="19"/>
      <c r="K1780" s="19"/>
      <c r="L1780" s="14">
        <v>5260494</v>
      </c>
      <c r="M1780" s="22">
        <v>45530</v>
      </c>
      <c r="N1780" s="19" t="s">
        <v>185</v>
      </c>
      <c r="O1780" s="19" t="s">
        <v>333</v>
      </c>
      <c r="P1780" s="15">
        <v>8640</v>
      </c>
      <c r="Q1780" s="15">
        <v>3662382.41</v>
      </c>
      <c r="R1780" s="15">
        <v>87089500</v>
      </c>
      <c r="S1780" s="15">
        <v>15</v>
      </c>
      <c r="T1780" s="19" t="s">
        <v>388</v>
      </c>
      <c r="U1780" s="19" t="s">
        <v>200</v>
      </c>
      <c r="V1780" s="16">
        <f t="shared" si="357"/>
        <v>549357.3615</v>
      </c>
      <c r="W1780" s="16">
        <f t="shared" si="358"/>
        <v>54935.736150000004</v>
      </c>
      <c r="X1780" s="16">
        <f t="shared" si="359"/>
        <v>604293.09765000001</v>
      </c>
      <c r="Y1780" s="16">
        <f t="shared" si="360"/>
        <v>69.941330746527782</v>
      </c>
      <c r="Z1780" s="16">
        <f t="shared" si="361"/>
        <v>423.88685300925926</v>
      </c>
      <c r="AA1780" s="17">
        <f t="shared" si="362"/>
        <v>8640</v>
      </c>
      <c r="AB1780" s="10">
        <v>4347</v>
      </c>
      <c r="AC1780" s="18">
        <f t="shared" si="363"/>
        <v>304034.96475515625</v>
      </c>
      <c r="AD1780" s="12">
        <f t="shared" si="364"/>
        <v>4347</v>
      </c>
      <c r="AE1780" s="13">
        <f t="shared" si="365"/>
        <v>4293</v>
      </c>
    </row>
    <row r="1781" spans="1:31">
      <c r="A1781" s="6">
        <v>19</v>
      </c>
      <c r="B1781" s="6">
        <v>88</v>
      </c>
      <c r="C1781" s="6" t="str">
        <f t="shared" si="356"/>
        <v>642837500BLABEL, BLANK, BAR CODE423110045471100000</v>
      </c>
      <c r="D1781" s="21" t="s">
        <v>440</v>
      </c>
      <c r="E1781" s="6" t="s">
        <v>478</v>
      </c>
      <c r="F1781" s="6"/>
      <c r="G1781" s="7" t="s">
        <v>369</v>
      </c>
      <c r="H1781" s="19"/>
      <c r="I1781" s="19"/>
      <c r="J1781" s="19"/>
      <c r="K1781" s="19"/>
      <c r="L1781" s="14">
        <v>4231100</v>
      </c>
      <c r="M1781" s="22">
        <v>45471</v>
      </c>
      <c r="N1781" s="19" t="s">
        <v>196</v>
      </c>
      <c r="O1781" s="19" t="s">
        <v>333</v>
      </c>
      <c r="P1781" s="15">
        <v>100000</v>
      </c>
      <c r="Q1781" s="15">
        <v>17200.07</v>
      </c>
      <c r="R1781" s="15">
        <v>87089500</v>
      </c>
      <c r="S1781" s="15">
        <v>15</v>
      </c>
      <c r="T1781" s="19" t="s">
        <v>351</v>
      </c>
      <c r="U1781" s="19" t="s">
        <v>178</v>
      </c>
      <c r="V1781" s="16">
        <f t="shared" si="357"/>
        <v>2580.0104999999999</v>
      </c>
      <c r="W1781" s="16">
        <f t="shared" si="358"/>
        <v>258.00105000000002</v>
      </c>
      <c r="X1781" s="16">
        <f t="shared" si="359"/>
        <v>2838.0115499999997</v>
      </c>
      <c r="Y1781" s="16">
        <f t="shared" si="360"/>
        <v>2.8380115499999997E-2</v>
      </c>
      <c r="Z1781" s="16">
        <f t="shared" si="361"/>
        <v>0.17200070000000001</v>
      </c>
      <c r="AA1781" s="17">
        <f t="shared" si="362"/>
        <v>100000</v>
      </c>
      <c r="AB1781" s="10">
        <v>32886</v>
      </c>
      <c r="AC1781" s="18">
        <f t="shared" si="363"/>
        <v>933.30847833299993</v>
      </c>
      <c r="AD1781" s="12">
        <f t="shared" si="364"/>
        <v>84578</v>
      </c>
      <c r="AE1781" s="13">
        <f t="shared" si="365"/>
        <v>15422</v>
      </c>
    </row>
    <row r="1782" spans="1:31">
      <c r="A1782" s="6">
        <v>19</v>
      </c>
      <c r="B1782" s="6">
        <v>89</v>
      </c>
      <c r="C1782" s="6" t="str">
        <f t="shared" si="356"/>
        <v>661147800BMetal Emblem, HMC,50000444551511520</v>
      </c>
      <c r="D1782" s="21" t="s">
        <v>440</v>
      </c>
      <c r="E1782" s="6" t="s">
        <v>479</v>
      </c>
      <c r="F1782" s="6"/>
      <c r="G1782" s="7" t="s">
        <v>395</v>
      </c>
      <c r="H1782" s="19"/>
      <c r="I1782" s="19"/>
      <c r="J1782" s="19"/>
      <c r="K1782" s="19"/>
      <c r="L1782" s="14">
        <v>5000044</v>
      </c>
      <c r="M1782" s="22">
        <v>45515</v>
      </c>
      <c r="N1782" s="19" t="s">
        <v>196</v>
      </c>
      <c r="O1782" s="19" t="s">
        <v>333</v>
      </c>
      <c r="P1782" s="15">
        <v>11520</v>
      </c>
      <c r="Q1782" s="15">
        <v>3636959.67</v>
      </c>
      <c r="R1782" s="15">
        <v>87089500</v>
      </c>
      <c r="S1782" s="15">
        <v>15</v>
      </c>
      <c r="T1782" s="19" t="s">
        <v>398</v>
      </c>
      <c r="U1782" s="19" t="s">
        <v>178</v>
      </c>
      <c r="V1782" s="16">
        <f t="shared" si="357"/>
        <v>545543.95049999992</v>
      </c>
      <c r="W1782" s="16">
        <f t="shared" si="358"/>
        <v>54554.395049999992</v>
      </c>
      <c r="X1782" s="16">
        <f t="shared" si="359"/>
        <v>600098.34554999997</v>
      </c>
      <c r="Y1782" s="16">
        <f t="shared" si="360"/>
        <v>52.0918702734375</v>
      </c>
      <c r="Z1782" s="16">
        <f t="shared" si="361"/>
        <v>315.7083046875</v>
      </c>
      <c r="AA1782" s="17">
        <f t="shared" si="362"/>
        <v>11520</v>
      </c>
      <c r="AB1782" s="10">
        <v>6912</v>
      </c>
      <c r="AC1782" s="18">
        <f t="shared" si="363"/>
        <v>360059.00732999999</v>
      </c>
      <c r="AD1782" s="12">
        <f t="shared" si="364"/>
        <v>6912</v>
      </c>
      <c r="AE1782" s="13">
        <f t="shared" si="365"/>
        <v>4608</v>
      </c>
    </row>
    <row r="1783" spans="1:31">
      <c r="A1783" s="6">
        <v>20</v>
      </c>
      <c r="B1783" s="6">
        <v>1</v>
      </c>
      <c r="C1783" s="6" t="str">
        <f t="shared" si="356"/>
        <v>655818900BACTUATOR VIBRATION MOTOR ASSY WITH BRACKET BC3 CU88270964572714400</v>
      </c>
      <c r="D1783" s="23" t="s">
        <v>445</v>
      </c>
      <c r="E1783" s="6" t="s">
        <v>156</v>
      </c>
      <c r="F1783" s="6"/>
      <c r="G1783" s="7" t="s">
        <v>133</v>
      </c>
      <c r="H1783" s="19"/>
      <c r="I1783" s="19"/>
      <c r="J1783" s="19"/>
      <c r="K1783" s="19"/>
      <c r="L1783" s="14">
        <v>8827096</v>
      </c>
      <c r="M1783" s="22">
        <v>45727</v>
      </c>
      <c r="N1783" s="19" t="s">
        <v>189</v>
      </c>
      <c r="O1783" s="19" t="s">
        <v>333</v>
      </c>
      <c r="P1783" s="15">
        <v>14400</v>
      </c>
      <c r="Q1783" s="15">
        <v>5029739.59</v>
      </c>
      <c r="R1783" s="15">
        <v>87089400</v>
      </c>
      <c r="S1783" s="15">
        <v>15</v>
      </c>
      <c r="T1783" s="19" t="s">
        <v>376</v>
      </c>
      <c r="U1783" s="19" t="s">
        <v>178</v>
      </c>
      <c r="V1783" s="16">
        <f t="shared" ref="V1783" si="366">Q1783*S1783%</f>
        <v>754460.93849999993</v>
      </c>
      <c r="W1783" s="16">
        <f t="shared" ref="W1783" si="367">V1783*0.1</f>
        <v>75446.09384999999</v>
      </c>
      <c r="X1783" s="16">
        <f t="shared" ref="X1783" si="368">V1783+W1783</f>
        <v>829907.03234999988</v>
      </c>
      <c r="Y1783" s="16">
        <f t="shared" ref="Y1783" si="369">X1783/P1783</f>
        <v>57.632432802083322</v>
      </c>
      <c r="Z1783" s="16">
        <f t="shared" ref="Z1783" si="370">Q1783/P1783</f>
        <v>349.28747152777777</v>
      </c>
      <c r="AA1783" s="17">
        <f t="shared" ref="AA1783" si="371">P1783</f>
        <v>14400</v>
      </c>
      <c r="AB1783" s="10">
        <v>14400</v>
      </c>
      <c r="AC1783" s="18">
        <f t="shared" ref="AC1783" si="372">AB1783*Y1783</f>
        <v>829907.03234999988</v>
      </c>
      <c r="AD1783" s="12">
        <f t="shared" si="364"/>
        <v>14400</v>
      </c>
      <c r="AE1783" s="13">
        <f t="shared" ref="AE1783" si="373">AA1783-AD1783</f>
        <v>0</v>
      </c>
    </row>
    <row r="1784" spans="1:31">
      <c r="A1784" s="6">
        <v>20</v>
      </c>
      <c r="B1784" s="6">
        <v>2</v>
      </c>
      <c r="C1784" s="6" t="str">
        <f t="shared" si="356"/>
        <v>654590600ASU2ID STD CUSHION COMPON CVR NON-WOVEN RH946160045759900</v>
      </c>
      <c r="D1784" s="23" t="s">
        <v>445</v>
      </c>
      <c r="E1784" s="6" t="s">
        <v>78</v>
      </c>
      <c r="F1784" s="6"/>
      <c r="G1784" s="7" t="s">
        <v>38</v>
      </c>
      <c r="H1784" s="19"/>
      <c r="I1784" s="19"/>
      <c r="J1784" s="19"/>
      <c r="K1784" s="19"/>
      <c r="L1784" s="14">
        <v>9461600</v>
      </c>
      <c r="M1784" s="22">
        <v>45759</v>
      </c>
      <c r="N1784" s="19" t="s">
        <v>196</v>
      </c>
      <c r="O1784" s="19" t="s">
        <v>333</v>
      </c>
      <c r="P1784" s="15">
        <v>900</v>
      </c>
      <c r="Q1784" s="15">
        <v>12469.36</v>
      </c>
      <c r="R1784" s="15">
        <v>87089500</v>
      </c>
      <c r="S1784" s="15">
        <v>15</v>
      </c>
      <c r="T1784" s="19" t="s">
        <v>227</v>
      </c>
      <c r="U1784" s="19" t="s">
        <v>178</v>
      </c>
      <c r="V1784" s="16">
        <f t="shared" ref="V1784:V1847" si="374">Q1784*S1784%</f>
        <v>1870.404</v>
      </c>
      <c r="W1784" s="16">
        <f t="shared" ref="W1784:W1847" si="375">V1784*0.1</f>
        <v>187.04040000000001</v>
      </c>
      <c r="X1784" s="16">
        <f t="shared" ref="X1784:X1847" si="376">V1784+W1784</f>
        <v>2057.4443999999999</v>
      </c>
      <c r="Y1784" s="16">
        <f t="shared" ref="Y1784:Y1847" si="377">X1784/P1784</f>
        <v>2.2860493333333332</v>
      </c>
      <c r="Z1784" s="16">
        <f t="shared" ref="Z1784:Z1847" si="378">Q1784/P1784</f>
        <v>13.854844444444446</v>
      </c>
      <c r="AA1784" s="17">
        <f t="shared" ref="AA1784:AA1847" si="379">P1784</f>
        <v>900</v>
      </c>
      <c r="AB1784" s="10">
        <v>900</v>
      </c>
      <c r="AC1784" s="18">
        <f t="shared" ref="AC1784:AC1847" si="380">AB1784*Y1784</f>
        <v>2057.4443999999999</v>
      </c>
      <c r="AD1784" s="12">
        <f t="shared" si="364"/>
        <v>900</v>
      </c>
      <c r="AE1784" s="13">
        <f t="shared" ref="AE1784:AE1847" si="381">AA1784-AD1784</f>
        <v>0</v>
      </c>
    </row>
    <row r="1785" spans="1:31">
      <c r="A1785" s="6">
        <v>20</v>
      </c>
      <c r="B1785" s="6">
        <v>3</v>
      </c>
      <c r="C1785" s="6" t="str">
        <f t="shared" si="356"/>
        <v>654590600ASU2ID STD CUSHION COMPON CVR NON-WOVEN RH9548023457641800</v>
      </c>
      <c r="D1785" s="23" t="s">
        <v>445</v>
      </c>
      <c r="E1785" s="6" t="s">
        <v>78</v>
      </c>
      <c r="F1785" s="6"/>
      <c r="G1785" s="7" t="s">
        <v>38</v>
      </c>
      <c r="H1785" s="19"/>
      <c r="I1785" s="19"/>
      <c r="J1785" s="19"/>
      <c r="K1785" s="19"/>
      <c r="L1785" s="14">
        <v>9548023</v>
      </c>
      <c r="M1785" s="22">
        <v>45764</v>
      </c>
      <c r="N1785" s="19" t="s">
        <v>185</v>
      </c>
      <c r="O1785" s="19" t="s">
        <v>333</v>
      </c>
      <c r="P1785" s="15">
        <v>1800</v>
      </c>
      <c r="Q1785" s="15">
        <v>22595.200000000001</v>
      </c>
      <c r="R1785" s="15">
        <v>87089500</v>
      </c>
      <c r="S1785" s="15">
        <v>5</v>
      </c>
      <c r="T1785" s="19" t="s">
        <v>441</v>
      </c>
      <c r="U1785" s="19" t="s">
        <v>178</v>
      </c>
      <c r="V1785" s="16">
        <f t="shared" si="374"/>
        <v>1129.76</v>
      </c>
      <c r="W1785" s="16">
        <f t="shared" si="375"/>
        <v>112.976</v>
      </c>
      <c r="X1785" s="16">
        <f t="shared" si="376"/>
        <v>1242.7359999999999</v>
      </c>
      <c r="Y1785" s="16">
        <f t="shared" si="377"/>
        <v>0.69040888888888885</v>
      </c>
      <c r="Z1785" s="16">
        <f t="shared" si="378"/>
        <v>12.552888888888889</v>
      </c>
      <c r="AA1785" s="17">
        <f t="shared" si="379"/>
        <v>1800</v>
      </c>
      <c r="AB1785" s="10">
        <v>1800</v>
      </c>
      <c r="AC1785" s="18">
        <f t="shared" si="380"/>
        <v>1242.7359999999999</v>
      </c>
      <c r="AD1785" s="12">
        <f t="shared" si="364"/>
        <v>1800</v>
      </c>
      <c r="AE1785" s="13">
        <f t="shared" si="381"/>
        <v>0</v>
      </c>
    </row>
    <row r="1786" spans="1:31">
      <c r="A1786" s="6">
        <v>20</v>
      </c>
      <c r="B1786" s="6">
        <v>4</v>
      </c>
      <c r="C1786" s="6" t="str">
        <f t="shared" si="356"/>
        <v>654590600ASU2ID STD CUSHION COMPON CVR NON-WOVEN RH233640045805900</v>
      </c>
      <c r="D1786" s="23" t="s">
        <v>445</v>
      </c>
      <c r="E1786" s="6" t="s">
        <v>78</v>
      </c>
      <c r="F1786" s="6"/>
      <c r="G1786" s="7" t="s">
        <v>38</v>
      </c>
      <c r="H1786" s="19"/>
      <c r="I1786" s="19"/>
      <c r="J1786" s="19"/>
      <c r="K1786" s="19"/>
      <c r="L1786" s="14">
        <v>2336400</v>
      </c>
      <c r="M1786" s="22">
        <v>45805</v>
      </c>
      <c r="N1786" s="19" t="s">
        <v>196</v>
      </c>
      <c r="O1786" s="19" t="s">
        <v>333</v>
      </c>
      <c r="P1786" s="15">
        <v>900</v>
      </c>
      <c r="Q1786" s="15">
        <v>12440.35</v>
      </c>
      <c r="R1786" s="15">
        <v>87089500</v>
      </c>
      <c r="S1786" s="15">
        <v>15</v>
      </c>
      <c r="T1786" s="19" t="s">
        <v>227</v>
      </c>
      <c r="U1786" s="19" t="s">
        <v>178</v>
      </c>
      <c r="V1786" s="16">
        <f t="shared" si="374"/>
        <v>1866.0525</v>
      </c>
      <c r="W1786" s="16">
        <f t="shared" si="375"/>
        <v>186.60525000000001</v>
      </c>
      <c r="X1786" s="16">
        <f t="shared" si="376"/>
        <v>2052.6577499999999</v>
      </c>
      <c r="Y1786" s="16">
        <f t="shared" si="377"/>
        <v>2.2807308333333332</v>
      </c>
      <c r="Z1786" s="16">
        <f t="shared" si="378"/>
        <v>13.822611111111112</v>
      </c>
      <c r="AA1786" s="17">
        <f t="shared" si="379"/>
        <v>900</v>
      </c>
      <c r="AB1786" s="10">
        <v>900</v>
      </c>
      <c r="AC1786" s="18">
        <f t="shared" si="380"/>
        <v>2052.6577499999999</v>
      </c>
      <c r="AD1786" s="12">
        <f t="shared" si="364"/>
        <v>900</v>
      </c>
      <c r="AE1786" s="13">
        <f t="shared" si="381"/>
        <v>0</v>
      </c>
    </row>
    <row r="1787" spans="1:31">
      <c r="A1787" s="6">
        <v>20</v>
      </c>
      <c r="B1787" s="6">
        <v>5</v>
      </c>
      <c r="C1787" s="6" t="str">
        <f t="shared" si="356"/>
        <v>654590800ACUSHION COMPONENTS CVR NON-WOVEN RH SU2ID2306244458042700</v>
      </c>
      <c r="D1787" s="23" t="s">
        <v>445</v>
      </c>
      <c r="E1787" s="6" t="s">
        <v>480</v>
      </c>
      <c r="F1787" s="6"/>
      <c r="G1787" s="7" t="s">
        <v>396</v>
      </c>
      <c r="H1787" s="19"/>
      <c r="I1787" s="19"/>
      <c r="J1787" s="19"/>
      <c r="K1787" s="19"/>
      <c r="L1787" s="14">
        <v>2306244</v>
      </c>
      <c r="M1787" s="22">
        <v>45804</v>
      </c>
      <c r="N1787" s="19" t="s">
        <v>185</v>
      </c>
      <c r="O1787" s="19" t="s">
        <v>333</v>
      </c>
      <c r="P1787" s="15">
        <v>2700</v>
      </c>
      <c r="Q1787" s="15">
        <v>32304.639999999999</v>
      </c>
      <c r="R1787" s="15">
        <v>87089500</v>
      </c>
      <c r="S1787" s="15">
        <v>5</v>
      </c>
      <c r="T1787" s="19" t="s">
        <v>441</v>
      </c>
      <c r="U1787" s="19" t="s">
        <v>178</v>
      </c>
      <c r="V1787" s="16">
        <f t="shared" si="374"/>
        <v>1615.232</v>
      </c>
      <c r="W1787" s="16">
        <f t="shared" si="375"/>
        <v>161.5232</v>
      </c>
      <c r="X1787" s="16">
        <f t="shared" si="376"/>
        <v>1776.7552000000001</v>
      </c>
      <c r="Y1787" s="16">
        <f t="shared" si="377"/>
        <v>0.65805748148148147</v>
      </c>
      <c r="Z1787" s="16">
        <f t="shared" si="378"/>
        <v>11.964681481481481</v>
      </c>
      <c r="AA1787" s="17">
        <f t="shared" si="379"/>
        <v>2700</v>
      </c>
      <c r="AB1787" s="10">
        <v>2700</v>
      </c>
      <c r="AC1787" s="18">
        <f t="shared" si="380"/>
        <v>1776.7552000000001</v>
      </c>
      <c r="AD1787" s="12">
        <f t="shared" si="364"/>
        <v>2700</v>
      </c>
      <c r="AE1787" s="13">
        <f t="shared" si="381"/>
        <v>0</v>
      </c>
    </row>
    <row r="1788" spans="1:31">
      <c r="A1788" s="6">
        <v>20</v>
      </c>
      <c r="B1788" s="6">
        <v>6</v>
      </c>
      <c r="C1788" s="6" t="str">
        <f t="shared" si="356"/>
        <v>654590800ACUSHION COMPONENTS CVR NON-WOVEN RH SU2ID2422733458103600</v>
      </c>
      <c r="D1788" s="23" t="s">
        <v>445</v>
      </c>
      <c r="E1788" s="6" t="s">
        <v>480</v>
      </c>
      <c r="F1788" s="6"/>
      <c r="G1788" s="7" t="s">
        <v>396</v>
      </c>
      <c r="H1788" s="19"/>
      <c r="I1788" s="19"/>
      <c r="J1788" s="19"/>
      <c r="K1788" s="19"/>
      <c r="L1788" s="14">
        <v>2422733</v>
      </c>
      <c r="M1788" s="22">
        <v>45810</v>
      </c>
      <c r="N1788" s="19" t="s">
        <v>185</v>
      </c>
      <c r="O1788" s="19" t="s">
        <v>333</v>
      </c>
      <c r="P1788" s="15">
        <v>3600</v>
      </c>
      <c r="Q1788" s="15">
        <v>46480.73</v>
      </c>
      <c r="R1788" s="15">
        <v>87089500</v>
      </c>
      <c r="S1788" s="15">
        <v>5</v>
      </c>
      <c r="T1788" s="19" t="s">
        <v>441</v>
      </c>
      <c r="U1788" s="19" t="s">
        <v>178</v>
      </c>
      <c r="V1788" s="16">
        <f t="shared" si="374"/>
        <v>2324.0365000000002</v>
      </c>
      <c r="W1788" s="16">
        <f t="shared" si="375"/>
        <v>232.40365000000003</v>
      </c>
      <c r="X1788" s="16">
        <f t="shared" si="376"/>
        <v>2556.4401500000004</v>
      </c>
      <c r="Y1788" s="16">
        <f t="shared" si="377"/>
        <v>0.71012226388888899</v>
      </c>
      <c r="Z1788" s="16">
        <f t="shared" si="378"/>
        <v>12.911313888888889</v>
      </c>
      <c r="AA1788" s="17">
        <f t="shared" si="379"/>
        <v>3600</v>
      </c>
      <c r="AB1788" s="10">
        <v>1332</v>
      </c>
      <c r="AC1788" s="18">
        <f t="shared" si="380"/>
        <v>945.88285550000012</v>
      </c>
      <c r="AD1788" s="12">
        <f t="shared" si="364"/>
        <v>1332</v>
      </c>
      <c r="AE1788" s="13">
        <f t="shared" si="381"/>
        <v>2268</v>
      </c>
    </row>
    <row r="1789" spans="1:31">
      <c r="A1789" s="6">
        <v>20</v>
      </c>
      <c r="B1789" s="6">
        <v>7</v>
      </c>
      <c r="C1789" s="6" t="str">
        <f t="shared" si="356"/>
        <v>652466500ALEATHER, HIDE TOP GRAIN, OBSIDIAN BLACK, NNB, BLA921894945748562.08</v>
      </c>
      <c r="D1789" s="23" t="s">
        <v>445</v>
      </c>
      <c r="E1789" s="6" t="s">
        <v>163</v>
      </c>
      <c r="F1789" s="6"/>
      <c r="G1789" s="7" t="s">
        <v>141</v>
      </c>
      <c r="H1789" s="19"/>
      <c r="I1789" s="19"/>
      <c r="J1789" s="19"/>
      <c r="K1789" s="19"/>
      <c r="L1789" s="14">
        <v>9218949</v>
      </c>
      <c r="M1789" s="22">
        <v>45748</v>
      </c>
      <c r="N1789" s="19" t="s">
        <v>190</v>
      </c>
      <c r="O1789" s="19" t="s">
        <v>383</v>
      </c>
      <c r="P1789" s="15">
        <v>562.08000000000004</v>
      </c>
      <c r="Q1789" s="15">
        <v>1243394.98</v>
      </c>
      <c r="R1789" s="15">
        <v>41071200</v>
      </c>
      <c r="S1789" s="15">
        <v>0</v>
      </c>
      <c r="T1789" s="19" t="s">
        <v>442</v>
      </c>
      <c r="U1789" s="19" t="s">
        <v>178</v>
      </c>
      <c r="V1789" s="16">
        <f t="shared" si="374"/>
        <v>0</v>
      </c>
      <c r="W1789" s="16">
        <f t="shared" si="375"/>
        <v>0</v>
      </c>
      <c r="X1789" s="16">
        <f t="shared" si="376"/>
        <v>0</v>
      </c>
      <c r="Y1789" s="16">
        <f t="shared" si="377"/>
        <v>0</v>
      </c>
      <c r="Z1789" s="16">
        <f t="shared" si="378"/>
        <v>2212.1316894392257</v>
      </c>
      <c r="AA1789" s="17">
        <f t="shared" si="379"/>
        <v>562.08000000000004</v>
      </c>
      <c r="AB1789" s="10">
        <v>562.08000000000004</v>
      </c>
      <c r="AC1789" s="18">
        <f t="shared" si="380"/>
        <v>0</v>
      </c>
      <c r="AD1789" s="12">
        <f t="shared" si="364"/>
        <v>562.08000000000004</v>
      </c>
      <c r="AE1789" s="13">
        <f t="shared" si="381"/>
        <v>0</v>
      </c>
    </row>
    <row r="1790" spans="1:31">
      <c r="A1790" s="6">
        <v>20</v>
      </c>
      <c r="B1790" s="6">
        <v>8</v>
      </c>
      <c r="C1790" s="6" t="str">
        <f t="shared" si="356"/>
        <v>652466500ALEATHER, HIDE TOP GRAIN, OBSIDIAN BLACK, NNB, BLA921894945748555.9</v>
      </c>
      <c r="D1790" s="23" t="s">
        <v>445</v>
      </c>
      <c r="E1790" s="6" t="s">
        <v>163</v>
      </c>
      <c r="F1790" s="6"/>
      <c r="G1790" s="7" t="s">
        <v>141</v>
      </c>
      <c r="H1790" s="19"/>
      <c r="I1790" s="19"/>
      <c r="J1790" s="19"/>
      <c r="K1790" s="19"/>
      <c r="L1790" s="14">
        <v>9218949</v>
      </c>
      <c r="M1790" s="22">
        <v>45748</v>
      </c>
      <c r="N1790" s="19" t="s">
        <v>190</v>
      </c>
      <c r="O1790" s="19" t="s">
        <v>383</v>
      </c>
      <c r="P1790" s="15">
        <v>555.9</v>
      </c>
      <c r="Q1790" s="15">
        <v>1229724.01</v>
      </c>
      <c r="R1790" s="15">
        <v>41071200</v>
      </c>
      <c r="S1790" s="15">
        <v>0</v>
      </c>
      <c r="T1790" s="19" t="s">
        <v>442</v>
      </c>
      <c r="U1790" s="19" t="s">
        <v>178</v>
      </c>
      <c r="V1790" s="16">
        <f t="shared" si="374"/>
        <v>0</v>
      </c>
      <c r="W1790" s="16">
        <f t="shared" si="375"/>
        <v>0</v>
      </c>
      <c r="X1790" s="16">
        <f t="shared" si="376"/>
        <v>0</v>
      </c>
      <c r="Y1790" s="16">
        <f t="shared" si="377"/>
        <v>0</v>
      </c>
      <c r="Z1790" s="16">
        <f t="shared" si="378"/>
        <v>2212.1316963482641</v>
      </c>
      <c r="AA1790" s="17">
        <f t="shared" si="379"/>
        <v>555.9</v>
      </c>
      <c r="AB1790" s="10">
        <v>555.9</v>
      </c>
      <c r="AC1790" s="18">
        <f t="shared" si="380"/>
        <v>0</v>
      </c>
      <c r="AD1790" s="12">
        <f t="shared" si="364"/>
        <v>555.9</v>
      </c>
      <c r="AE1790" s="13">
        <f t="shared" si="381"/>
        <v>0</v>
      </c>
    </row>
    <row r="1791" spans="1:31">
      <c r="A1791" s="6">
        <v>20</v>
      </c>
      <c r="B1791" s="6">
        <v>9</v>
      </c>
      <c r="C1791" s="6" t="str">
        <f t="shared" si="356"/>
        <v>652466500ALEATHER, HIDE TOP GRAIN, OBSIDIAN BLACK, NNB, BLA921894945748572.84</v>
      </c>
      <c r="D1791" s="23" t="s">
        <v>445</v>
      </c>
      <c r="E1791" s="6" t="s">
        <v>163</v>
      </c>
      <c r="F1791" s="6"/>
      <c r="G1791" s="7" t="s">
        <v>141</v>
      </c>
      <c r="H1791" s="19"/>
      <c r="I1791" s="19"/>
      <c r="J1791" s="19"/>
      <c r="K1791" s="19"/>
      <c r="L1791" s="14">
        <v>9218949</v>
      </c>
      <c r="M1791" s="22">
        <v>45748</v>
      </c>
      <c r="N1791" s="19" t="s">
        <v>190</v>
      </c>
      <c r="O1791" s="19" t="s">
        <v>383</v>
      </c>
      <c r="P1791" s="15">
        <v>572.84</v>
      </c>
      <c r="Q1791" s="15">
        <v>1267197.52</v>
      </c>
      <c r="R1791" s="15">
        <v>41071200</v>
      </c>
      <c r="S1791" s="15">
        <v>0</v>
      </c>
      <c r="T1791" s="19" t="s">
        <v>442</v>
      </c>
      <c r="U1791" s="19" t="s">
        <v>178</v>
      </c>
      <c r="V1791" s="16">
        <f t="shared" si="374"/>
        <v>0</v>
      </c>
      <c r="W1791" s="16">
        <f t="shared" si="375"/>
        <v>0</v>
      </c>
      <c r="X1791" s="16">
        <f t="shared" si="376"/>
        <v>0</v>
      </c>
      <c r="Y1791" s="16">
        <f t="shared" si="377"/>
        <v>0</v>
      </c>
      <c r="Z1791" s="16">
        <f t="shared" si="378"/>
        <v>2212.1316947140563</v>
      </c>
      <c r="AA1791" s="17">
        <f t="shared" si="379"/>
        <v>572.84</v>
      </c>
      <c r="AB1791" s="10">
        <v>572.84</v>
      </c>
      <c r="AC1791" s="18">
        <f t="shared" si="380"/>
        <v>0</v>
      </c>
      <c r="AD1791" s="12">
        <f t="shared" si="364"/>
        <v>572.84</v>
      </c>
      <c r="AE1791" s="13">
        <f t="shared" si="381"/>
        <v>0</v>
      </c>
    </row>
    <row r="1792" spans="1:31">
      <c r="A1792" s="6">
        <v>20</v>
      </c>
      <c r="B1792" s="6">
        <v>10</v>
      </c>
      <c r="C1792" s="6" t="str">
        <f t="shared" si="356"/>
        <v>652466500ALEATHER, HIDE TOP GRAIN, OBSIDIAN BLACK, NNB, BLA928450045751586.21</v>
      </c>
      <c r="D1792" s="23" t="s">
        <v>445</v>
      </c>
      <c r="E1792" s="6" t="s">
        <v>163</v>
      </c>
      <c r="F1792" s="6"/>
      <c r="G1792" s="7" t="s">
        <v>141</v>
      </c>
      <c r="H1792" s="19"/>
      <c r="I1792" s="19"/>
      <c r="J1792" s="19"/>
      <c r="K1792" s="19"/>
      <c r="L1792" s="14">
        <v>9284500</v>
      </c>
      <c r="M1792" s="22">
        <v>45751</v>
      </c>
      <c r="N1792" s="19" t="s">
        <v>190</v>
      </c>
      <c r="O1792" s="19" t="s">
        <v>383</v>
      </c>
      <c r="P1792" s="15">
        <v>586.21</v>
      </c>
      <c r="Q1792" s="15">
        <v>1275688.1499999999</v>
      </c>
      <c r="R1792" s="15">
        <v>41071200</v>
      </c>
      <c r="S1792" s="15">
        <v>0</v>
      </c>
      <c r="T1792" s="19" t="s">
        <v>442</v>
      </c>
      <c r="U1792" s="19" t="s">
        <v>178</v>
      </c>
      <c r="V1792" s="16">
        <f t="shared" si="374"/>
        <v>0</v>
      </c>
      <c r="W1792" s="16">
        <f t="shared" si="375"/>
        <v>0</v>
      </c>
      <c r="X1792" s="16">
        <f t="shared" si="376"/>
        <v>0</v>
      </c>
      <c r="Y1792" s="16">
        <f t="shared" si="377"/>
        <v>0</v>
      </c>
      <c r="Z1792" s="16">
        <f t="shared" si="378"/>
        <v>2176.1623820815062</v>
      </c>
      <c r="AA1792" s="17">
        <f t="shared" si="379"/>
        <v>586.21</v>
      </c>
      <c r="AB1792" s="10">
        <v>586.21</v>
      </c>
      <c r="AC1792" s="18">
        <f t="shared" si="380"/>
        <v>0</v>
      </c>
      <c r="AD1792" s="12">
        <f t="shared" si="364"/>
        <v>586.21</v>
      </c>
      <c r="AE1792" s="13">
        <f t="shared" si="381"/>
        <v>0</v>
      </c>
    </row>
    <row r="1793" spans="1:32">
      <c r="A1793" s="6">
        <v>20</v>
      </c>
      <c r="B1793" s="6">
        <v>11</v>
      </c>
      <c r="C1793" s="6" t="str">
        <f t="shared" si="356"/>
        <v>652466500ALEATHER, HIDE TOP GRAIN, OBSIDIAN BLACK, NNB, BLA928450045751504.74</v>
      </c>
      <c r="D1793" s="23" t="s">
        <v>445</v>
      </c>
      <c r="E1793" s="6" t="s">
        <v>163</v>
      </c>
      <c r="F1793" s="6"/>
      <c r="G1793" s="7" t="s">
        <v>141</v>
      </c>
      <c r="H1793" s="19"/>
      <c r="I1793" s="19"/>
      <c r="J1793" s="19"/>
      <c r="K1793" s="19"/>
      <c r="L1793" s="14">
        <v>9284500</v>
      </c>
      <c r="M1793" s="22">
        <v>45751</v>
      </c>
      <c r="N1793" s="19" t="s">
        <v>190</v>
      </c>
      <c r="O1793" s="19" t="s">
        <v>383</v>
      </c>
      <c r="P1793" s="15">
        <v>504.74</v>
      </c>
      <c r="Q1793" s="15">
        <v>1098396.03</v>
      </c>
      <c r="R1793" s="15">
        <v>41071200</v>
      </c>
      <c r="S1793" s="15">
        <v>0</v>
      </c>
      <c r="T1793" s="19" t="s">
        <v>442</v>
      </c>
      <c r="U1793" s="19" t="s">
        <v>178</v>
      </c>
      <c r="V1793" s="16">
        <f t="shared" si="374"/>
        <v>0</v>
      </c>
      <c r="W1793" s="16">
        <f t="shared" si="375"/>
        <v>0</v>
      </c>
      <c r="X1793" s="16">
        <f t="shared" si="376"/>
        <v>0</v>
      </c>
      <c r="Y1793" s="16">
        <f t="shared" si="377"/>
        <v>0</v>
      </c>
      <c r="Z1793" s="16">
        <f t="shared" si="378"/>
        <v>2176.1620438245432</v>
      </c>
      <c r="AA1793" s="17">
        <f t="shared" si="379"/>
        <v>504.74</v>
      </c>
      <c r="AB1793" s="10">
        <v>504.74</v>
      </c>
      <c r="AC1793" s="18">
        <f t="shared" si="380"/>
        <v>0</v>
      </c>
      <c r="AD1793" s="12">
        <f t="shared" si="364"/>
        <v>504.74</v>
      </c>
      <c r="AE1793" s="13">
        <f t="shared" si="381"/>
        <v>0</v>
      </c>
    </row>
    <row r="1794" spans="1:32">
      <c r="A1794" s="6">
        <v>20</v>
      </c>
      <c r="B1794" s="6">
        <v>12</v>
      </c>
      <c r="C1794" s="6" t="str">
        <f t="shared" ref="C1794:C1857" si="382">E1794&amp;G1794&amp;L1794&amp;M1794&amp;P1794</f>
        <v>652466500ALEATHER, HIDE TOP GRAIN, OBSIDIAN BLACK, NNB, BLA928450045751588.27</v>
      </c>
      <c r="D1794" s="23" t="s">
        <v>445</v>
      </c>
      <c r="E1794" s="6" t="s">
        <v>163</v>
      </c>
      <c r="F1794" s="6"/>
      <c r="G1794" s="7" t="s">
        <v>141</v>
      </c>
      <c r="H1794" s="19"/>
      <c r="I1794" s="19"/>
      <c r="J1794" s="19"/>
      <c r="K1794" s="19"/>
      <c r="L1794" s="14">
        <v>9284500</v>
      </c>
      <c r="M1794" s="22">
        <v>45751</v>
      </c>
      <c r="N1794" s="19" t="s">
        <v>190</v>
      </c>
      <c r="O1794" s="19" t="s">
        <v>383</v>
      </c>
      <c r="P1794" s="15">
        <v>588.27</v>
      </c>
      <c r="Q1794" s="15">
        <v>1280170.79</v>
      </c>
      <c r="R1794" s="15">
        <v>41071200</v>
      </c>
      <c r="S1794" s="15">
        <v>0</v>
      </c>
      <c r="T1794" s="19" t="s">
        <v>442</v>
      </c>
      <c r="U1794" s="19" t="s">
        <v>178</v>
      </c>
      <c r="V1794" s="16">
        <f t="shared" si="374"/>
        <v>0</v>
      </c>
      <c r="W1794" s="16">
        <f t="shared" si="375"/>
        <v>0</v>
      </c>
      <c r="X1794" s="16">
        <f t="shared" si="376"/>
        <v>0</v>
      </c>
      <c r="Y1794" s="16">
        <f t="shared" si="377"/>
        <v>0</v>
      </c>
      <c r="Z1794" s="16">
        <f t="shared" si="378"/>
        <v>2176.1619494449828</v>
      </c>
      <c r="AA1794" s="17">
        <f t="shared" si="379"/>
        <v>588.27</v>
      </c>
      <c r="AB1794" s="10">
        <v>588.27</v>
      </c>
      <c r="AC1794" s="18">
        <f t="shared" si="380"/>
        <v>0</v>
      </c>
      <c r="AD1794" s="12">
        <f t="shared" si="364"/>
        <v>588.27</v>
      </c>
      <c r="AE1794" s="13">
        <f t="shared" si="381"/>
        <v>0</v>
      </c>
    </row>
    <row r="1795" spans="1:32">
      <c r="A1795" s="6">
        <v>20</v>
      </c>
      <c r="B1795" s="6">
        <v>13</v>
      </c>
      <c r="C1795" s="6" t="str">
        <f t="shared" si="382"/>
        <v>652466500ALEATHER, HIDE TOP GRAIN, OBSIDIAN BLACK, NNB, BLA928450045751525.75</v>
      </c>
      <c r="D1795" s="23" t="s">
        <v>445</v>
      </c>
      <c r="E1795" s="6" t="s">
        <v>163</v>
      </c>
      <c r="F1795" s="6"/>
      <c r="G1795" s="7" t="s">
        <v>141</v>
      </c>
      <c r="H1795" s="19"/>
      <c r="I1795" s="19"/>
      <c r="J1795" s="19"/>
      <c r="K1795" s="19"/>
      <c r="L1795" s="14">
        <v>9284500</v>
      </c>
      <c r="M1795" s="22">
        <v>45751</v>
      </c>
      <c r="N1795" s="19" t="s">
        <v>190</v>
      </c>
      <c r="O1795" s="19" t="s">
        <v>383</v>
      </c>
      <c r="P1795" s="15">
        <v>525.75</v>
      </c>
      <c r="Q1795" s="15">
        <v>1144117.47</v>
      </c>
      <c r="R1795" s="15">
        <v>41071200</v>
      </c>
      <c r="S1795" s="15">
        <v>0</v>
      </c>
      <c r="T1795" s="19" t="s">
        <v>442</v>
      </c>
      <c r="U1795" s="19" t="s">
        <v>178</v>
      </c>
      <c r="V1795" s="16">
        <f t="shared" si="374"/>
        <v>0</v>
      </c>
      <c r="W1795" s="16">
        <f t="shared" si="375"/>
        <v>0</v>
      </c>
      <c r="X1795" s="16">
        <f t="shared" si="376"/>
        <v>0</v>
      </c>
      <c r="Y1795" s="16">
        <f t="shared" si="377"/>
        <v>0</v>
      </c>
      <c r="Z1795" s="16">
        <f t="shared" si="378"/>
        <v>2176.1625677603424</v>
      </c>
      <c r="AA1795" s="17">
        <f t="shared" si="379"/>
        <v>525.75</v>
      </c>
      <c r="AB1795" s="10">
        <v>166</v>
      </c>
      <c r="AC1795" s="18">
        <f t="shared" si="380"/>
        <v>0</v>
      </c>
      <c r="AD1795" s="12">
        <f t="shared" si="364"/>
        <v>166</v>
      </c>
      <c r="AE1795" s="13">
        <f t="shared" si="381"/>
        <v>359.75</v>
      </c>
    </row>
    <row r="1796" spans="1:32">
      <c r="A1796" s="6">
        <v>20</v>
      </c>
      <c r="B1796" s="6">
        <v>14</v>
      </c>
      <c r="C1796" s="6" t="str">
        <f t="shared" si="382"/>
        <v>655818900BACTUATOR VIBRATION MOTOR ASSY WITH BRACKET BC3 CU7193615456384800</v>
      </c>
      <c r="D1796" s="23" t="s">
        <v>445</v>
      </c>
      <c r="E1796" s="6" t="s">
        <v>156</v>
      </c>
      <c r="F1796" s="6"/>
      <c r="G1796" s="7" t="s">
        <v>133</v>
      </c>
      <c r="H1796" s="19"/>
      <c r="I1796" s="19"/>
      <c r="J1796" s="19"/>
      <c r="K1796" s="19"/>
      <c r="L1796" s="14">
        <v>7193615</v>
      </c>
      <c r="M1796" s="22">
        <v>45638</v>
      </c>
      <c r="N1796" s="19" t="s">
        <v>189</v>
      </c>
      <c r="O1796" s="19" t="s">
        <v>333</v>
      </c>
      <c r="P1796" s="15">
        <v>4800</v>
      </c>
      <c r="Q1796" s="15">
        <v>1634285.94</v>
      </c>
      <c r="R1796" s="15">
        <v>87089400</v>
      </c>
      <c r="S1796" s="15">
        <v>15</v>
      </c>
      <c r="T1796" s="19" t="s">
        <v>376</v>
      </c>
      <c r="U1796" s="19" t="s">
        <v>178</v>
      </c>
      <c r="V1796" s="16">
        <f t="shared" si="374"/>
        <v>245142.89099999997</v>
      </c>
      <c r="W1796" s="16">
        <f t="shared" si="375"/>
        <v>24514.289099999998</v>
      </c>
      <c r="X1796" s="16">
        <f t="shared" si="376"/>
        <v>269657.1801</v>
      </c>
      <c r="Y1796" s="16">
        <f t="shared" si="377"/>
        <v>56.178579187499999</v>
      </c>
      <c r="Z1796" s="16">
        <f t="shared" si="378"/>
        <v>340.47623749999997</v>
      </c>
      <c r="AA1796" s="17">
        <f t="shared" si="379"/>
        <v>4800</v>
      </c>
      <c r="AB1796" s="10">
        <v>1507</v>
      </c>
      <c r="AC1796" s="18">
        <f t="shared" si="380"/>
        <v>84661.118835562491</v>
      </c>
      <c r="AD1796" s="12">
        <f t="shared" si="364"/>
        <v>2567</v>
      </c>
      <c r="AE1796" s="13">
        <f t="shared" si="381"/>
        <v>2233</v>
      </c>
      <c r="AF1796" s="25"/>
    </row>
    <row r="1797" spans="1:32">
      <c r="A1797" s="6">
        <v>20</v>
      </c>
      <c r="B1797" s="6">
        <v>15</v>
      </c>
      <c r="C1797" s="6" t="str">
        <f t="shared" si="382"/>
        <v>655931500AARMATURE, MONOBLOCK ASW4, HYUNDAI BC3-CUV7988971456823564</v>
      </c>
      <c r="D1797" s="23" t="s">
        <v>445</v>
      </c>
      <c r="E1797" s="6" t="s">
        <v>157</v>
      </c>
      <c r="F1797" s="6"/>
      <c r="G1797" s="7" t="s">
        <v>134</v>
      </c>
      <c r="H1797" s="19"/>
      <c r="I1797" s="19"/>
      <c r="J1797" s="19"/>
      <c r="K1797" s="19"/>
      <c r="L1797" s="14">
        <v>7988971</v>
      </c>
      <c r="M1797" s="22">
        <v>45682</v>
      </c>
      <c r="N1797" s="19" t="s">
        <v>184</v>
      </c>
      <c r="O1797" s="19" t="s">
        <v>332</v>
      </c>
      <c r="P1797" s="15">
        <v>3564</v>
      </c>
      <c r="Q1797" s="15">
        <v>1493652.14</v>
      </c>
      <c r="R1797" s="15">
        <v>87089400</v>
      </c>
      <c r="S1797" s="15">
        <v>15</v>
      </c>
      <c r="T1797" s="19" t="s">
        <v>423</v>
      </c>
      <c r="U1797" s="19" t="s">
        <v>178</v>
      </c>
      <c r="V1797" s="16">
        <f t="shared" si="374"/>
        <v>224047.82099999997</v>
      </c>
      <c r="W1797" s="16">
        <f t="shared" si="375"/>
        <v>22404.782099999997</v>
      </c>
      <c r="X1797" s="16">
        <f t="shared" si="376"/>
        <v>246452.60309999995</v>
      </c>
      <c r="Y1797" s="16">
        <f t="shared" si="377"/>
        <v>69.15056203703702</v>
      </c>
      <c r="Z1797" s="16">
        <f t="shared" si="378"/>
        <v>419.09431537598203</v>
      </c>
      <c r="AA1797" s="17">
        <f t="shared" si="379"/>
        <v>3564</v>
      </c>
      <c r="AB1797" s="10">
        <v>3564</v>
      </c>
      <c r="AC1797" s="18">
        <f t="shared" si="380"/>
        <v>246452.60309999995</v>
      </c>
      <c r="AD1797" s="12">
        <f t="shared" si="364"/>
        <v>3564</v>
      </c>
      <c r="AE1797" s="13">
        <f t="shared" si="381"/>
        <v>0</v>
      </c>
    </row>
    <row r="1798" spans="1:32">
      <c r="A1798" s="6">
        <v>20</v>
      </c>
      <c r="B1798" s="6">
        <v>16</v>
      </c>
      <c r="C1798" s="6" t="str">
        <f t="shared" si="382"/>
        <v>655931500AARMATURE, MONOBLOCK ASW4, HYUNDAI BC3-CUV8391725457053240</v>
      </c>
      <c r="D1798" s="23" t="s">
        <v>445</v>
      </c>
      <c r="E1798" s="6" t="s">
        <v>157</v>
      </c>
      <c r="F1798" s="6"/>
      <c r="G1798" s="7" t="s">
        <v>134</v>
      </c>
      <c r="H1798" s="19"/>
      <c r="I1798" s="19"/>
      <c r="J1798" s="19"/>
      <c r="K1798" s="19"/>
      <c r="L1798" s="14">
        <v>8391725</v>
      </c>
      <c r="M1798" s="22">
        <v>45705</v>
      </c>
      <c r="N1798" s="19" t="s">
        <v>447</v>
      </c>
      <c r="O1798" s="19" t="s">
        <v>332</v>
      </c>
      <c r="P1798" s="15">
        <v>3240</v>
      </c>
      <c r="Q1798" s="15">
        <v>1362208.53</v>
      </c>
      <c r="R1798" s="15">
        <v>87089400</v>
      </c>
      <c r="S1798" s="15">
        <v>15</v>
      </c>
      <c r="T1798" s="19" t="s">
        <v>448</v>
      </c>
      <c r="U1798" s="19" t="s">
        <v>178</v>
      </c>
      <c r="V1798" s="16">
        <f t="shared" si="374"/>
        <v>204331.2795</v>
      </c>
      <c r="W1798" s="16">
        <f t="shared" si="375"/>
        <v>20433.127950000002</v>
      </c>
      <c r="X1798" s="16">
        <f t="shared" si="376"/>
        <v>224764.40745</v>
      </c>
      <c r="Y1798" s="16">
        <f t="shared" si="377"/>
        <v>69.371730694444437</v>
      </c>
      <c r="Z1798" s="16">
        <f t="shared" si="378"/>
        <v>420.43473148148149</v>
      </c>
      <c r="AA1798" s="17">
        <f t="shared" si="379"/>
        <v>3240</v>
      </c>
      <c r="AB1798" s="10">
        <v>3240</v>
      </c>
      <c r="AC1798" s="18">
        <f t="shared" si="380"/>
        <v>224764.40744999997</v>
      </c>
      <c r="AD1798" s="12">
        <f t="shared" si="364"/>
        <v>3240</v>
      </c>
      <c r="AE1798" s="13">
        <f t="shared" si="381"/>
        <v>0</v>
      </c>
    </row>
    <row r="1799" spans="1:32">
      <c r="A1799" s="6">
        <v>20</v>
      </c>
      <c r="B1799" s="6">
        <v>17</v>
      </c>
      <c r="C1799" s="6" t="str">
        <f t="shared" si="382"/>
        <v>655931500AARMATURE, MONOBLOCK ASW4, HYUNDAI BC3-CUV8392945457053240</v>
      </c>
      <c r="D1799" s="23" t="s">
        <v>445</v>
      </c>
      <c r="E1799" s="6" t="s">
        <v>157</v>
      </c>
      <c r="F1799" s="6"/>
      <c r="G1799" s="7" t="s">
        <v>134</v>
      </c>
      <c r="H1799" s="19"/>
      <c r="I1799" s="19"/>
      <c r="J1799" s="19"/>
      <c r="K1799" s="19"/>
      <c r="L1799" s="14">
        <v>8392945</v>
      </c>
      <c r="M1799" s="22">
        <v>45705</v>
      </c>
      <c r="N1799" s="19" t="s">
        <v>447</v>
      </c>
      <c r="O1799" s="19" t="s">
        <v>332</v>
      </c>
      <c r="P1799" s="15">
        <v>3240</v>
      </c>
      <c r="Q1799" s="15">
        <v>1362208.53</v>
      </c>
      <c r="R1799" s="15">
        <v>87089400</v>
      </c>
      <c r="S1799" s="15">
        <v>15</v>
      </c>
      <c r="T1799" s="19" t="s">
        <v>423</v>
      </c>
      <c r="U1799" s="19" t="s">
        <v>178</v>
      </c>
      <c r="V1799" s="16">
        <f t="shared" si="374"/>
        <v>204331.2795</v>
      </c>
      <c r="W1799" s="16">
        <f t="shared" si="375"/>
        <v>20433.127950000002</v>
      </c>
      <c r="X1799" s="16">
        <f t="shared" si="376"/>
        <v>224764.40745</v>
      </c>
      <c r="Y1799" s="16">
        <f t="shared" si="377"/>
        <v>69.371730694444437</v>
      </c>
      <c r="Z1799" s="16">
        <f t="shared" si="378"/>
        <v>420.43473148148149</v>
      </c>
      <c r="AA1799" s="17">
        <f t="shared" si="379"/>
        <v>3240</v>
      </c>
      <c r="AB1799" s="10">
        <v>3240</v>
      </c>
      <c r="AC1799" s="18">
        <f t="shared" si="380"/>
        <v>224764.40744999997</v>
      </c>
      <c r="AD1799" s="12">
        <f t="shared" si="364"/>
        <v>3240</v>
      </c>
      <c r="AE1799" s="13">
        <f t="shared" si="381"/>
        <v>0</v>
      </c>
    </row>
    <row r="1800" spans="1:32">
      <c r="A1800" s="6">
        <v>20</v>
      </c>
      <c r="B1800" s="6">
        <v>18</v>
      </c>
      <c r="C1800" s="6" t="str">
        <f t="shared" si="382"/>
        <v>655931500AARMATURE, MONOBLOCK ASW4, HYUNDAI BC3-CUV8569041457143240</v>
      </c>
      <c r="D1800" s="23" t="s">
        <v>445</v>
      </c>
      <c r="E1800" s="6" t="s">
        <v>157</v>
      </c>
      <c r="F1800" s="6"/>
      <c r="G1800" s="7" t="s">
        <v>134</v>
      </c>
      <c r="H1800" s="19"/>
      <c r="I1800" s="19"/>
      <c r="J1800" s="19"/>
      <c r="K1800" s="19"/>
      <c r="L1800" s="14">
        <v>8569041</v>
      </c>
      <c r="M1800" s="22">
        <v>45714</v>
      </c>
      <c r="N1800" s="19" t="s">
        <v>447</v>
      </c>
      <c r="O1800" s="19" t="s">
        <v>332</v>
      </c>
      <c r="P1800" s="15">
        <v>3240</v>
      </c>
      <c r="Q1800" s="15">
        <v>1347285.31</v>
      </c>
      <c r="R1800" s="15">
        <v>87089400</v>
      </c>
      <c r="S1800" s="15">
        <v>15</v>
      </c>
      <c r="T1800" s="19" t="s">
        <v>423</v>
      </c>
      <c r="U1800" s="19" t="s">
        <v>178</v>
      </c>
      <c r="V1800" s="16">
        <f t="shared" si="374"/>
        <v>202092.7965</v>
      </c>
      <c r="W1800" s="16">
        <f t="shared" si="375"/>
        <v>20209.27965</v>
      </c>
      <c r="X1800" s="16">
        <f t="shared" si="376"/>
        <v>222302.07615000001</v>
      </c>
      <c r="Y1800" s="16">
        <f t="shared" si="377"/>
        <v>68.611751898148157</v>
      </c>
      <c r="Z1800" s="16">
        <f t="shared" si="378"/>
        <v>415.82879938271606</v>
      </c>
      <c r="AA1800" s="17">
        <f t="shared" si="379"/>
        <v>3240</v>
      </c>
      <c r="AB1800" s="10">
        <v>3240</v>
      </c>
      <c r="AC1800" s="18">
        <f t="shared" si="380"/>
        <v>222302.07615000004</v>
      </c>
      <c r="AD1800" s="12">
        <f t="shared" si="364"/>
        <v>3240</v>
      </c>
      <c r="AE1800" s="13">
        <f t="shared" si="381"/>
        <v>0</v>
      </c>
    </row>
    <row r="1801" spans="1:32">
      <c r="A1801" s="6">
        <v>20</v>
      </c>
      <c r="B1801" s="6">
        <v>19</v>
      </c>
      <c r="C1801" s="6" t="str">
        <f t="shared" si="382"/>
        <v>655931500AARMATURE, MONOBLOCK ASW4, HYUNDAI BC3-CUV8568481457143240</v>
      </c>
      <c r="D1801" s="23" t="s">
        <v>445</v>
      </c>
      <c r="E1801" s="6" t="s">
        <v>157</v>
      </c>
      <c r="F1801" s="6"/>
      <c r="G1801" s="7" t="s">
        <v>134</v>
      </c>
      <c r="H1801" s="19"/>
      <c r="I1801" s="19"/>
      <c r="J1801" s="19"/>
      <c r="K1801" s="19"/>
      <c r="L1801" s="14">
        <v>8568481</v>
      </c>
      <c r="M1801" s="22">
        <v>45714</v>
      </c>
      <c r="N1801" s="19" t="s">
        <v>447</v>
      </c>
      <c r="O1801" s="19" t="s">
        <v>332</v>
      </c>
      <c r="P1801" s="15">
        <v>3240</v>
      </c>
      <c r="Q1801" s="15">
        <v>1351198.94</v>
      </c>
      <c r="R1801" s="15">
        <v>87089400</v>
      </c>
      <c r="S1801" s="15">
        <v>15</v>
      </c>
      <c r="T1801" s="19" t="s">
        <v>423</v>
      </c>
      <c r="U1801" s="19" t="s">
        <v>178</v>
      </c>
      <c r="V1801" s="16">
        <f t="shared" si="374"/>
        <v>202679.84099999999</v>
      </c>
      <c r="W1801" s="16">
        <f t="shared" si="375"/>
        <v>20267.984100000001</v>
      </c>
      <c r="X1801" s="16">
        <f t="shared" si="376"/>
        <v>222947.82509999999</v>
      </c>
      <c r="Y1801" s="16">
        <f t="shared" si="377"/>
        <v>68.811057129629631</v>
      </c>
      <c r="Z1801" s="16">
        <f t="shared" si="378"/>
        <v>417.03670987654317</v>
      </c>
      <c r="AA1801" s="17">
        <f t="shared" si="379"/>
        <v>3240</v>
      </c>
      <c r="AB1801" s="10">
        <v>2623</v>
      </c>
      <c r="AC1801" s="18">
        <f t="shared" si="380"/>
        <v>180491.40285101853</v>
      </c>
      <c r="AD1801" s="12">
        <f t="shared" si="364"/>
        <v>2623</v>
      </c>
      <c r="AE1801" s="13">
        <f t="shared" si="381"/>
        <v>617</v>
      </c>
    </row>
    <row r="1802" spans="1:32">
      <c r="A1802" s="6">
        <v>20</v>
      </c>
      <c r="B1802" s="6">
        <v>20</v>
      </c>
      <c r="C1802" s="6" t="str">
        <f t="shared" si="382"/>
        <v>651015300BELEMENT, HEATER, HYBRID 6194653455832240</v>
      </c>
      <c r="D1802" s="23" t="s">
        <v>445</v>
      </c>
      <c r="E1802" s="6" t="s">
        <v>155</v>
      </c>
      <c r="F1802" s="6"/>
      <c r="G1802" s="7" t="s">
        <v>137</v>
      </c>
      <c r="H1802" s="19"/>
      <c r="I1802" s="19"/>
      <c r="J1802" s="19"/>
      <c r="K1802" s="19"/>
      <c r="L1802" s="14">
        <v>6194653</v>
      </c>
      <c r="M1802" s="22">
        <v>45583</v>
      </c>
      <c r="N1802" s="19" t="s">
        <v>182</v>
      </c>
      <c r="O1802" s="19" t="s">
        <v>332</v>
      </c>
      <c r="P1802" s="15">
        <v>2240</v>
      </c>
      <c r="Q1802" s="15">
        <v>1223557.27</v>
      </c>
      <c r="R1802" s="15">
        <v>87089400</v>
      </c>
      <c r="S1802" s="15">
        <v>15</v>
      </c>
      <c r="T1802" s="19" t="s">
        <v>407</v>
      </c>
      <c r="U1802" s="19" t="s">
        <v>178</v>
      </c>
      <c r="V1802" s="16">
        <f t="shared" si="374"/>
        <v>183533.59049999999</v>
      </c>
      <c r="W1802" s="16">
        <f t="shared" si="375"/>
        <v>18353.359049999999</v>
      </c>
      <c r="X1802" s="16">
        <f t="shared" si="376"/>
        <v>201886.94954999999</v>
      </c>
      <c r="Y1802" s="16">
        <f t="shared" si="377"/>
        <v>90.128102477678567</v>
      </c>
      <c r="Z1802" s="16">
        <f t="shared" si="378"/>
        <v>546.23092410714287</v>
      </c>
      <c r="AA1802" s="17">
        <f t="shared" si="379"/>
        <v>2240</v>
      </c>
      <c r="AB1802" s="10">
        <v>2240</v>
      </c>
      <c r="AC1802" s="18">
        <f t="shared" si="380"/>
        <v>201886.94954999999</v>
      </c>
      <c r="AD1802" s="12">
        <f t="shared" si="364"/>
        <v>2240</v>
      </c>
      <c r="AE1802" s="13">
        <f t="shared" si="381"/>
        <v>0</v>
      </c>
    </row>
    <row r="1803" spans="1:32">
      <c r="A1803" s="6">
        <v>20</v>
      </c>
      <c r="B1803" s="6">
        <v>21</v>
      </c>
      <c r="C1803" s="6" t="str">
        <f t="shared" si="382"/>
        <v>651015300BELEMENT, HEATER, HYBRID 6676520456102660</v>
      </c>
      <c r="D1803" s="23" t="s">
        <v>445</v>
      </c>
      <c r="E1803" s="6" t="s">
        <v>155</v>
      </c>
      <c r="F1803" s="6"/>
      <c r="G1803" s="7" t="s">
        <v>137</v>
      </c>
      <c r="H1803" s="19"/>
      <c r="I1803" s="19"/>
      <c r="J1803" s="19"/>
      <c r="K1803" s="19"/>
      <c r="L1803" s="14">
        <v>6676520</v>
      </c>
      <c r="M1803" s="22">
        <v>45610</v>
      </c>
      <c r="N1803" s="19" t="s">
        <v>189</v>
      </c>
      <c r="O1803" s="19" t="s">
        <v>333</v>
      </c>
      <c r="P1803" s="15">
        <v>2660</v>
      </c>
      <c r="Q1803" s="15">
        <v>1455671.34</v>
      </c>
      <c r="R1803" s="15">
        <v>87089400</v>
      </c>
      <c r="S1803" s="15">
        <v>15</v>
      </c>
      <c r="T1803" s="19" t="s">
        <v>407</v>
      </c>
      <c r="U1803" s="19" t="s">
        <v>178</v>
      </c>
      <c r="V1803" s="16">
        <f t="shared" si="374"/>
        <v>218350.701</v>
      </c>
      <c r="W1803" s="16">
        <f t="shared" si="375"/>
        <v>21835.070100000001</v>
      </c>
      <c r="X1803" s="16">
        <f t="shared" si="376"/>
        <v>240185.77110000001</v>
      </c>
      <c r="Y1803" s="16">
        <f t="shared" si="377"/>
        <v>90.295402669172944</v>
      </c>
      <c r="Z1803" s="16">
        <f t="shared" si="378"/>
        <v>547.24486466165422</v>
      </c>
      <c r="AA1803" s="17">
        <f t="shared" si="379"/>
        <v>2660</v>
      </c>
      <c r="AB1803" s="10">
        <v>2660</v>
      </c>
      <c r="AC1803" s="18">
        <f t="shared" si="380"/>
        <v>240185.77110000004</v>
      </c>
      <c r="AD1803" s="12">
        <f t="shared" si="364"/>
        <v>2660</v>
      </c>
      <c r="AE1803" s="13">
        <f t="shared" si="381"/>
        <v>0</v>
      </c>
    </row>
    <row r="1804" spans="1:32">
      <c r="A1804" s="6">
        <v>20</v>
      </c>
      <c r="B1804" s="6">
        <v>22</v>
      </c>
      <c r="C1804" s="6" t="str">
        <f t="shared" si="382"/>
        <v>651015300BELEMENT, HEATER, HYBRID 7684949456662800</v>
      </c>
      <c r="D1804" s="23" t="s">
        <v>445</v>
      </c>
      <c r="E1804" s="6" t="s">
        <v>155</v>
      </c>
      <c r="F1804" s="6"/>
      <c r="G1804" s="7" t="s">
        <v>137</v>
      </c>
      <c r="H1804" s="19"/>
      <c r="I1804" s="19"/>
      <c r="J1804" s="19"/>
      <c r="K1804" s="19"/>
      <c r="L1804" s="14">
        <v>7684949</v>
      </c>
      <c r="M1804" s="22">
        <v>45666</v>
      </c>
      <c r="N1804" s="19" t="s">
        <v>189</v>
      </c>
      <c r="O1804" s="19" t="s">
        <v>333</v>
      </c>
      <c r="P1804" s="15">
        <v>2800</v>
      </c>
      <c r="Q1804" s="15">
        <v>1554168.34</v>
      </c>
      <c r="R1804" s="15">
        <v>87089400</v>
      </c>
      <c r="S1804" s="15">
        <v>15</v>
      </c>
      <c r="T1804" s="19" t="s">
        <v>407</v>
      </c>
      <c r="U1804" s="19" t="s">
        <v>178</v>
      </c>
      <c r="V1804" s="16">
        <f t="shared" si="374"/>
        <v>233125.25100000002</v>
      </c>
      <c r="W1804" s="16">
        <f t="shared" si="375"/>
        <v>23312.525100000003</v>
      </c>
      <c r="X1804" s="16">
        <f t="shared" si="376"/>
        <v>256437.77610000002</v>
      </c>
      <c r="Y1804" s="16">
        <f t="shared" si="377"/>
        <v>91.584920035714291</v>
      </c>
      <c r="Z1804" s="16">
        <f t="shared" si="378"/>
        <v>555.06012142857151</v>
      </c>
      <c r="AA1804" s="17">
        <f t="shared" si="379"/>
        <v>2800</v>
      </c>
      <c r="AB1804" s="10">
        <v>952</v>
      </c>
      <c r="AC1804" s="18">
        <f t="shared" si="380"/>
        <v>87188.843873999998</v>
      </c>
      <c r="AD1804" s="12">
        <f t="shared" si="364"/>
        <v>2519</v>
      </c>
      <c r="AE1804" s="13">
        <f t="shared" si="381"/>
        <v>281</v>
      </c>
    </row>
    <row r="1805" spans="1:32">
      <c r="A1805" s="6">
        <v>20</v>
      </c>
      <c r="B1805" s="6">
        <v>23</v>
      </c>
      <c r="C1805" s="6" t="str">
        <f t="shared" si="382"/>
        <v>634240200AHORN CONTACT, CU 681124845118600000</v>
      </c>
      <c r="D1805" s="23" t="s">
        <v>445</v>
      </c>
      <c r="E1805" s="6" t="s">
        <v>160</v>
      </c>
      <c r="F1805" s="6"/>
      <c r="G1805" s="7" t="s">
        <v>138</v>
      </c>
      <c r="H1805" s="19"/>
      <c r="I1805" s="19"/>
      <c r="J1805" s="19"/>
      <c r="K1805" s="19"/>
      <c r="L1805" s="14">
        <v>6811248</v>
      </c>
      <c r="M1805" s="22">
        <v>45118</v>
      </c>
      <c r="N1805" s="19" t="s">
        <v>189</v>
      </c>
      <c r="O1805" s="19" t="s">
        <v>332</v>
      </c>
      <c r="P1805" s="15">
        <v>600000</v>
      </c>
      <c r="Q1805" s="15">
        <v>627311.64</v>
      </c>
      <c r="R1805" s="15">
        <v>87089900</v>
      </c>
      <c r="S1805" s="15">
        <v>15</v>
      </c>
      <c r="T1805" s="19" t="s">
        <v>258</v>
      </c>
      <c r="U1805" s="19" t="s">
        <v>178</v>
      </c>
      <c r="V1805" s="16">
        <f t="shared" si="374"/>
        <v>94096.745999999999</v>
      </c>
      <c r="W1805" s="16">
        <f t="shared" si="375"/>
        <v>9409.6746000000003</v>
      </c>
      <c r="X1805" s="16">
        <f t="shared" si="376"/>
        <v>103506.4206</v>
      </c>
      <c r="Y1805" s="16">
        <f t="shared" si="377"/>
        <v>0.17251070099999999</v>
      </c>
      <c r="Z1805" s="16">
        <f t="shared" si="378"/>
        <v>1.0455194000000001</v>
      </c>
      <c r="AA1805" s="17">
        <f t="shared" si="379"/>
        <v>600000</v>
      </c>
      <c r="AB1805" s="10">
        <v>63628</v>
      </c>
      <c r="AC1805" s="18">
        <f t="shared" si="380"/>
        <v>10976.510883227998</v>
      </c>
      <c r="AD1805" s="12">
        <f t="shared" si="364"/>
        <v>577364</v>
      </c>
      <c r="AE1805" s="13">
        <f t="shared" si="381"/>
        <v>22636</v>
      </c>
    </row>
    <row r="1806" spans="1:32">
      <c r="A1806" s="6">
        <v>20</v>
      </c>
      <c r="B1806" s="6">
        <v>24</v>
      </c>
      <c r="C1806" s="6" t="str">
        <f t="shared" si="382"/>
        <v>630580800ALABEL, RAW MATERIAL, BLA K12 TPC BUCKLE5160585449362400000</v>
      </c>
      <c r="D1806" s="23" t="s">
        <v>445</v>
      </c>
      <c r="E1806" s="6" t="s">
        <v>71</v>
      </c>
      <c r="F1806" s="6"/>
      <c r="G1806" s="7" t="s">
        <v>31</v>
      </c>
      <c r="H1806" s="19"/>
      <c r="I1806" s="19"/>
      <c r="J1806" s="19"/>
      <c r="K1806" s="19"/>
      <c r="L1806" s="14">
        <v>5160585</v>
      </c>
      <c r="M1806" s="22">
        <v>44936</v>
      </c>
      <c r="N1806" s="19" t="s">
        <v>196</v>
      </c>
      <c r="O1806" s="19" t="s">
        <v>333</v>
      </c>
      <c r="P1806" s="15">
        <v>2400000</v>
      </c>
      <c r="Q1806" s="15">
        <v>86522.34</v>
      </c>
      <c r="R1806" s="15">
        <v>87082900</v>
      </c>
      <c r="S1806" s="15">
        <v>15</v>
      </c>
      <c r="T1806" s="19" t="s">
        <v>265</v>
      </c>
      <c r="U1806" s="19" t="s">
        <v>178</v>
      </c>
      <c r="V1806" s="16">
        <f t="shared" si="374"/>
        <v>12978.350999999999</v>
      </c>
      <c r="W1806" s="16">
        <f t="shared" si="375"/>
        <v>1297.8351</v>
      </c>
      <c r="X1806" s="16">
        <f t="shared" si="376"/>
        <v>14276.186099999999</v>
      </c>
      <c r="Y1806" s="16">
        <f t="shared" si="377"/>
        <v>5.9484108749999999E-3</v>
      </c>
      <c r="Z1806" s="16">
        <f t="shared" si="378"/>
        <v>3.6050974999999999E-2</v>
      </c>
      <c r="AA1806" s="17">
        <f t="shared" si="379"/>
        <v>2400000</v>
      </c>
      <c r="AB1806" s="10">
        <v>52999</v>
      </c>
      <c r="AC1806" s="18">
        <f t="shared" si="380"/>
        <v>315.25982796412501</v>
      </c>
      <c r="AD1806" s="12">
        <f t="shared" si="364"/>
        <v>548546</v>
      </c>
      <c r="AE1806" s="13">
        <f t="shared" si="381"/>
        <v>1851454</v>
      </c>
    </row>
    <row r="1807" spans="1:32">
      <c r="A1807" s="6">
        <v>20</v>
      </c>
      <c r="B1807" s="6">
        <v>25</v>
      </c>
      <c r="C1807" s="6" t="str">
        <f t="shared" si="382"/>
        <v>639590100BSCREW SELF TAPPING INTERNAL T15, 15.0849633745709120000</v>
      </c>
      <c r="D1807" s="23" t="s">
        <v>445</v>
      </c>
      <c r="E1807" s="6" t="s">
        <v>165</v>
      </c>
      <c r="F1807" s="6"/>
      <c r="G1807" s="7" t="s">
        <v>143</v>
      </c>
      <c r="H1807" s="19"/>
      <c r="I1807" s="19"/>
      <c r="J1807" s="19"/>
      <c r="K1807" s="19"/>
      <c r="L1807" s="14">
        <v>8496337</v>
      </c>
      <c r="M1807" s="22">
        <v>45709</v>
      </c>
      <c r="N1807" s="19" t="s">
        <v>180</v>
      </c>
      <c r="O1807" s="19" t="s">
        <v>332</v>
      </c>
      <c r="P1807" s="15">
        <v>120000</v>
      </c>
      <c r="Q1807" s="15">
        <v>164295.38</v>
      </c>
      <c r="R1807" s="15">
        <v>87089400</v>
      </c>
      <c r="S1807" s="15">
        <v>15</v>
      </c>
      <c r="T1807" s="19" t="s">
        <v>425</v>
      </c>
      <c r="U1807" s="19" t="s">
        <v>178</v>
      </c>
      <c r="V1807" s="16">
        <f t="shared" si="374"/>
        <v>24644.307000000001</v>
      </c>
      <c r="W1807" s="16">
        <f t="shared" si="375"/>
        <v>2464.4307000000003</v>
      </c>
      <c r="X1807" s="16">
        <f t="shared" si="376"/>
        <v>27108.737700000001</v>
      </c>
      <c r="Y1807" s="16">
        <f t="shared" si="377"/>
        <v>0.22590614750000002</v>
      </c>
      <c r="Z1807" s="16">
        <f t="shared" si="378"/>
        <v>1.3691281666666668</v>
      </c>
      <c r="AA1807" s="17">
        <f t="shared" si="379"/>
        <v>120000</v>
      </c>
      <c r="AB1807" s="10">
        <v>97316</v>
      </c>
      <c r="AC1807" s="18">
        <f t="shared" si="380"/>
        <v>21984.282650110003</v>
      </c>
      <c r="AD1807" s="12">
        <f t="shared" si="364"/>
        <v>113208</v>
      </c>
      <c r="AE1807" s="13">
        <f t="shared" si="381"/>
        <v>6792</v>
      </c>
    </row>
    <row r="1808" spans="1:32">
      <c r="A1808" s="6">
        <v>20</v>
      </c>
      <c r="B1808" s="6">
        <v>26</v>
      </c>
      <c r="C1808" s="6" t="str">
        <f t="shared" si="382"/>
        <v>644345600ASCREW, SELF-TAPPING, PLA PLASTIC, 3.0, CROSS587174045565120000</v>
      </c>
      <c r="D1808" s="23" t="s">
        <v>445</v>
      </c>
      <c r="E1808" s="6" t="s">
        <v>166</v>
      </c>
      <c r="F1808" s="6"/>
      <c r="G1808" s="7" t="s">
        <v>144</v>
      </c>
      <c r="H1808" s="19"/>
      <c r="I1808" s="19"/>
      <c r="J1808" s="19"/>
      <c r="K1808" s="19"/>
      <c r="L1808" s="14">
        <v>5871740</v>
      </c>
      <c r="M1808" s="22">
        <v>45565</v>
      </c>
      <c r="N1808" s="19" t="s">
        <v>189</v>
      </c>
      <c r="O1808" s="19" t="s">
        <v>333</v>
      </c>
      <c r="P1808" s="15">
        <v>120000</v>
      </c>
      <c r="Q1808" s="15">
        <v>92800.89</v>
      </c>
      <c r="R1808" s="15">
        <v>87089500</v>
      </c>
      <c r="S1808" s="15">
        <v>15</v>
      </c>
      <c r="T1808" s="19" t="s">
        <v>392</v>
      </c>
      <c r="U1808" s="19" t="s">
        <v>178</v>
      </c>
      <c r="V1808" s="16">
        <f t="shared" si="374"/>
        <v>13920.1335</v>
      </c>
      <c r="W1808" s="16">
        <f t="shared" si="375"/>
        <v>1392.0133500000002</v>
      </c>
      <c r="X1808" s="16">
        <f t="shared" si="376"/>
        <v>15312.146850000001</v>
      </c>
      <c r="Y1808" s="16">
        <f t="shared" si="377"/>
        <v>0.12760122375000002</v>
      </c>
      <c r="Z1808" s="16">
        <f t="shared" si="378"/>
        <v>0.77334075000000002</v>
      </c>
      <c r="AA1808" s="17">
        <f t="shared" si="379"/>
        <v>120000</v>
      </c>
      <c r="AB1808" s="10">
        <v>31814</v>
      </c>
      <c r="AC1808" s="18">
        <f t="shared" si="380"/>
        <v>4059.5053323825005</v>
      </c>
      <c r="AD1808" s="12">
        <f t="shared" si="364"/>
        <v>48614</v>
      </c>
      <c r="AE1808" s="13">
        <f t="shared" si="381"/>
        <v>71386</v>
      </c>
    </row>
    <row r="1809" spans="1:33">
      <c r="A1809" s="6">
        <v>20</v>
      </c>
      <c r="B1809" s="6">
        <v>27</v>
      </c>
      <c r="C1809" s="6" t="str">
        <f t="shared" si="382"/>
        <v>628408700ASCREW, STANDARD, METRIC, M5, HEXALOBULAR INTERNAL59823004557060000</v>
      </c>
      <c r="D1809" s="23" t="s">
        <v>445</v>
      </c>
      <c r="E1809" s="6" t="s">
        <v>167</v>
      </c>
      <c r="F1809" s="6"/>
      <c r="G1809" s="7" t="s">
        <v>145</v>
      </c>
      <c r="H1809" s="19"/>
      <c r="I1809" s="19"/>
      <c r="J1809" s="19"/>
      <c r="K1809" s="19"/>
      <c r="L1809" s="14">
        <v>5982300</v>
      </c>
      <c r="M1809" s="22">
        <v>45570</v>
      </c>
      <c r="N1809" s="19" t="s">
        <v>190</v>
      </c>
      <c r="O1809" s="19" t="s">
        <v>333</v>
      </c>
      <c r="P1809" s="15">
        <v>60000</v>
      </c>
      <c r="Q1809" s="15">
        <v>298136.65000000002</v>
      </c>
      <c r="R1809" s="15">
        <v>87089400</v>
      </c>
      <c r="S1809" s="15">
        <v>15</v>
      </c>
      <c r="T1809" s="19" t="s">
        <v>387</v>
      </c>
      <c r="U1809" s="19" t="s">
        <v>178</v>
      </c>
      <c r="V1809" s="16">
        <f t="shared" si="374"/>
        <v>44720.497500000005</v>
      </c>
      <c r="W1809" s="16">
        <f t="shared" si="375"/>
        <v>4472.049750000001</v>
      </c>
      <c r="X1809" s="16">
        <f t="shared" si="376"/>
        <v>49192.547250000003</v>
      </c>
      <c r="Y1809" s="16">
        <f t="shared" si="377"/>
        <v>0.81987578750000001</v>
      </c>
      <c r="Z1809" s="16">
        <f t="shared" si="378"/>
        <v>4.9689441666666667</v>
      </c>
      <c r="AA1809" s="17">
        <f t="shared" si="379"/>
        <v>60000</v>
      </c>
      <c r="AB1809" s="10">
        <v>47721</v>
      </c>
      <c r="AC1809" s="18">
        <f t="shared" si="380"/>
        <v>39125.292455287497</v>
      </c>
      <c r="AD1809" s="12">
        <f t="shared" si="364"/>
        <v>47721</v>
      </c>
      <c r="AE1809" s="13">
        <f t="shared" si="381"/>
        <v>12279</v>
      </c>
    </row>
    <row r="1810" spans="1:33">
      <c r="A1810" s="6">
        <v>20</v>
      </c>
      <c r="B1810" s="6">
        <v>28</v>
      </c>
      <c r="C1810" s="6" t="str">
        <f t="shared" si="382"/>
        <v>651409900ASCREW, STD METRIC M6 HEXALOBULAR INTERNAL, T475602524565830000</v>
      </c>
      <c r="D1810" s="23" t="s">
        <v>445</v>
      </c>
      <c r="E1810" s="6" t="s">
        <v>168</v>
      </c>
      <c r="F1810" s="6"/>
      <c r="G1810" s="7" t="s">
        <v>146</v>
      </c>
      <c r="H1810" s="19"/>
      <c r="I1810" s="19"/>
      <c r="J1810" s="19"/>
      <c r="K1810" s="19"/>
      <c r="L1810" s="14">
        <v>7560252</v>
      </c>
      <c r="M1810" s="22">
        <v>45658</v>
      </c>
      <c r="N1810" s="19" t="s">
        <v>189</v>
      </c>
      <c r="O1810" s="19" t="s">
        <v>333</v>
      </c>
      <c r="P1810" s="15">
        <v>30000</v>
      </c>
      <c r="Q1810" s="15">
        <v>101906.49</v>
      </c>
      <c r="R1810" s="15">
        <v>87089500</v>
      </c>
      <c r="S1810" s="15">
        <v>15</v>
      </c>
      <c r="T1810" s="19" t="s">
        <v>392</v>
      </c>
      <c r="U1810" s="19" t="s">
        <v>178</v>
      </c>
      <c r="V1810" s="16">
        <f t="shared" si="374"/>
        <v>15285.9735</v>
      </c>
      <c r="W1810" s="16">
        <f t="shared" si="375"/>
        <v>1528.59735</v>
      </c>
      <c r="X1810" s="16">
        <f t="shared" si="376"/>
        <v>16814.57085</v>
      </c>
      <c r="Y1810" s="16">
        <f t="shared" si="377"/>
        <v>0.56048569500000001</v>
      </c>
      <c r="Z1810" s="16">
        <f t="shared" si="378"/>
        <v>3.3968830000000003</v>
      </c>
      <c r="AA1810" s="17">
        <f t="shared" si="379"/>
        <v>30000</v>
      </c>
      <c r="AB1810" s="10">
        <v>30000</v>
      </c>
      <c r="AC1810" s="18">
        <f t="shared" si="380"/>
        <v>16814.57085</v>
      </c>
      <c r="AD1810" s="12">
        <f t="shared" si="364"/>
        <v>30000</v>
      </c>
      <c r="AE1810" s="13">
        <f t="shared" si="381"/>
        <v>0</v>
      </c>
    </row>
    <row r="1811" spans="1:33">
      <c r="A1811" s="6">
        <v>20</v>
      </c>
      <c r="B1811" s="6">
        <v>29</v>
      </c>
      <c r="C1811" s="6" t="str">
        <f t="shared" si="382"/>
        <v>651409900ASCREW, STD METRIC M6 HEXALOBULAR INTERNAL, T4798510145681100000</v>
      </c>
      <c r="D1811" s="23" t="s">
        <v>445</v>
      </c>
      <c r="E1811" s="6" t="s">
        <v>168</v>
      </c>
      <c r="F1811" s="6"/>
      <c r="G1811" s="7" t="s">
        <v>146</v>
      </c>
      <c r="H1811" s="19"/>
      <c r="I1811" s="19"/>
      <c r="J1811" s="19"/>
      <c r="K1811" s="19"/>
      <c r="L1811" s="14">
        <v>7985101</v>
      </c>
      <c r="M1811" s="22">
        <v>45681</v>
      </c>
      <c r="N1811" s="19" t="s">
        <v>180</v>
      </c>
      <c r="O1811" s="19" t="s">
        <v>332</v>
      </c>
      <c r="P1811" s="15">
        <v>100000</v>
      </c>
      <c r="Q1811" s="15">
        <v>135898.69</v>
      </c>
      <c r="R1811" s="15">
        <v>87089400</v>
      </c>
      <c r="S1811" s="15">
        <v>15</v>
      </c>
      <c r="T1811" s="19" t="s">
        <v>425</v>
      </c>
      <c r="U1811" s="19" t="s">
        <v>178</v>
      </c>
      <c r="V1811" s="16">
        <f t="shared" si="374"/>
        <v>20384.803499999998</v>
      </c>
      <c r="W1811" s="16">
        <f t="shared" si="375"/>
        <v>2038.4803499999998</v>
      </c>
      <c r="X1811" s="16">
        <f t="shared" si="376"/>
        <v>22423.28385</v>
      </c>
      <c r="Y1811" s="16">
        <f t="shared" si="377"/>
        <v>0.2242328385</v>
      </c>
      <c r="Z1811" s="16">
        <f t="shared" si="378"/>
        <v>1.3589869000000001</v>
      </c>
      <c r="AA1811" s="17">
        <f t="shared" si="379"/>
        <v>100000</v>
      </c>
      <c r="AB1811" s="10">
        <v>1814</v>
      </c>
      <c r="AC1811" s="18">
        <f t="shared" si="380"/>
        <v>406.758369039</v>
      </c>
      <c r="AD1811" s="12">
        <f t="shared" si="364"/>
        <v>18614</v>
      </c>
      <c r="AE1811" s="13">
        <f t="shared" si="381"/>
        <v>81386</v>
      </c>
    </row>
    <row r="1812" spans="1:33">
      <c r="A1812" s="6">
        <v>20</v>
      </c>
      <c r="B1812" s="6">
        <v>30</v>
      </c>
      <c r="C1812" s="6" t="str">
        <f t="shared" si="382"/>
        <v>608225700ASCREW,STD METRIIC HEXALOBULAR  M5 T25 12MM76982584566640000</v>
      </c>
      <c r="D1812" s="23" t="s">
        <v>445</v>
      </c>
      <c r="E1812" s="6" t="s">
        <v>169</v>
      </c>
      <c r="F1812" s="6"/>
      <c r="G1812" s="7" t="s">
        <v>147</v>
      </c>
      <c r="H1812" s="19"/>
      <c r="I1812" s="19"/>
      <c r="J1812" s="19"/>
      <c r="K1812" s="19"/>
      <c r="L1812" s="14">
        <v>7698258</v>
      </c>
      <c r="M1812" s="22">
        <v>45666</v>
      </c>
      <c r="N1812" s="19" t="s">
        <v>189</v>
      </c>
      <c r="O1812" s="19" t="s">
        <v>332</v>
      </c>
      <c r="P1812" s="15">
        <v>40000</v>
      </c>
      <c r="Q1812" s="15">
        <v>126632.06</v>
      </c>
      <c r="R1812" s="15">
        <v>87089400</v>
      </c>
      <c r="S1812" s="15">
        <v>15</v>
      </c>
      <c r="T1812" s="19" t="s">
        <v>393</v>
      </c>
      <c r="U1812" s="19" t="s">
        <v>178</v>
      </c>
      <c r="V1812" s="16">
        <f t="shared" si="374"/>
        <v>18994.808999999997</v>
      </c>
      <c r="W1812" s="16">
        <f t="shared" si="375"/>
        <v>1899.4808999999998</v>
      </c>
      <c r="X1812" s="16">
        <f t="shared" si="376"/>
        <v>20894.289899999996</v>
      </c>
      <c r="Y1812" s="16">
        <f t="shared" si="377"/>
        <v>0.5223572474999999</v>
      </c>
      <c r="Z1812" s="16">
        <f t="shared" si="378"/>
        <v>3.1658015000000002</v>
      </c>
      <c r="AA1812" s="17">
        <f t="shared" si="379"/>
        <v>40000</v>
      </c>
      <c r="AB1812" s="10">
        <v>31814</v>
      </c>
      <c r="AC1812" s="18">
        <f t="shared" si="380"/>
        <v>16618.273471964996</v>
      </c>
      <c r="AD1812" s="12">
        <f t="shared" si="364"/>
        <v>31814</v>
      </c>
      <c r="AE1812" s="13">
        <f t="shared" si="381"/>
        <v>8186</v>
      </c>
    </row>
    <row r="1813" spans="1:33">
      <c r="A1813" s="6">
        <v>20</v>
      </c>
      <c r="B1813" s="6">
        <v>31</v>
      </c>
      <c r="C1813" s="6" t="str">
        <f t="shared" si="382"/>
        <v>651166400CSPRING, COIL, UPPER 80524994568550000</v>
      </c>
      <c r="D1813" s="23" t="s">
        <v>445</v>
      </c>
      <c r="E1813" s="6" t="s">
        <v>170</v>
      </c>
      <c r="F1813" s="6"/>
      <c r="G1813" s="7" t="s">
        <v>148</v>
      </c>
      <c r="H1813" s="19"/>
      <c r="I1813" s="19"/>
      <c r="J1813" s="19"/>
      <c r="K1813" s="19"/>
      <c r="L1813" s="14">
        <v>8052499</v>
      </c>
      <c r="M1813" s="22">
        <v>45685</v>
      </c>
      <c r="N1813" s="19" t="s">
        <v>185</v>
      </c>
      <c r="O1813" s="19" t="s">
        <v>332</v>
      </c>
      <c r="P1813" s="15">
        <v>50000</v>
      </c>
      <c r="Q1813" s="15">
        <v>98446.399999999994</v>
      </c>
      <c r="R1813" s="15">
        <v>87089500</v>
      </c>
      <c r="S1813" s="15">
        <v>15</v>
      </c>
      <c r="T1813" s="19" t="s">
        <v>449</v>
      </c>
      <c r="U1813" s="19" t="s">
        <v>178</v>
      </c>
      <c r="V1813" s="16">
        <f t="shared" si="374"/>
        <v>14766.96</v>
      </c>
      <c r="W1813" s="16">
        <f t="shared" si="375"/>
        <v>1476.6959999999999</v>
      </c>
      <c r="X1813" s="16">
        <f t="shared" si="376"/>
        <v>16243.655999999999</v>
      </c>
      <c r="Y1813" s="16">
        <f t="shared" si="377"/>
        <v>0.32487311999999996</v>
      </c>
      <c r="Z1813" s="16">
        <f t="shared" si="378"/>
        <v>1.9689279999999998</v>
      </c>
      <c r="AA1813" s="17">
        <f t="shared" si="379"/>
        <v>50000</v>
      </c>
      <c r="AB1813" s="10">
        <v>47721</v>
      </c>
      <c r="AC1813" s="18">
        <f t="shared" si="380"/>
        <v>15503.270159519998</v>
      </c>
      <c r="AD1813" s="12">
        <f t="shared" si="364"/>
        <v>47721</v>
      </c>
      <c r="AE1813" s="13">
        <f t="shared" si="381"/>
        <v>2279</v>
      </c>
    </row>
    <row r="1814" spans="1:33">
      <c r="A1814" s="6">
        <v>20</v>
      </c>
      <c r="B1814" s="6">
        <v>32</v>
      </c>
      <c r="C1814" s="6" t="str">
        <f t="shared" si="382"/>
        <v>625090202BTAPE, IC, CONTINUOUS, 13.0 MM., PET 3M 842197216584530935100</v>
      </c>
      <c r="D1814" s="23" t="s">
        <v>445</v>
      </c>
      <c r="E1814" s="6" t="s">
        <v>128</v>
      </c>
      <c r="F1814" s="6"/>
      <c r="G1814" s="19" t="s">
        <v>103</v>
      </c>
      <c r="H1814" s="19"/>
      <c r="I1814" s="19"/>
      <c r="J1814" s="19"/>
      <c r="K1814" s="19"/>
      <c r="L1814" s="14">
        <v>9721658</v>
      </c>
      <c r="M1814" s="22">
        <v>45309</v>
      </c>
      <c r="N1814" s="19" t="s">
        <v>196</v>
      </c>
      <c r="O1814" s="19" t="s">
        <v>333</v>
      </c>
      <c r="P1814" s="15">
        <v>35100</v>
      </c>
      <c r="Q1814" s="15">
        <v>436316.42</v>
      </c>
      <c r="R1814" s="15">
        <v>87089500</v>
      </c>
      <c r="S1814" s="15">
        <v>15</v>
      </c>
      <c r="T1814" s="19" t="s">
        <v>228</v>
      </c>
      <c r="U1814" s="19" t="s">
        <v>178</v>
      </c>
      <c r="V1814" s="16">
        <f t="shared" si="374"/>
        <v>65447.462999999996</v>
      </c>
      <c r="W1814" s="16">
        <f t="shared" si="375"/>
        <v>6544.7462999999998</v>
      </c>
      <c r="X1814" s="16">
        <f t="shared" si="376"/>
        <v>71992.209300000002</v>
      </c>
      <c r="Y1814" s="16">
        <f t="shared" si="377"/>
        <v>2.0510600940170942</v>
      </c>
      <c r="Z1814" s="16">
        <f t="shared" si="378"/>
        <v>12.430667236467237</v>
      </c>
      <c r="AA1814" s="17">
        <f t="shared" si="379"/>
        <v>35100</v>
      </c>
      <c r="AB1814" s="10">
        <v>3709.44</v>
      </c>
      <c r="AC1814" s="18">
        <f t="shared" si="380"/>
        <v>7608.2843551507704</v>
      </c>
      <c r="AD1814" s="12">
        <f t="shared" si="364"/>
        <v>4779.3600000000006</v>
      </c>
      <c r="AE1814" s="13">
        <f t="shared" si="381"/>
        <v>30320.639999999999</v>
      </c>
    </row>
    <row r="1815" spans="1:33">
      <c r="A1815" s="6">
        <v>20</v>
      </c>
      <c r="B1815" s="6">
        <v>33</v>
      </c>
      <c r="C1815" s="6" t="str">
        <f t="shared" si="382"/>
        <v>649421100AINFLATOR, ASP-5.1, P20, SRR, IMI, SERV, NO STUDS4264346454748640</v>
      </c>
      <c r="D1815" s="23" t="s">
        <v>445</v>
      </c>
      <c r="E1815" s="6" t="s">
        <v>469</v>
      </c>
      <c r="F1815" s="6"/>
      <c r="G1815" s="7" t="s">
        <v>16</v>
      </c>
      <c r="H1815" s="19"/>
      <c r="I1815" s="19"/>
      <c r="J1815" s="19"/>
      <c r="K1815" s="19"/>
      <c r="L1815" s="14">
        <v>4264346</v>
      </c>
      <c r="M1815" s="22">
        <v>45474</v>
      </c>
      <c r="N1815" s="19" t="s">
        <v>197</v>
      </c>
      <c r="O1815" s="19" t="s">
        <v>333</v>
      </c>
      <c r="P1815" s="15">
        <v>8640</v>
      </c>
      <c r="Q1815" s="15">
        <v>1635583.3</v>
      </c>
      <c r="R1815" s="15">
        <v>87089500</v>
      </c>
      <c r="S1815" s="15">
        <v>15</v>
      </c>
      <c r="T1815" s="19" t="s">
        <v>437</v>
      </c>
      <c r="U1815" s="19" t="s">
        <v>200</v>
      </c>
      <c r="V1815" s="16">
        <f t="shared" si="374"/>
        <v>245337.495</v>
      </c>
      <c r="W1815" s="16">
        <f t="shared" si="375"/>
        <v>24533.749500000002</v>
      </c>
      <c r="X1815" s="16">
        <f t="shared" si="376"/>
        <v>269871.24449999997</v>
      </c>
      <c r="Y1815" s="16">
        <f t="shared" si="377"/>
        <v>31.235097743055551</v>
      </c>
      <c r="Z1815" s="16">
        <f t="shared" si="378"/>
        <v>189.30362268518519</v>
      </c>
      <c r="AA1815" s="17">
        <f t="shared" si="379"/>
        <v>8640</v>
      </c>
      <c r="AB1815" s="10">
        <v>8640</v>
      </c>
      <c r="AC1815" s="18">
        <f t="shared" si="380"/>
        <v>269871.24449999997</v>
      </c>
      <c r="AD1815" s="12">
        <f t="shared" si="364"/>
        <v>8640</v>
      </c>
      <c r="AE1815" s="13">
        <f t="shared" si="381"/>
        <v>0</v>
      </c>
    </row>
    <row r="1816" spans="1:33">
      <c r="A1816" s="6">
        <v>20</v>
      </c>
      <c r="B1816" s="6">
        <v>34</v>
      </c>
      <c r="C1816" s="6" t="str">
        <f t="shared" si="382"/>
        <v>649421100AINFLATOR, ASP-5.1, P20, SRR, IMI, SERV, NO STUDS48787844550910368</v>
      </c>
      <c r="D1816" s="23" t="s">
        <v>445</v>
      </c>
      <c r="E1816" s="6" t="s">
        <v>469</v>
      </c>
      <c r="F1816" s="6"/>
      <c r="G1816" s="7" t="s">
        <v>16</v>
      </c>
      <c r="H1816" s="19"/>
      <c r="I1816" s="19"/>
      <c r="J1816" s="19"/>
      <c r="K1816" s="19"/>
      <c r="L1816" s="14">
        <v>4878784</v>
      </c>
      <c r="M1816" s="22">
        <v>45509</v>
      </c>
      <c r="N1816" s="19" t="s">
        <v>197</v>
      </c>
      <c r="O1816" s="19" t="s">
        <v>333</v>
      </c>
      <c r="P1816" s="15">
        <v>10368</v>
      </c>
      <c r="Q1816" s="15">
        <v>1991749.66</v>
      </c>
      <c r="R1816" s="15">
        <v>87089500</v>
      </c>
      <c r="S1816" s="15">
        <v>15</v>
      </c>
      <c r="T1816" s="19" t="s">
        <v>428</v>
      </c>
      <c r="U1816" s="19" t="s">
        <v>200</v>
      </c>
      <c r="V1816" s="16">
        <f t="shared" si="374"/>
        <v>298762.44899999996</v>
      </c>
      <c r="W1816" s="16">
        <f t="shared" si="375"/>
        <v>29876.244899999998</v>
      </c>
      <c r="X1816" s="16">
        <f t="shared" si="376"/>
        <v>328638.69389999995</v>
      </c>
      <c r="Y1816" s="16">
        <f t="shared" si="377"/>
        <v>31.697404890046293</v>
      </c>
      <c r="Z1816" s="16">
        <f t="shared" si="378"/>
        <v>192.10548418209876</v>
      </c>
      <c r="AA1816" s="17">
        <f t="shared" si="379"/>
        <v>10368</v>
      </c>
      <c r="AB1816" s="10">
        <v>5568</v>
      </c>
      <c r="AC1816" s="18">
        <f t="shared" si="380"/>
        <v>176491.15042777776</v>
      </c>
      <c r="AD1816" s="12">
        <f t="shared" si="364"/>
        <v>5568</v>
      </c>
      <c r="AE1816" s="13">
        <f t="shared" si="381"/>
        <v>4800</v>
      </c>
    </row>
    <row r="1817" spans="1:33">
      <c r="A1817" s="6">
        <v>20</v>
      </c>
      <c r="B1817" s="6">
        <v>35</v>
      </c>
      <c r="C1817" s="6" t="str">
        <f t="shared" si="382"/>
        <v>656334800FCushion ICAB FI 2 Row C KSID, ASP5.1, BUTTON HOL998446845327645</v>
      </c>
      <c r="D1817" s="23" t="s">
        <v>445</v>
      </c>
      <c r="E1817" s="6" t="s">
        <v>131</v>
      </c>
      <c r="F1817" s="6"/>
      <c r="G1817" s="19" t="s">
        <v>104</v>
      </c>
      <c r="H1817" s="19"/>
      <c r="I1817" s="19"/>
      <c r="J1817" s="19"/>
      <c r="K1817" s="19"/>
      <c r="L1817" s="14">
        <v>9984468</v>
      </c>
      <c r="M1817" s="22">
        <v>45327</v>
      </c>
      <c r="N1817" s="19" t="s">
        <v>197</v>
      </c>
      <c r="O1817" s="19" t="s">
        <v>333</v>
      </c>
      <c r="P1817" s="15">
        <v>645</v>
      </c>
      <c r="Q1817" s="15">
        <v>418920.98</v>
      </c>
      <c r="R1817" s="15">
        <v>87089900</v>
      </c>
      <c r="S1817" s="15">
        <v>5</v>
      </c>
      <c r="T1817" s="19" t="s">
        <v>355</v>
      </c>
      <c r="U1817" s="19" t="s">
        <v>200</v>
      </c>
      <c r="V1817" s="16">
        <f t="shared" si="374"/>
        <v>20946.048999999999</v>
      </c>
      <c r="W1817" s="16">
        <f t="shared" si="375"/>
        <v>2094.6048999999998</v>
      </c>
      <c r="X1817" s="16">
        <f t="shared" si="376"/>
        <v>23040.653899999998</v>
      </c>
      <c r="Y1817" s="16">
        <f t="shared" si="377"/>
        <v>35.721944031007752</v>
      </c>
      <c r="Z1817" s="16">
        <f t="shared" si="378"/>
        <v>649.48989147286818</v>
      </c>
      <c r="AA1817" s="17">
        <f t="shared" si="379"/>
        <v>645</v>
      </c>
      <c r="AB1817" s="10">
        <v>645</v>
      </c>
      <c r="AC1817" s="18">
        <f t="shared" si="380"/>
        <v>23040.653900000001</v>
      </c>
      <c r="AD1817" s="12">
        <f t="shared" si="364"/>
        <v>645</v>
      </c>
      <c r="AE1817" s="13">
        <f t="shared" si="381"/>
        <v>0</v>
      </c>
    </row>
    <row r="1818" spans="1:33">
      <c r="A1818" s="6">
        <v>20</v>
      </c>
      <c r="B1818" s="6">
        <v>36</v>
      </c>
      <c r="C1818" s="6" t="str">
        <f t="shared" si="382"/>
        <v>656334800FCushion ICAB FI 2 Row C KSID, ASP5.1, BUTTON HOL467321245497660</v>
      </c>
      <c r="D1818" s="23" t="s">
        <v>445</v>
      </c>
      <c r="E1818" s="6" t="s">
        <v>131</v>
      </c>
      <c r="F1818" s="6"/>
      <c r="G1818" s="19" t="s">
        <v>104</v>
      </c>
      <c r="H1818" s="19"/>
      <c r="I1818" s="19"/>
      <c r="J1818" s="19"/>
      <c r="K1818" s="19"/>
      <c r="L1818" s="14">
        <v>4673212</v>
      </c>
      <c r="M1818" s="22">
        <v>45497</v>
      </c>
      <c r="N1818" s="19" t="s">
        <v>185</v>
      </c>
      <c r="O1818" s="19" t="s">
        <v>332</v>
      </c>
      <c r="P1818" s="15">
        <v>660</v>
      </c>
      <c r="Q1818" s="15">
        <v>430592.37</v>
      </c>
      <c r="R1818" s="15">
        <v>87089900</v>
      </c>
      <c r="S1818" s="15">
        <v>5</v>
      </c>
      <c r="T1818" s="19" t="s">
        <v>355</v>
      </c>
      <c r="U1818" s="19" t="s">
        <v>178</v>
      </c>
      <c r="V1818" s="16">
        <f t="shared" si="374"/>
        <v>21529.6185</v>
      </c>
      <c r="W1818" s="16">
        <f t="shared" si="375"/>
        <v>2152.9618500000001</v>
      </c>
      <c r="X1818" s="16">
        <f t="shared" si="376"/>
        <v>23682.58035</v>
      </c>
      <c r="Y1818" s="16">
        <f t="shared" si="377"/>
        <v>35.882697499999999</v>
      </c>
      <c r="Z1818" s="16">
        <f t="shared" si="378"/>
        <v>652.4126818181818</v>
      </c>
      <c r="AA1818" s="17">
        <f t="shared" si="379"/>
        <v>660</v>
      </c>
      <c r="AB1818" s="10">
        <v>660</v>
      </c>
      <c r="AC1818" s="18">
        <f t="shared" si="380"/>
        <v>23682.58035</v>
      </c>
      <c r="AD1818" s="12">
        <f t="shared" si="364"/>
        <v>660</v>
      </c>
      <c r="AE1818" s="13">
        <f t="shared" si="381"/>
        <v>0</v>
      </c>
    </row>
    <row r="1819" spans="1:33">
      <c r="A1819" s="6">
        <v>20</v>
      </c>
      <c r="B1819" s="6">
        <v>37</v>
      </c>
      <c r="C1819" s="6" t="str">
        <f t="shared" si="382"/>
        <v>656334800FCushion ICAB FI 2 Row C KSID, ASP5.1, BUTTON HOL465006945496660</v>
      </c>
      <c r="D1819" s="23" t="s">
        <v>445</v>
      </c>
      <c r="E1819" s="6" t="s">
        <v>131</v>
      </c>
      <c r="F1819" s="6"/>
      <c r="G1819" s="19" t="s">
        <v>104</v>
      </c>
      <c r="H1819" s="19"/>
      <c r="I1819" s="19"/>
      <c r="J1819" s="19"/>
      <c r="K1819" s="19"/>
      <c r="L1819" s="14">
        <v>4650069</v>
      </c>
      <c r="M1819" s="22">
        <v>45496</v>
      </c>
      <c r="N1819" s="19" t="s">
        <v>197</v>
      </c>
      <c r="O1819" s="19" t="s">
        <v>333</v>
      </c>
      <c r="P1819" s="15">
        <v>660</v>
      </c>
      <c r="Q1819" s="15">
        <v>434664.08</v>
      </c>
      <c r="R1819" s="15">
        <v>87089900</v>
      </c>
      <c r="S1819" s="15">
        <v>5</v>
      </c>
      <c r="T1819" s="19" t="s">
        <v>363</v>
      </c>
      <c r="U1819" s="19" t="s">
        <v>178</v>
      </c>
      <c r="V1819" s="16">
        <f t="shared" si="374"/>
        <v>21733.204000000002</v>
      </c>
      <c r="W1819" s="16">
        <f t="shared" si="375"/>
        <v>2173.3204000000001</v>
      </c>
      <c r="X1819" s="16">
        <f t="shared" si="376"/>
        <v>23906.524400000002</v>
      </c>
      <c r="Y1819" s="16">
        <f t="shared" si="377"/>
        <v>36.222006666666672</v>
      </c>
      <c r="Z1819" s="16">
        <f t="shared" si="378"/>
        <v>658.58193939393936</v>
      </c>
      <c r="AA1819" s="17">
        <f t="shared" si="379"/>
        <v>660</v>
      </c>
      <c r="AB1819" s="10">
        <v>660</v>
      </c>
      <c r="AC1819" s="18">
        <f t="shared" si="380"/>
        <v>23906.524400000002</v>
      </c>
      <c r="AD1819" s="12">
        <f t="shared" si="364"/>
        <v>660</v>
      </c>
      <c r="AE1819" s="13">
        <f t="shared" si="381"/>
        <v>0</v>
      </c>
    </row>
    <row r="1820" spans="1:33">
      <c r="A1820" s="6">
        <v>20</v>
      </c>
      <c r="B1820" s="6">
        <v>38</v>
      </c>
      <c r="C1820" s="6" t="str">
        <f t="shared" si="382"/>
        <v>656334800FCushion ICAB FI 2 Row C KSID, ASP5.1, BUTTON HOL488046745509660</v>
      </c>
      <c r="D1820" s="23" t="s">
        <v>445</v>
      </c>
      <c r="E1820" s="6" t="s">
        <v>131</v>
      </c>
      <c r="F1820" s="6"/>
      <c r="G1820" s="19" t="s">
        <v>104</v>
      </c>
      <c r="H1820" s="19"/>
      <c r="I1820" s="19"/>
      <c r="J1820" s="19"/>
      <c r="K1820" s="19"/>
      <c r="L1820" s="14">
        <v>4880467</v>
      </c>
      <c r="M1820" s="22">
        <v>45509</v>
      </c>
      <c r="N1820" s="19" t="s">
        <v>197</v>
      </c>
      <c r="O1820" s="19" t="s">
        <v>333</v>
      </c>
      <c r="P1820" s="15">
        <v>660</v>
      </c>
      <c r="Q1820" s="15">
        <v>445453.39</v>
      </c>
      <c r="R1820" s="15">
        <v>87089900</v>
      </c>
      <c r="S1820" s="15">
        <v>5</v>
      </c>
      <c r="T1820" s="19" t="s">
        <v>363</v>
      </c>
      <c r="U1820" s="19" t="s">
        <v>200</v>
      </c>
      <c r="V1820" s="16">
        <f t="shared" si="374"/>
        <v>22272.669500000004</v>
      </c>
      <c r="W1820" s="16">
        <f t="shared" si="375"/>
        <v>2227.2669500000006</v>
      </c>
      <c r="X1820" s="16">
        <f t="shared" si="376"/>
        <v>24499.936450000005</v>
      </c>
      <c r="Y1820" s="16">
        <f t="shared" si="377"/>
        <v>37.121115833333342</v>
      </c>
      <c r="Z1820" s="16">
        <f t="shared" si="378"/>
        <v>674.92937878787882</v>
      </c>
      <c r="AA1820" s="17">
        <f t="shared" si="379"/>
        <v>660</v>
      </c>
      <c r="AB1820" s="10">
        <v>660</v>
      </c>
      <c r="AC1820" s="18">
        <f t="shared" si="380"/>
        <v>24499.936450000005</v>
      </c>
      <c r="AD1820" s="12">
        <f t="shared" si="364"/>
        <v>660</v>
      </c>
      <c r="AE1820" s="13">
        <f t="shared" si="381"/>
        <v>0</v>
      </c>
    </row>
    <row r="1821" spans="1:33">
      <c r="A1821" s="6">
        <v>20</v>
      </c>
      <c r="B1821" s="6">
        <v>39</v>
      </c>
      <c r="C1821" s="6" t="str">
        <f t="shared" si="382"/>
        <v>656334800FCushion ICAB FI 2 Row C KSID, ASP5.1, BUTTON HOL488073345509660</v>
      </c>
      <c r="D1821" s="23" t="s">
        <v>445</v>
      </c>
      <c r="E1821" s="6" t="s">
        <v>131</v>
      </c>
      <c r="F1821" s="6"/>
      <c r="G1821" s="19" t="s">
        <v>104</v>
      </c>
      <c r="H1821" s="19"/>
      <c r="I1821" s="19"/>
      <c r="J1821" s="19"/>
      <c r="K1821" s="19"/>
      <c r="L1821" s="14">
        <v>4880733</v>
      </c>
      <c r="M1821" s="22">
        <v>45509</v>
      </c>
      <c r="N1821" s="19" t="s">
        <v>197</v>
      </c>
      <c r="O1821" s="19" t="s">
        <v>333</v>
      </c>
      <c r="P1821" s="15">
        <v>660</v>
      </c>
      <c r="Q1821" s="15">
        <v>456206.54</v>
      </c>
      <c r="R1821" s="15">
        <v>87089900</v>
      </c>
      <c r="S1821" s="15">
        <v>5</v>
      </c>
      <c r="T1821" s="19" t="s">
        <v>363</v>
      </c>
      <c r="U1821" s="19" t="s">
        <v>200</v>
      </c>
      <c r="V1821" s="16">
        <f t="shared" si="374"/>
        <v>22810.327000000001</v>
      </c>
      <c r="W1821" s="16">
        <f t="shared" si="375"/>
        <v>2281.0327000000002</v>
      </c>
      <c r="X1821" s="16">
        <f t="shared" si="376"/>
        <v>25091.359700000001</v>
      </c>
      <c r="Y1821" s="16">
        <f t="shared" si="377"/>
        <v>38.017211666666668</v>
      </c>
      <c r="Z1821" s="16">
        <f t="shared" si="378"/>
        <v>691.22203030303024</v>
      </c>
      <c r="AA1821" s="17">
        <f t="shared" si="379"/>
        <v>660</v>
      </c>
      <c r="AB1821" s="10">
        <v>660</v>
      </c>
      <c r="AC1821" s="18">
        <f t="shared" si="380"/>
        <v>25091.359700000001</v>
      </c>
      <c r="AD1821" s="12">
        <f t="shared" si="364"/>
        <v>660</v>
      </c>
      <c r="AE1821" s="13">
        <f t="shared" si="381"/>
        <v>0</v>
      </c>
    </row>
    <row r="1822" spans="1:33">
      <c r="A1822" s="6">
        <v>20</v>
      </c>
      <c r="B1822" s="6">
        <v>40</v>
      </c>
      <c r="C1822" s="6" t="str">
        <f t="shared" si="382"/>
        <v>656334800FCushion ICAB FI 2 Row C KSID, ASP5.1, BUTTON HOL524735945530660</v>
      </c>
      <c r="D1822" s="23" t="s">
        <v>445</v>
      </c>
      <c r="E1822" s="6" t="s">
        <v>131</v>
      </c>
      <c r="F1822" s="6"/>
      <c r="G1822" s="19" t="s">
        <v>104</v>
      </c>
      <c r="H1822" s="19"/>
      <c r="I1822" s="19"/>
      <c r="J1822" s="19"/>
      <c r="K1822" s="19"/>
      <c r="L1822" s="14">
        <v>5247359</v>
      </c>
      <c r="M1822" s="22">
        <v>45530</v>
      </c>
      <c r="N1822" s="19" t="s">
        <v>197</v>
      </c>
      <c r="O1822" s="19" t="s">
        <v>333</v>
      </c>
      <c r="P1822" s="15">
        <v>660</v>
      </c>
      <c r="Q1822" s="15">
        <v>456430.71</v>
      </c>
      <c r="R1822" s="15">
        <v>87089900</v>
      </c>
      <c r="S1822" s="15">
        <v>5</v>
      </c>
      <c r="T1822" s="19" t="s">
        <v>363</v>
      </c>
      <c r="U1822" s="19" t="s">
        <v>200</v>
      </c>
      <c r="V1822" s="16">
        <f t="shared" si="374"/>
        <v>22821.535500000002</v>
      </c>
      <c r="W1822" s="16">
        <f t="shared" si="375"/>
        <v>2282.1535500000005</v>
      </c>
      <c r="X1822" s="16">
        <f t="shared" si="376"/>
        <v>25103.689050000001</v>
      </c>
      <c r="Y1822" s="16">
        <f t="shared" si="377"/>
        <v>38.035892500000003</v>
      </c>
      <c r="Z1822" s="16">
        <f t="shared" si="378"/>
        <v>691.5616818181818</v>
      </c>
      <c r="AA1822" s="17">
        <f t="shared" si="379"/>
        <v>660</v>
      </c>
      <c r="AB1822" s="10">
        <v>660</v>
      </c>
      <c r="AC1822" s="18">
        <f t="shared" si="380"/>
        <v>25103.689050000001</v>
      </c>
      <c r="AD1822" s="12">
        <f t="shared" si="364"/>
        <v>660</v>
      </c>
      <c r="AE1822" s="13">
        <f t="shared" si="381"/>
        <v>0</v>
      </c>
    </row>
    <row r="1823" spans="1:33">
      <c r="A1823" s="6">
        <v>20</v>
      </c>
      <c r="B1823" s="6">
        <v>41</v>
      </c>
      <c r="C1823" s="6" t="str">
        <f t="shared" si="382"/>
        <v>656334800FCushion ICAB FI 2 Row C KSID, ASP5.1, BUTTON HOL537214845537660</v>
      </c>
      <c r="D1823" s="23" t="s">
        <v>445</v>
      </c>
      <c r="E1823" s="6" t="s">
        <v>131</v>
      </c>
      <c r="F1823" s="6"/>
      <c r="G1823" s="19" t="s">
        <v>104</v>
      </c>
      <c r="H1823" s="19"/>
      <c r="I1823" s="19"/>
      <c r="J1823" s="19"/>
      <c r="K1823" s="19"/>
      <c r="L1823" s="14">
        <v>5372148</v>
      </c>
      <c r="M1823" s="22">
        <v>45537</v>
      </c>
      <c r="N1823" s="19" t="s">
        <v>197</v>
      </c>
      <c r="O1823" s="19" t="s">
        <v>333</v>
      </c>
      <c r="P1823" s="15">
        <v>660</v>
      </c>
      <c r="Q1823" s="15">
        <v>457578.02</v>
      </c>
      <c r="R1823" s="15">
        <v>87089900</v>
      </c>
      <c r="S1823" s="15">
        <v>5</v>
      </c>
      <c r="T1823" s="19" t="s">
        <v>363</v>
      </c>
      <c r="U1823" s="19" t="s">
        <v>200</v>
      </c>
      <c r="V1823" s="16">
        <f t="shared" si="374"/>
        <v>22878.901000000002</v>
      </c>
      <c r="W1823" s="16">
        <f t="shared" si="375"/>
        <v>2287.8901000000001</v>
      </c>
      <c r="X1823" s="16">
        <f t="shared" si="376"/>
        <v>25166.791100000002</v>
      </c>
      <c r="Y1823" s="16">
        <f t="shared" si="377"/>
        <v>38.131501666666672</v>
      </c>
      <c r="Z1823" s="16">
        <f t="shared" si="378"/>
        <v>693.30003030303033</v>
      </c>
      <c r="AA1823" s="17">
        <f t="shared" si="379"/>
        <v>660</v>
      </c>
      <c r="AB1823" s="10">
        <v>87</v>
      </c>
      <c r="AC1823" s="18">
        <f t="shared" si="380"/>
        <v>3317.4406450000006</v>
      </c>
      <c r="AD1823" s="12">
        <f t="shared" ref="AD1823:AD1886" si="383">SUMIF($C$2:$C$2284,C1823,$AB$2:$AB$2284)</f>
        <v>87</v>
      </c>
      <c r="AE1823" s="13">
        <f t="shared" si="381"/>
        <v>573</v>
      </c>
    </row>
    <row r="1824" spans="1:33">
      <c r="A1824" s="6">
        <v>20</v>
      </c>
      <c r="B1824" s="6">
        <v>42</v>
      </c>
      <c r="C1824" s="6" t="str">
        <f t="shared" si="382"/>
        <v>649421000AAB INFLATOR, ASP-5.1, P20, SRR, IMI, SERV, NO STUDS42643464547410368</v>
      </c>
      <c r="D1824" s="23" t="s">
        <v>445</v>
      </c>
      <c r="E1824" s="6" t="s">
        <v>56</v>
      </c>
      <c r="F1824" s="6"/>
      <c r="G1824" s="7" t="s">
        <v>245</v>
      </c>
      <c r="H1824" s="19"/>
      <c r="I1824" s="19"/>
      <c r="J1824" s="19"/>
      <c r="K1824" s="19"/>
      <c r="L1824" s="14">
        <v>4264346</v>
      </c>
      <c r="M1824" s="22">
        <v>45474</v>
      </c>
      <c r="N1824" s="19" t="s">
        <v>197</v>
      </c>
      <c r="O1824" s="19" t="s">
        <v>333</v>
      </c>
      <c r="P1824" s="15">
        <v>10368</v>
      </c>
      <c r="Q1824" s="15">
        <v>1962699.97</v>
      </c>
      <c r="R1824" s="15">
        <v>87089500</v>
      </c>
      <c r="S1824" s="15">
        <v>15</v>
      </c>
      <c r="T1824" s="19" t="s">
        <v>437</v>
      </c>
      <c r="U1824" s="19" t="s">
        <v>178</v>
      </c>
      <c r="V1824" s="16">
        <f t="shared" si="374"/>
        <v>294404.99549999996</v>
      </c>
      <c r="W1824" s="16">
        <f t="shared" si="375"/>
        <v>29440.499549999997</v>
      </c>
      <c r="X1824" s="16">
        <f t="shared" si="376"/>
        <v>323845.49504999997</v>
      </c>
      <c r="Y1824" s="16">
        <f t="shared" si="377"/>
        <v>31.235097902199072</v>
      </c>
      <c r="Z1824" s="16">
        <f t="shared" si="378"/>
        <v>189.30362364969136</v>
      </c>
      <c r="AA1824" s="17">
        <f t="shared" si="379"/>
        <v>10368</v>
      </c>
      <c r="AB1824" s="10">
        <v>9792</v>
      </c>
      <c r="AC1824" s="18">
        <f t="shared" si="380"/>
        <v>305854.07865833334</v>
      </c>
      <c r="AD1824" s="12">
        <f t="shared" si="383"/>
        <v>9984</v>
      </c>
      <c r="AE1824" s="13">
        <f t="shared" si="381"/>
        <v>384</v>
      </c>
      <c r="AG1824" s="25"/>
    </row>
    <row r="1825" spans="1:31">
      <c r="A1825" s="6">
        <v>20</v>
      </c>
      <c r="B1825" s="6">
        <v>43</v>
      </c>
      <c r="C1825" s="6" t="str">
        <f t="shared" si="382"/>
        <v>621343500CNUT, ISO, M5, NYLON INSE NYLON INSERT2175457453381105000</v>
      </c>
      <c r="D1825" s="23" t="s">
        <v>445</v>
      </c>
      <c r="E1825" s="6" t="s">
        <v>45</v>
      </c>
      <c r="F1825" s="6"/>
      <c r="G1825" s="7" t="s">
        <v>7</v>
      </c>
      <c r="H1825" s="19"/>
      <c r="I1825" s="19"/>
      <c r="J1825" s="19"/>
      <c r="K1825" s="19"/>
      <c r="L1825" s="14">
        <v>2175457</v>
      </c>
      <c r="M1825" s="22">
        <v>45338</v>
      </c>
      <c r="N1825" s="19" t="s">
        <v>182</v>
      </c>
      <c r="O1825" s="19" t="s">
        <v>333</v>
      </c>
      <c r="P1825" s="15">
        <v>1105000</v>
      </c>
      <c r="Q1825" s="15">
        <v>1881273.11</v>
      </c>
      <c r="R1825" s="15">
        <v>87089500</v>
      </c>
      <c r="S1825" s="15">
        <v>15</v>
      </c>
      <c r="T1825" s="19" t="s">
        <v>404</v>
      </c>
      <c r="U1825" s="19" t="s">
        <v>178</v>
      </c>
      <c r="V1825" s="16">
        <f t="shared" si="374"/>
        <v>282190.96649999998</v>
      </c>
      <c r="W1825" s="16">
        <f t="shared" si="375"/>
        <v>28219.096649999999</v>
      </c>
      <c r="X1825" s="16">
        <f t="shared" si="376"/>
        <v>310410.06315</v>
      </c>
      <c r="Y1825" s="16">
        <f t="shared" si="377"/>
        <v>0.28091408429864251</v>
      </c>
      <c r="Z1825" s="16">
        <f t="shared" si="378"/>
        <v>1.7025096018099548</v>
      </c>
      <c r="AA1825" s="17">
        <f t="shared" si="379"/>
        <v>1105000</v>
      </c>
      <c r="AB1825" s="10">
        <v>202320</v>
      </c>
      <c r="AC1825" s="18">
        <f t="shared" si="380"/>
        <v>56834.537535301351</v>
      </c>
      <c r="AD1825" s="12">
        <f t="shared" si="383"/>
        <v>375112</v>
      </c>
      <c r="AE1825" s="13">
        <f t="shared" si="381"/>
        <v>729888</v>
      </c>
    </row>
    <row r="1826" spans="1:31">
      <c r="A1826" s="6">
        <v>20</v>
      </c>
      <c r="B1826" s="6">
        <v>44</v>
      </c>
      <c r="C1826" s="6" t="str">
        <f t="shared" si="382"/>
        <v>643302000AINFLATOR, ADP-1.3B, MP, MIB, SQUARE, NO STUD55155624554520736</v>
      </c>
      <c r="D1826" s="23" t="s">
        <v>445</v>
      </c>
      <c r="E1826" s="6" t="s">
        <v>46</v>
      </c>
      <c r="F1826" s="6"/>
      <c r="G1826" s="7" t="s">
        <v>8</v>
      </c>
      <c r="H1826" s="19"/>
      <c r="I1826" s="19"/>
      <c r="J1826" s="19"/>
      <c r="K1826" s="19"/>
      <c r="L1826" s="14">
        <v>5515562</v>
      </c>
      <c r="M1826" s="22">
        <v>45545</v>
      </c>
      <c r="N1826" s="19" t="s">
        <v>197</v>
      </c>
      <c r="O1826" s="19" t="s">
        <v>333</v>
      </c>
      <c r="P1826" s="15">
        <v>20736</v>
      </c>
      <c r="Q1826" s="15">
        <v>7312074.7800000003</v>
      </c>
      <c r="R1826" s="15">
        <v>87089500</v>
      </c>
      <c r="S1826" s="15">
        <v>15</v>
      </c>
      <c r="T1826" s="19" t="s">
        <v>428</v>
      </c>
      <c r="U1826" s="19" t="s">
        <v>200</v>
      </c>
      <c r="V1826" s="16">
        <f t="shared" si="374"/>
        <v>1096811.2169999999</v>
      </c>
      <c r="W1826" s="16">
        <f t="shared" si="375"/>
        <v>109681.1217</v>
      </c>
      <c r="X1826" s="16">
        <f t="shared" si="376"/>
        <v>1206492.3387</v>
      </c>
      <c r="Y1826" s="16">
        <f t="shared" si="377"/>
        <v>58.183465407986112</v>
      </c>
      <c r="Z1826" s="16">
        <f t="shared" si="378"/>
        <v>352.62706307870371</v>
      </c>
      <c r="AA1826" s="17">
        <f t="shared" si="379"/>
        <v>20736</v>
      </c>
      <c r="AB1826" s="10">
        <v>20736</v>
      </c>
      <c r="AC1826" s="18">
        <f t="shared" si="380"/>
        <v>1206492.3387</v>
      </c>
      <c r="AD1826" s="12">
        <f t="shared" si="383"/>
        <v>20736</v>
      </c>
      <c r="AE1826" s="13">
        <f t="shared" si="381"/>
        <v>0</v>
      </c>
    </row>
    <row r="1827" spans="1:31">
      <c r="A1827" s="6">
        <v>20</v>
      </c>
      <c r="B1827" s="6">
        <v>45</v>
      </c>
      <c r="C1827" s="6" t="str">
        <f t="shared" si="382"/>
        <v>560050622CCHANNEL, BUCKLE, K12 ROA K12A/AT, RIVET BUCKLE, S490021945510145600</v>
      </c>
      <c r="D1827" s="23" t="s">
        <v>445</v>
      </c>
      <c r="E1827" s="6" t="s">
        <v>72</v>
      </c>
      <c r="F1827" s="6"/>
      <c r="G1827" s="7" t="s">
        <v>32</v>
      </c>
      <c r="H1827" s="19"/>
      <c r="I1827" s="19"/>
      <c r="J1827" s="19"/>
      <c r="K1827" s="19"/>
      <c r="L1827" s="14">
        <v>4900219</v>
      </c>
      <c r="M1827" s="22">
        <v>45510</v>
      </c>
      <c r="N1827" s="19" t="s">
        <v>197</v>
      </c>
      <c r="O1827" s="19" t="s">
        <v>333</v>
      </c>
      <c r="P1827" s="15">
        <v>145600</v>
      </c>
      <c r="Q1827" s="15">
        <v>2640438.61</v>
      </c>
      <c r="R1827" s="15">
        <v>87082900</v>
      </c>
      <c r="S1827" s="15">
        <v>15</v>
      </c>
      <c r="T1827" s="19" t="s">
        <v>429</v>
      </c>
      <c r="U1827" s="19" t="s">
        <v>178</v>
      </c>
      <c r="V1827" s="16">
        <f t="shared" si="374"/>
        <v>396065.79149999999</v>
      </c>
      <c r="W1827" s="16">
        <f t="shared" si="375"/>
        <v>39606.579150000005</v>
      </c>
      <c r="X1827" s="16">
        <f t="shared" si="376"/>
        <v>435672.37065</v>
      </c>
      <c r="Y1827" s="16">
        <f t="shared" si="377"/>
        <v>2.9922552929258242</v>
      </c>
      <c r="Z1827" s="16">
        <f t="shared" si="378"/>
        <v>18.134880563186812</v>
      </c>
      <c r="AA1827" s="17">
        <f t="shared" si="379"/>
        <v>145600</v>
      </c>
      <c r="AB1827" s="10">
        <v>13728</v>
      </c>
      <c r="AC1827" s="18">
        <f t="shared" si="380"/>
        <v>41077.680661285711</v>
      </c>
      <c r="AD1827" s="12">
        <f t="shared" si="383"/>
        <v>26816</v>
      </c>
      <c r="AE1827" s="13">
        <f t="shared" si="381"/>
        <v>118784</v>
      </c>
    </row>
    <row r="1828" spans="1:31">
      <c r="A1828" s="6">
        <v>20</v>
      </c>
      <c r="B1828" s="6">
        <v>46</v>
      </c>
      <c r="C1828" s="6" t="str">
        <f t="shared" si="382"/>
        <v>560130122ASPRING, WIRE, COMPRESSIO K12A/AT495151045028300000</v>
      </c>
      <c r="D1828" s="23" t="s">
        <v>445</v>
      </c>
      <c r="E1828" s="6" t="s">
        <v>73</v>
      </c>
      <c r="F1828" s="6"/>
      <c r="G1828" s="7" t="s">
        <v>33</v>
      </c>
      <c r="H1828" s="19"/>
      <c r="I1828" s="19"/>
      <c r="J1828" s="19"/>
      <c r="K1828" s="19"/>
      <c r="L1828" s="14">
        <v>4951510</v>
      </c>
      <c r="M1828" s="22">
        <v>45028</v>
      </c>
      <c r="N1828" s="19" t="s">
        <v>199</v>
      </c>
      <c r="O1828" s="19" t="s">
        <v>332</v>
      </c>
      <c r="P1828" s="15">
        <v>300000</v>
      </c>
      <c r="Q1828" s="15">
        <v>285155.93</v>
      </c>
      <c r="R1828" s="15">
        <v>87082900</v>
      </c>
      <c r="S1828" s="15">
        <v>15</v>
      </c>
      <c r="T1828" s="19" t="s">
        <v>319</v>
      </c>
      <c r="U1828" s="19" t="s">
        <v>178</v>
      </c>
      <c r="V1828" s="16">
        <f t="shared" si="374"/>
        <v>42773.389499999997</v>
      </c>
      <c r="W1828" s="16">
        <f t="shared" si="375"/>
        <v>4277.3389500000003</v>
      </c>
      <c r="X1828" s="16">
        <f t="shared" si="376"/>
        <v>47050.728449999995</v>
      </c>
      <c r="Y1828" s="16">
        <f t="shared" si="377"/>
        <v>0.15683576149999998</v>
      </c>
      <c r="Z1828" s="16">
        <f t="shared" si="378"/>
        <v>0.9505197666666666</v>
      </c>
      <c r="AA1828" s="17">
        <f t="shared" si="379"/>
        <v>300000</v>
      </c>
      <c r="AB1828" s="10">
        <v>13728</v>
      </c>
      <c r="AC1828" s="18">
        <f t="shared" si="380"/>
        <v>2153.0413338719995</v>
      </c>
      <c r="AD1828" s="12">
        <f t="shared" si="383"/>
        <v>94048</v>
      </c>
      <c r="AE1828" s="13">
        <f t="shared" si="381"/>
        <v>205952</v>
      </c>
    </row>
    <row r="1829" spans="1:31">
      <c r="A1829" s="6">
        <v>20</v>
      </c>
      <c r="B1829" s="6">
        <v>47</v>
      </c>
      <c r="C1829" s="6" t="str">
        <f t="shared" si="382"/>
        <v>560762022ALATCH, BUCKLE, K12 ROADM K12A/AT, SILVER, LATCH W490021945510300000</v>
      </c>
      <c r="D1829" s="23" t="s">
        <v>445</v>
      </c>
      <c r="E1829" s="6" t="s">
        <v>74</v>
      </c>
      <c r="F1829" s="6"/>
      <c r="G1829" s="7" t="s">
        <v>34</v>
      </c>
      <c r="H1829" s="19"/>
      <c r="I1829" s="19"/>
      <c r="J1829" s="19"/>
      <c r="K1829" s="19"/>
      <c r="L1829" s="14">
        <v>4900219</v>
      </c>
      <c r="M1829" s="22">
        <v>45510</v>
      </c>
      <c r="N1829" s="19" t="s">
        <v>197</v>
      </c>
      <c r="O1829" s="19" t="s">
        <v>333</v>
      </c>
      <c r="P1829" s="15">
        <v>300000</v>
      </c>
      <c r="Q1829" s="15">
        <v>2503177.2999999998</v>
      </c>
      <c r="R1829" s="15">
        <v>87082900</v>
      </c>
      <c r="S1829" s="15">
        <v>15</v>
      </c>
      <c r="T1829" s="19" t="s">
        <v>429</v>
      </c>
      <c r="U1829" s="19" t="s">
        <v>178</v>
      </c>
      <c r="V1829" s="16">
        <f t="shared" si="374"/>
        <v>375476.59499999997</v>
      </c>
      <c r="W1829" s="16">
        <f t="shared" si="375"/>
        <v>37547.659500000002</v>
      </c>
      <c r="X1829" s="16">
        <f t="shared" si="376"/>
        <v>413024.25449999998</v>
      </c>
      <c r="Y1829" s="16">
        <f t="shared" si="377"/>
        <v>1.3767475149999999</v>
      </c>
      <c r="Z1829" s="16">
        <f t="shared" si="378"/>
        <v>8.3439243333333319</v>
      </c>
      <c r="AA1829" s="17">
        <f t="shared" si="379"/>
        <v>300000</v>
      </c>
      <c r="AB1829" s="10">
        <v>13728</v>
      </c>
      <c r="AC1829" s="18">
        <f t="shared" si="380"/>
        <v>18899.98988592</v>
      </c>
      <c r="AD1829" s="12">
        <f t="shared" si="383"/>
        <v>19072</v>
      </c>
      <c r="AE1829" s="13">
        <f t="shared" si="381"/>
        <v>280928</v>
      </c>
    </row>
    <row r="1830" spans="1:31">
      <c r="A1830" s="6">
        <v>20</v>
      </c>
      <c r="B1830" s="6">
        <v>48</v>
      </c>
      <c r="C1830" s="6" t="str">
        <f t="shared" si="382"/>
        <v>604213200ALOCKING BAR, BUCKLE, K12 K12A/AT, L=34.3, silver415111844909306000</v>
      </c>
      <c r="D1830" s="23" t="s">
        <v>445</v>
      </c>
      <c r="E1830" s="6" t="s">
        <v>75</v>
      </c>
      <c r="F1830" s="6"/>
      <c r="G1830" s="7" t="s">
        <v>35</v>
      </c>
      <c r="H1830" s="19"/>
      <c r="I1830" s="19"/>
      <c r="J1830" s="19"/>
      <c r="K1830" s="19"/>
      <c r="L1830" s="14">
        <v>4151118</v>
      </c>
      <c r="M1830" s="22">
        <v>44909</v>
      </c>
      <c r="N1830" s="19" t="s">
        <v>199</v>
      </c>
      <c r="O1830" s="19" t="s">
        <v>332</v>
      </c>
      <c r="P1830" s="15">
        <v>306000</v>
      </c>
      <c r="Q1830" s="15">
        <v>347494.89</v>
      </c>
      <c r="R1830" s="15">
        <v>87082900</v>
      </c>
      <c r="S1830" s="15">
        <v>15</v>
      </c>
      <c r="T1830" s="19" t="s">
        <v>319</v>
      </c>
      <c r="U1830" s="19" t="s">
        <v>178</v>
      </c>
      <c r="V1830" s="16">
        <f t="shared" si="374"/>
        <v>52124.233500000002</v>
      </c>
      <c r="W1830" s="16">
        <f t="shared" si="375"/>
        <v>5212.4233500000009</v>
      </c>
      <c r="X1830" s="16">
        <f t="shared" si="376"/>
        <v>57336.656849999999</v>
      </c>
      <c r="Y1830" s="16">
        <f t="shared" si="377"/>
        <v>0.1873746955882353</v>
      </c>
      <c r="Z1830" s="16">
        <f t="shared" si="378"/>
        <v>1.1356042156862745</v>
      </c>
      <c r="AA1830" s="17">
        <f t="shared" si="379"/>
        <v>306000</v>
      </c>
      <c r="AB1830" s="10">
        <v>13728</v>
      </c>
      <c r="AC1830" s="18">
        <f t="shared" si="380"/>
        <v>2572.2798210352944</v>
      </c>
      <c r="AD1830" s="12">
        <f t="shared" si="383"/>
        <v>94048</v>
      </c>
      <c r="AE1830" s="13">
        <f t="shared" si="381"/>
        <v>211952</v>
      </c>
    </row>
    <row r="1831" spans="1:31">
      <c r="A1831" s="6">
        <v>20</v>
      </c>
      <c r="B1831" s="6">
        <v>49</v>
      </c>
      <c r="C1831" s="6" t="str">
        <f t="shared" si="382"/>
        <v>NPB10271-ZKSCREW, SELF-TAPPING, MET OTHER, HEXALOBULAR INTER9561081452972000000</v>
      </c>
      <c r="D1831" s="23" t="s">
        <v>445</v>
      </c>
      <c r="E1831" s="6" t="s">
        <v>76</v>
      </c>
      <c r="F1831" s="6"/>
      <c r="G1831" s="7" t="s">
        <v>36</v>
      </c>
      <c r="H1831" s="19"/>
      <c r="I1831" s="19"/>
      <c r="J1831" s="19"/>
      <c r="K1831" s="19"/>
      <c r="L1831" s="14">
        <v>9561081</v>
      </c>
      <c r="M1831" s="22">
        <v>45297</v>
      </c>
      <c r="N1831" s="19" t="s">
        <v>185</v>
      </c>
      <c r="O1831" s="19" t="s">
        <v>332</v>
      </c>
      <c r="P1831" s="15">
        <v>2000000</v>
      </c>
      <c r="Q1831" s="15">
        <v>1657868.13</v>
      </c>
      <c r="R1831" s="15">
        <v>87082900</v>
      </c>
      <c r="S1831" s="15">
        <v>15</v>
      </c>
      <c r="T1831" s="19" t="s">
        <v>450</v>
      </c>
      <c r="U1831" s="19" t="s">
        <v>178</v>
      </c>
      <c r="V1831" s="16">
        <f t="shared" si="374"/>
        <v>248680.21949999998</v>
      </c>
      <c r="W1831" s="16">
        <f t="shared" si="375"/>
        <v>24868.021949999998</v>
      </c>
      <c r="X1831" s="16">
        <f t="shared" si="376"/>
        <v>273548.24144999997</v>
      </c>
      <c r="Y1831" s="16">
        <f t="shared" si="377"/>
        <v>0.13677412072499998</v>
      </c>
      <c r="Z1831" s="16">
        <f t="shared" si="378"/>
        <v>0.828934065</v>
      </c>
      <c r="AA1831" s="17">
        <f t="shared" si="379"/>
        <v>2000000</v>
      </c>
      <c r="AB1831" s="10">
        <v>27456</v>
      </c>
      <c r="AC1831" s="18">
        <f t="shared" si="380"/>
        <v>3755.2702586255991</v>
      </c>
      <c r="AD1831" s="12">
        <f t="shared" si="383"/>
        <v>38144</v>
      </c>
      <c r="AE1831" s="13">
        <f t="shared" si="381"/>
        <v>1961856</v>
      </c>
    </row>
    <row r="1832" spans="1:31">
      <c r="A1832" s="6">
        <v>20</v>
      </c>
      <c r="B1832" s="6">
        <v>50</v>
      </c>
      <c r="C1832" s="6" t="str">
        <f t="shared" si="382"/>
        <v>NWB2834WASHER, WAVED 726858645147105000</v>
      </c>
      <c r="D1832" s="23" t="s">
        <v>445</v>
      </c>
      <c r="E1832" s="6" t="s">
        <v>77</v>
      </c>
      <c r="F1832" s="6"/>
      <c r="G1832" s="7" t="s">
        <v>37</v>
      </c>
      <c r="H1832" s="19"/>
      <c r="I1832" s="19"/>
      <c r="J1832" s="19"/>
      <c r="K1832" s="19"/>
      <c r="L1832" s="14">
        <v>7268586</v>
      </c>
      <c r="M1832" s="22">
        <v>45147</v>
      </c>
      <c r="N1832" s="19" t="s">
        <v>196</v>
      </c>
      <c r="O1832" s="19" t="s">
        <v>333</v>
      </c>
      <c r="P1832" s="15">
        <v>105000</v>
      </c>
      <c r="Q1832" s="15">
        <v>186605.54</v>
      </c>
      <c r="R1832" s="15">
        <v>87082900</v>
      </c>
      <c r="S1832" s="15">
        <v>15</v>
      </c>
      <c r="T1832" s="19" t="s">
        <v>207</v>
      </c>
      <c r="U1832" s="19" t="s">
        <v>178</v>
      </c>
      <c r="V1832" s="16">
        <f t="shared" si="374"/>
        <v>27990.831000000002</v>
      </c>
      <c r="W1832" s="16">
        <f t="shared" si="375"/>
        <v>2799.0831000000003</v>
      </c>
      <c r="X1832" s="16">
        <f t="shared" si="376"/>
        <v>30789.914100000002</v>
      </c>
      <c r="Y1832" s="16">
        <f t="shared" si="377"/>
        <v>0.29323727714285713</v>
      </c>
      <c r="Z1832" s="16">
        <f t="shared" si="378"/>
        <v>1.777195619047619</v>
      </c>
      <c r="AA1832" s="17">
        <f t="shared" si="379"/>
        <v>105000</v>
      </c>
      <c r="AB1832" s="10">
        <v>13728</v>
      </c>
      <c r="AC1832" s="18">
        <f t="shared" si="380"/>
        <v>4025.5613406171428</v>
      </c>
      <c r="AD1832" s="12">
        <f t="shared" si="383"/>
        <v>19072</v>
      </c>
      <c r="AE1832" s="13">
        <f t="shared" si="381"/>
        <v>85928</v>
      </c>
    </row>
    <row r="1833" spans="1:31">
      <c r="A1833" s="6">
        <v>20</v>
      </c>
      <c r="B1833" s="6">
        <v>51</v>
      </c>
      <c r="C1833" s="6" t="str">
        <f t="shared" si="382"/>
        <v>566098600CWEBBING PIN, RETRACTOR, AGB, AGB-95POM FARBE:SCH432749644950120000</v>
      </c>
      <c r="D1833" s="23" t="s">
        <v>445</v>
      </c>
      <c r="E1833" s="6" t="s">
        <v>57</v>
      </c>
      <c r="F1833" s="6"/>
      <c r="G1833" s="7" t="s">
        <v>17</v>
      </c>
      <c r="H1833" s="19"/>
      <c r="I1833" s="19"/>
      <c r="J1833" s="19"/>
      <c r="K1833" s="19"/>
      <c r="L1833" s="14">
        <v>4327496</v>
      </c>
      <c r="M1833" s="22">
        <v>44950</v>
      </c>
      <c r="N1833" s="19" t="s">
        <v>199</v>
      </c>
      <c r="O1833" s="19" t="s">
        <v>332</v>
      </c>
      <c r="P1833" s="15">
        <v>120000</v>
      </c>
      <c r="Q1833" s="15">
        <v>117311.7</v>
      </c>
      <c r="R1833" s="15">
        <v>87082900</v>
      </c>
      <c r="S1833" s="15">
        <v>15</v>
      </c>
      <c r="T1833" s="19" t="s">
        <v>307</v>
      </c>
      <c r="U1833" s="19" t="s">
        <v>178</v>
      </c>
      <c r="V1833" s="16">
        <f t="shared" si="374"/>
        <v>17596.754999999997</v>
      </c>
      <c r="W1833" s="16">
        <f t="shared" si="375"/>
        <v>1759.6754999999998</v>
      </c>
      <c r="X1833" s="16">
        <f t="shared" si="376"/>
        <v>19356.430499999999</v>
      </c>
      <c r="Y1833" s="16">
        <f t="shared" si="377"/>
        <v>0.16130358749999998</v>
      </c>
      <c r="Z1833" s="16">
        <f t="shared" si="378"/>
        <v>0.97759750000000001</v>
      </c>
      <c r="AA1833" s="17">
        <f t="shared" si="379"/>
        <v>120000</v>
      </c>
      <c r="AB1833" s="10">
        <v>16500</v>
      </c>
      <c r="AC1833" s="18">
        <f t="shared" si="380"/>
        <v>2661.5091937499997</v>
      </c>
      <c r="AD1833" s="12">
        <f t="shared" si="383"/>
        <v>86652</v>
      </c>
      <c r="AE1833" s="13">
        <f t="shared" si="381"/>
        <v>33348</v>
      </c>
    </row>
    <row r="1834" spans="1:31">
      <c r="A1834" s="6">
        <v>20</v>
      </c>
      <c r="B1834" s="6">
        <v>52</v>
      </c>
      <c r="C1834" s="6" t="str">
        <f t="shared" si="382"/>
        <v>566253211EADAPTER, CAR SENS, RETRA ALL VERSIONS390969644984216000</v>
      </c>
      <c r="D1834" s="23" t="s">
        <v>445</v>
      </c>
      <c r="E1834" s="6" t="s">
        <v>58</v>
      </c>
      <c r="F1834" s="6"/>
      <c r="G1834" s="7" t="s">
        <v>18</v>
      </c>
      <c r="H1834" s="19"/>
      <c r="I1834" s="19"/>
      <c r="J1834" s="19"/>
      <c r="K1834" s="19"/>
      <c r="L1834" s="14">
        <v>3909696</v>
      </c>
      <c r="M1834" s="22">
        <v>44984</v>
      </c>
      <c r="N1834" s="19" t="s">
        <v>199</v>
      </c>
      <c r="O1834" s="19" t="s">
        <v>332</v>
      </c>
      <c r="P1834" s="15">
        <v>216000</v>
      </c>
      <c r="Q1834" s="15">
        <v>549354.86</v>
      </c>
      <c r="R1834" s="15">
        <v>87082900</v>
      </c>
      <c r="S1834" s="15">
        <v>15</v>
      </c>
      <c r="T1834" s="19" t="s">
        <v>308</v>
      </c>
      <c r="U1834" s="19" t="s">
        <v>178</v>
      </c>
      <c r="V1834" s="16">
        <f t="shared" si="374"/>
        <v>82403.228999999992</v>
      </c>
      <c r="W1834" s="16">
        <f t="shared" si="375"/>
        <v>8240.3228999999992</v>
      </c>
      <c r="X1834" s="16">
        <f t="shared" si="376"/>
        <v>90643.551899999991</v>
      </c>
      <c r="Y1834" s="16">
        <f t="shared" si="377"/>
        <v>0.41964607361111106</v>
      </c>
      <c r="Z1834" s="16">
        <f t="shared" si="378"/>
        <v>2.5433095370370369</v>
      </c>
      <c r="AA1834" s="17">
        <f t="shared" si="379"/>
        <v>216000</v>
      </c>
      <c r="AB1834" s="10">
        <v>16500</v>
      </c>
      <c r="AC1834" s="18">
        <f t="shared" si="380"/>
        <v>6924.1602145833322</v>
      </c>
      <c r="AD1834" s="12">
        <f t="shared" si="383"/>
        <v>86652</v>
      </c>
      <c r="AE1834" s="13">
        <f t="shared" si="381"/>
        <v>129348</v>
      </c>
    </row>
    <row r="1835" spans="1:31">
      <c r="A1835" s="6">
        <v>20</v>
      </c>
      <c r="B1835" s="6">
        <v>53</v>
      </c>
      <c r="C1835" s="6" t="str">
        <f t="shared" si="382"/>
        <v>566305721BSPRING, SHEET, LEAF, RET ALL VERSIONS, WS ECE4742807449445000</v>
      </c>
      <c r="D1835" s="23" t="s">
        <v>445</v>
      </c>
      <c r="E1835" s="6" t="s">
        <v>59</v>
      </c>
      <c r="F1835" s="6"/>
      <c r="G1835" s="7" t="s">
        <v>19</v>
      </c>
      <c r="H1835" s="19"/>
      <c r="I1835" s="19"/>
      <c r="J1835" s="19"/>
      <c r="K1835" s="19"/>
      <c r="L1835" s="14">
        <v>4742807</v>
      </c>
      <c r="M1835" s="22">
        <v>44944</v>
      </c>
      <c r="N1835" s="19" t="s">
        <v>196</v>
      </c>
      <c r="O1835" s="19" t="s">
        <v>337</v>
      </c>
      <c r="P1835" s="15">
        <v>5000</v>
      </c>
      <c r="Q1835" s="15">
        <v>143362.42000000001</v>
      </c>
      <c r="R1835" s="15">
        <v>87082900</v>
      </c>
      <c r="S1835" s="15">
        <v>15</v>
      </c>
      <c r="T1835" s="19" t="s">
        <v>309</v>
      </c>
      <c r="U1835" s="19" t="s">
        <v>178</v>
      </c>
      <c r="V1835" s="16">
        <f t="shared" si="374"/>
        <v>21504.363000000001</v>
      </c>
      <c r="W1835" s="16">
        <f t="shared" si="375"/>
        <v>2150.4363000000003</v>
      </c>
      <c r="X1835" s="16">
        <f t="shared" si="376"/>
        <v>23654.799300000002</v>
      </c>
      <c r="Y1835" s="16">
        <f t="shared" si="377"/>
        <v>4.7309598600000005</v>
      </c>
      <c r="Z1835" s="16">
        <f t="shared" si="378"/>
        <v>28.672484000000004</v>
      </c>
      <c r="AA1835" s="17">
        <f t="shared" si="379"/>
        <v>5000</v>
      </c>
      <c r="AB1835" s="10">
        <v>306.81600000000003</v>
      </c>
      <c r="AC1835" s="18">
        <f t="shared" si="380"/>
        <v>1451.5341804057603</v>
      </c>
      <c r="AD1835" s="12">
        <f t="shared" si="383"/>
        <v>1540.98</v>
      </c>
      <c r="AE1835" s="13">
        <f t="shared" si="381"/>
        <v>3459.02</v>
      </c>
    </row>
    <row r="1836" spans="1:31">
      <c r="A1836" s="6">
        <v>20</v>
      </c>
      <c r="B1836" s="6">
        <v>54</v>
      </c>
      <c r="C1836" s="6" t="str">
        <f t="shared" si="382"/>
        <v>600188700BLEVER, WEB SENS, RETRACT ALL VERSIONS421599144956270000</v>
      </c>
      <c r="D1836" s="23" t="s">
        <v>445</v>
      </c>
      <c r="E1836" s="6" t="s">
        <v>60</v>
      </c>
      <c r="F1836" s="6"/>
      <c r="G1836" s="7" t="s">
        <v>20</v>
      </c>
      <c r="H1836" s="19"/>
      <c r="I1836" s="19"/>
      <c r="J1836" s="19"/>
      <c r="K1836" s="19"/>
      <c r="L1836" s="14">
        <v>4215991</v>
      </c>
      <c r="M1836" s="22">
        <v>44956</v>
      </c>
      <c r="N1836" s="19" t="s">
        <v>199</v>
      </c>
      <c r="O1836" s="19" t="s">
        <v>332</v>
      </c>
      <c r="P1836" s="15">
        <v>270000</v>
      </c>
      <c r="Q1836" s="15">
        <v>1513733.76</v>
      </c>
      <c r="R1836" s="15">
        <v>87082900</v>
      </c>
      <c r="S1836" s="15">
        <v>15</v>
      </c>
      <c r="T1836" s="19" t="s">
        <v>310</v>
      </c>
      <c r="U1836" s="19" t="s">
        <v>178</v>
      </c>
      <c r="V1836" s="16">
        <f t="shared" si="374"/>
        <v>227060.06399999998</v>
      </c>
      <c r="W1836" s="16">
        <f t="shared" si="375"/>
        <v>22706.006399999998</v>
      </c>
      <c r="X1836" s="16">
        <f t="shared" si="376"/>
        <v>249766.07039999997</v>
      </c>
      <c r="Y1836" s="16">
        <f t="shared" si="377"/>
        <v>0.92505951999999991</v>
      </c>
      <c r="Z1836" s="16">
        <f t="shared" si="378"/>
        <v>5.6064213333333335</v>
      </c>
      <c r="AA1836" s="17">
        <f t="shared" si="379"/>
        <v>270000</v>
      </c>
      <c r="AB1836" s="10">
        <v>16500</v>
      </c>
      <c r="AC1836" s="18">
        <f t="shared" si="380"/>
        <v>15263.482079999998</v>
      </c>
      <c r="AD1836" s="12">
        <f t="shared" si="383"/>
        <v>86652</v>
      </c>
      <c r="AE1836" s="13">
        <f t="shared" si="381"/>
        <v>183348</v>
      </c>
    </row>
    <row r="1837" spans="1:31">
      <c r="A1837" s="6">
        <v>20</v>
      </c>
      <c r="B1837" s="6">
        <v>55</v>
      </c>
      <c r="C1837" s="6" t="str">
        <f t="shared" si="382"/>
        <v>601182600ASPINDLE, RETRACTOR, R27, STD43790984493343008</v>
      </c>
      <c r="D1837" s="23" t="s">
        <v>445</v>
      </c>
      <c r="E1837" s="6" t="s">
        <v>61</v>
      </c>
      <c r="F1837" s="6"/>
      <c r="G1837" s="7" t="s">
        <v>21</v>
      </c>
      <c r="H1837" s="19"/>
      <c r="I1837" s="19"/>
      <c r="J1837" s="19"/>
      <c r="K1837" s="19"/>
      <c r="L1837" s="14">
        <v>4379098</v>
      </c>
      <c r="M1837" s="22">
        <v>44933</v>
      </c>
      <c r="N1837" s="19" t="s">
        <v>185</v>
      </c>
      <c r="O1837" s="19" t="s">
        <v>332</v>
      </c>
      <c r="P1837" s="15">
        <v>43008</v>
      </c>
      <c r="Q1837" s="15">
        <v>1835488.61</v>
      </c>
      <c r="R1837" s="15">
        <v>87082900</v>
      </c>
      <c r="S1837" s="15">
        <v>15</v>
      </c>
      <c r="T1837" s="19" t="s">
        <v>311</v>
      </c>
      <c r="U1837" s="19" t="s">
        <v>178</v>
      </c>
      <c r="V1837" s="16">
        <f t="shared" si="374"/>
        <v>275323.29149999999</v>
      </c>
      <c r="W1837" s="16">
        <f t="shared" si="375"/>
        <v>27532.329150000001</v>
      </c>
      <c r="X1837" s="16">
        <f t="shared" si="376"/>
        <v>302855.62065</v>
      </c>
      <c r="Y1837" s="16">
        <f t="shared" si="377"/>
        <v>7.0418438581194192</v>
      </c>
      <c r="Z1837" s="16">
        <f t="shared" si="378"/>
        <v>42.677841564360122</v>
      </c>
      <c r="AA1837" s="17">
        <f t="shared" si="379"/>
        <v>43008</v>
      </c>
      <c r="AB1837" s="10">
        <v>2676</v>
      </c>
      <c r="AC1837" s="18">
        <f t="shared" si="380"/>
        <v>18843.974164327567</v>
      </c>
      <c r="AD1837" s="12">
        <f t="shared" si="383"/>
        <v>43008</v>
      </c>
      <c r="AE1837" s="13">
        <f t="shared" si="381"/>
        <v>0</v>
      </c>
    </row>
    <row r="1838" spans="1:31">
      <c r="A1838" s="6">
        <v>20</v>
      </c>
      <c r="B1838" s="6">
        <v>56</v>
      </c>
      <c r="C1838" s="6" t="str">
        <f t="shared" si="382"/>
        <v>601182600ASPINDLE, RETRACTOR, R27, STD49681364551321504</v>
      </c>
      <c r="D1838" s="23" t="s">
        <v>445</v>
      </c>
      <c r="E1838" s="6" t="s">
        <v>61</v>
      </c>
      <c r="F1838" s="6"/>
      <c r="G1838" s="7" t="s">
        <v>21</v>
      </c>
      <c r="H1838" s="19"/>
      <c r="I1838" s="19"/>
      <c r="J1838" s="19"/>
      <c r="K1838" s="19"/>
      <c r="L1838" s="14">
        <v>4968136</v>
      </c>
      <c r="M1838" s="22">
        <v>45513</v>
      </c>
      <c r="N1838" s="19" t="s">
        <v>336</v>
      </c>
      <c r="O1838" s="19" t="s">
        <v>332</v>
      </c>
      <c r="P1838" s="15">
        <v>21504</v>
      </c>
      <c r="Q1838" s="15">
        <v>987947.86</v>
      </c>
      <c r="R1838" s="15">
        <v>87082900</v>
      </c>
      <c r="S1838" s="15">
        <v>15</v>
      </c>
      <c r="T1838" s="19" t="s">
        <v>311</v>
      </c>
      <c r="U1838" s="19" t="s">
        <v>178</v>
      </c>
      <c r="V1838" s="16">
        <f t="shared" si="374"/>
        <v>148192.179</v>
      </c>
      <c r="W1838" s="16">
        <f t="shared" si="375"/>
        <v>14819.217900000001</v>
      </c>
      <c r="X1838" s="16">
        <f t="shared" si="376"/>
        <v>163011.39689999999</v>
      </c>
      <c r="Y1838" s="16">
        <f t="shared" si="377"/>
        <v>7.5805151088169636</v>
      </c>
      <c r="Z1838" s="16">
        <f t="shared" si="378"/>
        <v>45.942515811011901</v>
      </c>
      <c r="AA1838" s="17">
        <f t="shared" si="379"/>
        <v>21504</v>
      </c>
      <c r="AB1838" s="10">
        <v>13824</v>
      </c>
      <c r="AC1838" s="18">
        <f t="shared" si="380"/>
        <v>104793.04086428571</v>
      </c>
      <c r="AD1838" s="12">
        <f t="shared" si="383"/>
        <v>19992</v>
      </c>
      <c r="AE1838" s="13">
        <f t="shared" si="381"/>
        <v>1512</v>
      </c>
    </row>
    <row r="1839" spans="1:31">
      <c r="A1839" s="6">
        <v>20</v>
      </c>
      <c r="B1839" s="6">
        <v>57</v>
      </c>
      <c r="C1839" s="6" t="str">
        <f t="shared" si="382"/>
        <v>601256700GBUSH, RETRACTOR, R27, AL ALL VERSIONS405080544944160000</v>
      </c>
      <c r="D1839" s="23" t="s">
        <v>445</v>
      </c>
      <c r="E1839" s="6" t="s">
        <v>62</v>
      </c>
      <c r="F1839" s="6"/>
      <c r="G1839" s="7" t="s">
        <v>22</v>
      </c>
      <c r="H1839" s="19"/>
      <c r="I1839" s="19"/>
      <c r="J1839" s="19"/>
      <c r="K1839" s="19"/>
      <c r="L1839" s="14">
        <v>4050805</v>
      </c>
      <c r="M1839" s="22">
        <v>44944</v>
      </c>
      <c r="N1839" s="19" t="s">
        <v>196</v>
      </c>
      <c r="O1839" s="19" t="s">
        <v>333</v>
      </c>
      <c r="P1839" s="15">
        <v>160000</v>
      </c>
      <c r="Q1839" s="15">
        <v>278597.26</v>
      </c>
      <c r="R1839" s="15">
        <v>87082900</v>
      </c>
      <c r="S1839" s="15">
        <v>15</v>
      </c>
      <c r="T1839" s="19" t="s">
        <v>312</v>
      </c>
      <c r="U1839" s="19" t="s">
        <v>178</v>
      </c>
      <c r="V1839" s="16">
        <f t="shared" si="374"/>
        <v>41789.589</v>
      </c>
      <c r="W1839" s="16">
        <f t="shared" si="375"/>
        <v>4178.9589000000005</v>
      </c>
      <c r="X1839" s="16">
        <f t="shared" si="376"/>
        <v>45968.547899999998</v>
      </c>
      <c r="Y1839" s="16">
        <f t="shared" si="377"/>
        <v>0.287303424375</v>
      </c>
      <c r="Z1839" s="16">
        <f t="shared" si="378"/>
        <v>1.7412328750000001</v>
      </c>
      <c r="AA1839" s="17">
        <f t="shared" si="379"/>
        <v>160000</v>
      </c>
      <c r="AB1839" s="10">
        <v>16500</v>
      </c>
      <c r="AC1839" s="18">
        <f t="shared" si="380"/>
        <v>4740.5065021874998</v>
      </c>
      <c r="AD1839" s="12">
        <f t="shared" si="383"/>
        <v>86652</v>
      </c>
      <c r="AE1839" s="13">
        <f t="shared" si="381"/>
        <v>73348</v>
      </c>
    </row>
    <row r="1840" spans="1:31">
      <c r="A1840" s="6">
        <v>20</v>
      </c>
      <c r="B1840" s="6">
        <v>58</v>
      </c>
      <c r="C1840" s="6" t="str">
        <f t="shared" si="382"/>
        <v>601472600ALATCH, RETRACTOR, R27, A ALL VERSIONS421598844951162000</v>
      </c>
      <c r="D1840" s="23" t="s">
        <v>445</v>
      </c>
      <c r="E1840" s="6" t="s">
        <v>63</v>
      </c>
      <c r="F1840" s="6"/>
      <c r="G1840" s="7" t="s">
        <v>23</v>
      </c>
      <c r="H1840" s="19"/>
      <c r="I1840" s="19"/>
      <c r="J1840" s="19"/>
      <c r="K1840" s="19"/>
      <c r="L1840" s="14">
        <v>4215988</v>
      </c>
      <c r="M1840" s="22">
        <v>44951</v>
      </c>
      <c r="N1840" s="19" t="s">
        <v>199</v>
      </c>
      <c r="O1840" s="19" t="s">
        <v>332</v>
      </c>
      <c r="P1840" s="15">
        <v>162000</v>
      </c>
      <c r="Q1840" s="15">
        <v>1167023.94</v>
      </c>
      <c r="R1840" s="15">
        <v>87082900</v>
      </c>
      <c r="S1840" s="15">
        <v>15</v>
      </c>
      <c r="T1840" s="19" t="s">
        <v>313</v>
      </c>
      <c r="U1840" s="19" t="s">
        <v>178</v>
      </c>
      <c r="V1840" s="16">
        <f t="shared" si="374"/>
        <v>175053.59099999999</v>
      </c>
      <c r="W1840" s="16">
        <f t="shared" si="375"/>
        <v>17505.359099999998</v>
      </c>
      <c r="X1840" s="16">
        <f t="shared" si="376"/>
        <v>192558.95009999999</v>
      </c>
      <c r="Y1840" s="16">
        <f t="shared" si="377"/>
        <v>1.1886354944444444</v>
      </c>
      <c r="Z1840" s="16">
        <f t="shared" si="378"/>
        <v>7.2038514814814816</v>
      </c>
      <c r="AA1840" s="17">
        <f t="shared" si="379"/>
        <v>162000</v>
      </c>
      <c r="AB1840" s="10">
        <v>16500</v>
      </c>
      <c r="AC1840" s="18">
        <f t="shared" si="380"/>
        <v>19612.485658333331</v>
      </c>
      <c r="AD1840" s="12">
        <f t="shared" si="383"/>
        <v>86652</v>
      </c>
      <c r="AE1840" s="13">
        <f t="shared" si="381"/>
        <v>75348</v>
      </c>
    </row>
    <row r="1841" spans="1:31">
      <c r="A1841" s="6">
        <v>20</v>
      </c>
      <c r="B1841" s="6">
        <v>59</v>
      </c>
      <c r="C1841" s="6" t="str">
        <f t="shared" si="382"/>
        <v>601487200CCOVER, RETRACTOR, R27, S SYSTEMKAPPE DELRIN 100T822098745209144000</v>
      </c>
      <c r="D1841" s="23" t="s">
        <v>445</v>
      </c>
      <c r="E1841" s="6" t="s">
        <v>64</v>
      </c>
      <c r="F1841" s="6"/>
      <c r="G1841" s="7" t="s">
        <v>24</v>
      </c>
      <c r="H1841" s="19"/>
      <c r="I1841" s="19"/>
      <c r="J1841" s="19"/>
      <c r="K1841" s="19"/>
      <c r="L1841" s="14">
        <v>8220987</v>
      </c>
      <c r="M1841" s="22">
        <v>45209</v>
      </c>
      <c r="N1841" s="19" t="s">
        <v>199</v>
      </c>
      <c r="O1841" s="19" t="s">
        <v>332</v>
      </c>
      <c r="P1841" s="15">
        <v>144000</v>
      </c>
      <c r="Q1841" s="15">
        <v>1542266.14</v>
      </c>
      <c r="R1841" s="15">
        <v>87082900</v>
      </c>
      <c r="S1841" s="15">
        <v>15</v>
      </c>
      <c r="T1841" s="19" t="s">
        <v>307</v>
      </c>
      <c r="U1841" s="19" t="s">
        <v>178</v>
      </c>
      <c r="V1841" s="16">
        <f t="shared" si="374"/>
        <v>231339.92099999997</v>
      </c>
      <c r="W1841" s="16">
        <f t="shared" si="375"/>
        <v>23133.992099999999</v>
      </c>
      <c r="X1841" s="16">
        <f t="shared" si="376"/>
        <v>254473.91309999998</v>
      </c>
      <c r="Y1841" s="16">
        <f t="shared" si="377"/>
        <v>1.7671799520833331</v>
      </c>
      <c r="Z1841" s="16">
        <f t="shared" si="378"/>
        <v>10.710181527777777</v>
      </c>
      <c r="AA1841" s="17">
        <f t="shared" si="379"/>
        <v>144000</v>
      </c>
      <c r="AB1841" s="10">
        <v>7728</v>
      </c>
      <c r="AC1841" s="18">
        <f t="shared" si="380"/>
        <v>13656.766669699999</v>
      </c>
      <c r="AD1841" s="12">
        <f t="shared" si="383"/>
        <v>16056</v>
      </c>
      <c r="AE1841" s="13">
        <f t="shared" si="381"/>
        <v>127944</v>
      </c>
    </row>
    <row r="1842" spans="1:31">
      <c r="A1842" s="6">
        <v>20</v>
      </c>
      <c r="B1842" s="6">
        <v>60</v>
      </c>
      <c r="C1842" s="6" t="str">
        <f t="shared" si="382"/>
        <v>605151600ASPRING, SHEET, LEAF, RET ALL VERSIONS, WS US407852744933100000</v>
      </c>
      <c r="D1842" s="23" t="s">
        <v>445</v>
      </c>
      <c r="E1842" s="6" t="s">
        <v>65</v>
      </c>
      <c r="F1842" s="6"/>
      <c r="G1842" s="7" t="s">
        <v>25</v>
      </c>
      <c r="H1842" s="19"/>
      <c r="I1842" s="19"/>
      <c r="J1842" s="19"/>
      <c r="K1842" s="19"/>
      <c r="L1842" s="14">
        <v>4078527</v>
      </c>
      <c r="M1842" s="22">
        <v>44933</v>
      </c>
      <c r="N1842" s="19" t="s">
        <v>196</v>
      </c>
      <c r="O1842" s="19" t="s">
        <v>333</v>
      </c>
      <c r="P1842" s="15">
        <v>100000</v>
      </c>
      <c r="Q1842" s="15">
        <v>147318.03</v>
      </c>
      <c r="R1842" s="15">
        <v>87082900</v>
      </c>
      <c r="S1842" s="15">
        <v>15</v>
      </c>
      <c r="T1842" s="19" t="s">
        <v>314</v>
      </c>
      <c r="U1842" s="19" t="s">
        <v>178</v>
      </c>
      <c r="V1842" s="16">
        <f t="shared" si="374"/>
        <v>22097.7045</v>
      </c>
      <c r="W1842" s="16">
        <f t="shared" si="375"/>
        <v>2209.77045</v>
      </c>
      <c r="X1842" s="16">
        <f t="shared" si="376"/>
        <v>24307.47495</v>
      </c>
      <c r="Y1842" s="16">
        <f t="shared" si="377"/>
        <v>0.24307474949999999</v>
      </c>
      <c r="Z1842" s="16">
        <f t="shared" si="378"/>
        <v>1.4731802999999999</v>
      </c>
      <c r="AA1842" s="17">
        <f t="shared" si="379"/>
        <v>100000</v>
      </c>
      <c r="AB1842" s="10">
        <v>16500</v>
      </c>
      <c r="AC1842" s="18">
        <f t="shared" si="380"/>
        <v>4010.7333667499997</v>
      </c>
      <c r="AD1842" s="12">
        <f t="shared" si="383"/>
        <v>86652</v>
      </c>
      <c r="AE1842" s="13">
        <f t="shared" si="381"/>
        <v>13348</v>
      </c>
    </row>
    <row r="1843" spans="1:31">
      <c r="A1843" s="6">
        <v>20</v>
      </c>
      <c r="B1843" s="6">
        <v>61</v>
      </c>
      <c r="C1843" s="6" t="str">
        <f t="shared" si="382"/>
        <v>605555507ESTEERING DISC NATURE WHITE717838944902100800</v>
      </c>
      <c r="D1843" s="23" t="s">
        <v>445</v>
      </c>
      <c r="E1843" s="6" t="s">
        <v>66</v>
      </c>
      <c r="F1843" s="6"/>
      <c r="G1843" s="7" t="s">
        <v>26</v>
      </c>
      <c r="H1843" s="19"/>
      <c r="I1843" s="19"/>
      <c r="J1843" s="19"/>
      <c r="K1843" s="19"/>
      <c r="L1843" s="14">
        <v>7178389</v>
      </c>
      <c r="M1843" s="22">
        <v>44902</v>
      </c>
      <c r="N1843" s="19" t="s">
        <v>185</v>
      </c>
      <c r="O1843" s="19" t="s">
        <v>332</v>
      </c>
      <c r="P1843" s="15">
        <v>100800</v>
      </c>
      <c r="Q1843" s="15">
        <v>397158.13</v>
      </c>
      <c r="R1843" s="15">
        <v>87082900</v>
      </c>
      <c r="S1843" s="15">
        <v>15</v>
      </c>
      <c r="T1843" s="19" t="s">
        <v>315</v>
      </c>
      <c r="U1843" s="19" t="s">
        <v>178</v>
      </c>
      <c r="V1843" s="16">
        <f t="shared" si="374"/>
        <v>59573.719499999999</v>
      </c>
      <c r="W1843" s="16">
        <f t="shared" si="375"/>
        <v>5957.3719500000007</v>
      </c>
      <c r="X1843" s="16">
        <f t="shared" si="376"/>
        <v>65531.09145</v>
      </c>
      <c r="Y1843" s="16">
        <f t="shared" si="377"/>
        <v>0.65011003422619051</v>
      </c>
      <c r="Z1843" s="16">
        <f t="shared" si="378"/>
        <v>3.9400608134920634</v>
      </c>
      <c r="AA1843" s="17">
        <f t="shared" si="379"/>
        <v>100800</v>
      </c>
      <c r="AB1843" s="10">
        <v>16500</v>
      </c>
      <c r="AC1843" s="18">
        <f t="shared" si="380"/>
        <v>10726.815564732144</v>
      </c>
      <c r="AD1843" s="12">
        <f t="shared" si="383"/>
        <v>80292</v>
      </c>
      <c r="AE1843" s="13">
        <f t="shared" si="381"/>
        <v>20508</v>
      </c>
    </row>
    <row r="1844" spans="1:31">
      <c r="A1844" s="6">
        <v>20</v>
      </c>
      <c r="B1844" s="6">
        <v>62</v>
      </c>
      <c r="C1844" s="6" t="str">
        <f t="shared" si="382"/>
        <v>615795701BPILLAR LOOP, OVERMOULDED LIGHT GRAY, STD, WITH CA4558972454903000</v>
      </c>
      <c r="D1844" s="23" t="s">
        <v>445</v>
      </c>
      <c r="E1844" s="6" t="s">
        <v>67</v>
      </c>
      <c r="F1844" s="6"/>
      <c r="G1844" s="7" t="s">
        <v>27</v>
      </c>
      <c r="H1844" s="19"/>
      <c r="I1844" s="19"/>
      <c r="J1844" s="19"/>
      <c r="K1844" s="19"/>
      <c r="L1844" s="14">
        <v>4558972</v>
      </c>
      <c r="M1844" s="22">
        <v>45490</v>
      </c>
      <c r="N1844" s="19" t="s">
        <v>185</v>
      </c>
      <c r="O1844" s="19" t="s">
        <v>332</v>
      </c>
      <c r="P1844" s="15">
        <v>3000</v>
      </c>
      <c r="Q1844" s="15">
        <v>182877.43</v>
      </c>
      <c r="R1844" s="15">
        <v>87082900</v>
      </c>
      <c r="S1844" s="15">
        <v>15</v>
      </c>
      <c r="T1844" s="19" t="s">
        <v>198</v>
      </c>
      <c r="U1844" s="19" t="s">
        <v>178</v>
      </c>
      <c r="V1844" s="16">
        <f t="shared" si="374"/>
        <v>27431.6145</v>
      </c>
      <c r="W1844" s="16">
        <f t="shared" si="375"/>
        <v>2743.1614500000001</v>
      </c>
      <c r="X1844" s="16">
        <f t="shared" si="376"/>
        <v>30174.775949999999</v>
      </c>
      <c r="Y1844" s="16">
        <f t="shared" si="377"/>
        <v>10.058258649999999</v>
      </c>
      <c r="Z1844" s="16">
        <f t="shared" si="378"/>
        <v>60.95914333333333</v>
      </c>
      <c r="AA1844" s="17">
        <f t="shared" si="379"/>
        <v>3000</v>
      </c>
      <c r="AB1844" s="10">
        <v>3000</v>
      </c>
      <c r="AC1844" s="18">
        <f t="shared" si="380"/>
        <v>30174.775949999996</v>
      </c>
      <c r="AD1844" s="12">
        <f t="shared" si="383"/>
        <v>3000</v>
      </c>
      <c r="AE1844" s="13">
        <f t="shared" si="381"/>
        <v>0</v>
      </c>
    </row>
    <row r="1845" spans="1:31">
      <c r="A1845" s="6">
        <v>20</v>
      </c>
      <c r="B1845" s="6">
        <v>63</v>
      </c>
      <c r="C1845" s="6" t="str">
        <f t="shared" si="382"/>
        <v>615795701BPILLAR LOOP, OVERMOULDED LIGHT GRAY, STD, WITH CA5596198455482000</v>
      </c>
      <c r="D1845" s="23" t="s">
        <v>445</v>
      </c>
      <c r="E1845" s="6" t="s">
        <v>67</v>
      </c>
      <c r="F1845" s="6"/>
      <c r="G1845" s="7" t="s">
        <v>27</v>
      </c>
      <c r="H1845" s="19"/>
      <c r="I1845" s="19"/>
      <c r="J1845" s="19"/>
      <c r="K1845" s="19"/>
      <c r="L1845" s="14">
        <v>5596198</v>
      </c>
      <c r="M1845" s="22">
        <v>45548</v>
      </c>
      <c r="N1845" s="19" t="s">
        <v>185</v>
      </c>
      <c r="O1845" s="19" t="s">
        <v>332</v>
      </c>
      <c r="P1845" s="15">
        <v>2000</v>
      </c>
      <c r="Q1845" s="15">
        <v>129506.73</v>
      </c>
      <c r="R1845" s="15">
        <v>87082900</v>
      </c>
      <c r="S1845" s="15">
        <v>15</v>
      </c>
      <c r="T1845" s="19" t="s">
        <v>198</v>
      </c>
      <c r="U1845" s="19" t="s">
        <v>178</v>
      </c>
      <c r="V1845" s="16">
        <f t="shared" si="374"/>
        <v>19426.0095</v>
      </c>
      <c r="W1845" s="16">
        <f t="shared" si="375"/>
        <v>1942.60095</v>
      </c>
      <c r="X1845" s="16">
        <f t="shared" si="376"/>
        <v>21368.61045</v>
      </c>
      <c r="Y1845" s="16">
        <f t="shared" si="377"/>
        <v>10.684305224999999</v>
      </c>
      <c r="Z1845" s="16">
        <f t="shared" si="378"/>
        <v>64.753365000000002</v>
      </c>
      <c r="AA1845" s="17">
        <f t="shared" si="379"/>
        <v>2000</v>
      </c>
      <c r="AB1845" s="10">
        <v>2000</v>
      </c>
      <c r="AC1845" s="18">
        <f t="shared" si="380"/>
        <v>21368.61045</v>
      </c>
      <c r="AD1845" s="12">
        <f t="shared" si="383"/>
        <v>2000</v>
      </c>
      <c r="AE1845" s="13">
        <f t="shared" si="381"/>
        <v>0</v>
      </c>
    </row>
    <row r="1846" spans="1:31">
      <c r="A1846" s="6">
        <v>20</v>
      </c>
      <c r="B1846" s="6">
        <v>64</v>
      </c>
      <c r="C1846" s="6" t="str">
        <f t="shared" si="382"/>
        <v>615795701BPILLAR LOOP, OVERMOULDED LIGHT GRAY, STD, WITH CA5708082455553000</v>
      </c>
      <c r="D1846" s="23" t="s">
        <v>445</v>
      </c>
      <c r="E1846" s="6" t="s">
        <v>67</v>
      </c>
      <c r="F1846" s="6"/>
      <c r="G1846" s="7" t="s">
        <v>27</v>
      </c>
      <c r="H1846" s="19"/>
      <c r="I1846" s="19"/>
      <c r="J1846" s="19"/>
      <c r="K1846" s="19"/>
      <c r="L1846" s="14">
        <v>5708082</v>
      </c>
      <c r="M1846" s="22">
        <v>45555</v>
      </c>
      <c r="N1846" s="19" t="s">
        <v>185</v>
      </c>
      <c r="O1846" s="19" t="s">
        <v>332</v>
      </c>
      <c r="P1846" s="15">
        <v>3000</v>
      </c>
      <c r="Q1846" s="15">
        <v>183273.49</v>
      </c>
      <c r="R1846" s="15">
        <v>87082900</v>
      </c>
      <c r="S1846" s="15">
        <v>15</v>
      </c>
      <c r="T1846" s="19" t="s">
        <v>198</v>
      </c>
      <c r="U1846" s="19" t="s">
        <v>178</v>
      </c>
      <c r="V1846" s="16">
        <f t="shared" si="374"/>
        <v>27491.023499999999</v>
      </c>
      <c r="W1846" s="16">
        <f t="shared" si="375"/>
        <v>2749.1023500000001</v>
      </c>
      <c r="X1846" s="16">
        <f t="shared" si="376"/>
        <v>30240.12585</v>
      </c>
      <c r="Y1846" s="16">
        <f t="shared" si="377"/>
        <v>10.08004195</v>
      </c>
      <c r="Z1846" s="16">
        <f t="shared" si="378"/>
        <v>61.091163333333327</v>
      </c>
      <c r="AA1846" s="17">
        <f t="shared" si="379"/>
        <v>3000</v>
      </c>
      <c r="AB1846" s="10">
        <v>3000</v>
      </c>
      <c r="AC1846" s="18">
        <f t="shared" si="380"/>
        <v>30240.12585</v>
      </c>
      <c r="AD1846" s="12">
        <f t="shared" si="383"/>
        <v>3000</v>
      </c>
      <c r="AE1846" s="13">
        <f t="shared" si="381"/>
        <v>0</v>
      </c>
    </row>
    <row r="1847" spans="1:31">
      <c r="A1847" s="6">
        <v>20</v>
      </c>
      <c r="B1847" s="6">
        <v>65</v>
      </c>
      <c r="C1847" s="6" t="str">
        <f t="shared" si="382"/>
        <v>615795701BPILLAR LOOP, OVERMOULDED LIGHT GRAY, STD, WITH CA5928693455682000</v>
      </c>
      <c r="D1847" s="23" t="s">
        <v>445</v>
      </c>
      <c r="E1847" s="6" t="s">
        <v>67</v>
      </c>
      <c r="F1847" s="6"/>
      <c r="G1847" s="7" t="s">
        <v>27</v>
      </c>
      <c r="H1847" s="19"/>
      <c r="I1847" s="19"/>
      <c r="J1847" s="19"/>
      <c r="K1847" s="19"/>
      <c r="L1847" s="14">
        <v>5928693</v>
      </c>
      <c r="M1847" s="22">
        <v>45568</v>
      </c>
      <c r="N1847" s="19" t="s">
        <v>185</v>
      </c>
      <c r="O1847" s="19" t="s">
        <v>332</v>
      </c>
      <c r="P1847" s="15">
        <v>2000</v>
      </c>
      <c r="Q1847" s="15">
        <v>129045.66</v>
      </c>
      <c r="R1847" s="15">
        <v>87082900</v>
      </c>
      <c r="S1847" s="15">
        <v>15</v>
      </c>
      <c r="T1847" s="19" t="s">
        <v>198</v>
      </c>
      <c r="U1847" s="19" t="s">
        <v>178</v>
      </c>
      <c r="V1847" s="16">
        <f t="shared" si="374"/>
        <v>19356.848999999998</v>
      </c>
      <c r="W1847" s="16">
        <f t="shared" si="375"/>
        <v>1935.6849</v>
      </c>
      <c r="X1847" s="16">
        <f t="shared" si="376"/>
        <v>21292.533899999999</v>
      </c>
      <c r="Y1847" s="16">
        <f t="shared" si="377"/>
        <v>10.646266949999999</v>
      </c>
      <c r="Z1847" s="16">
        <f t="shared" si="378"/>
        <v>64.522829999999999</v>
      </c>
      <c r="AA1847" s="17">
        <f t="shared" si="379"/>
        <v>2000</v>
      </c>
      <c r="AB1847" s="10">
        <v>2000</v>
      </c>
      <c r="AC1847" s="18">
        <f t="shared" si="380"/>
        <v>21292.533899999999</v>
      </c>
      <c r="AD1847" s="12">
        <f t="shared" si="383"/>
        <v>2000</v>
      </c>
      <c r="AE1847" s="13">
        <f t="shared" si="381"/>
        <v>0</v>
      </c>
    </row>
    <row r="1848" spans="1:31">
      <c r="A1848" s="6">
        <v>20</v>
      </c>
      <c r="B1848" s="6">
        <v>66</v>
      </c>
      <c r="C1848" s="6" t="str">
        <f t="shared" si="382"/>
        <v>615795701BPILLAR LOOP, OVERMOULDED LIGHT GRAY, STD, WITH CA6683483456101000</v>
      </c>
      <c r="D1848" s="23" t="s">
        <v>445</v>
      </c>
      <c r="E1848" s="6" t="s">
        <v>67</v>
      </c>
      <c r="F1848" s="6"/>
      <c r="G1848" s="7" t="s">
        <v>27</v>
      </c>
      <c r="H1848" s="19"/>
      <c r="I1848" s="19"/>
      <c r="J1848" s="19"/>
      <c r="K1848" s="19"/>
      <c r="L1848" s="14">
        <v>6683483</v>
      </c>
      <c r="M1848" s="22">
        <v>45610</v>
      </c>
      <c r="N1848" s="19" t="s">
        <v>185</v>
      </c>
      <c r="O1848" s="19" t="s">
        <v>332</v>
      </c>
      <c r="P1848" s="15">
        <v>1000</v>
      </c>
      <c r="Q1848" s="15">
        <v>75457.91</v>
      </c>
      <c r="R1848" s="15">
        <v>87082900</v>
      </c>
      <c r="S1848" s="15">
        <v>15</v>
      </c>
      <c r="T1848" s="19" t="s">
        <v>198</v>
      </c>
      <c r="U1848" s="19" t="s">
        <v>178</v>
      </c>
      <c r="V1848" s="16">
        <f t="shared" ref="V1848:V1906" si="384">Q1848*S1848%</f>
        <v>11318.6865</v>
      </c>
      <c r="W1848" s="16">
        <f t="shared" ref="W1848:W1906" si="385">V1848*0.1</f>
        <v>1131.8686500000001</v>
      </c>
      <c r="X1848" s="16">
        <f t="shared" ref="X1848:X1906" si="386">V1848+W1848</f>
        <v>12450.55515</v>
      </c>
      <c r="Y1848" s="16">
        <f t="shared" ref="Y1848:Y1906" si="387">X1848/P1848</f>
        <v>12.45055515</v>
      </c>
      <c r="Z1848" s="16">
        <f t="shared" ref="Z1848:Z1906" si="388">Q1848/P1848</f>
        <v>75.457909999999998</v>
      </c>
      <c r="AA1848" s="17">
        <f t="shared" ref="AA1848:AA1906" si="389">P1848</f>
        <v>1000</v>
      </c>
      <c r="AB1848" s="10">
        <v>1000</v>
      </c>
      <c r="AC1848" s="18">
        <f t="shared" ref="AC1848:AC1906" si="390">AB1848*Y1848</f>
        <v>12450.55515</v>
      </c>
      <c r="AD1848" s="12">
        <f t="shared" si="383"/>
        <v>1000</v>
      </c>
      <c r="AE1848" s="13">
        <f t="shared" ref="AE1848:AE1906" si="391">AA1848-AD1848</f>
        <v>0</v>
      </c>
    </row>
    <row r="1849" spans="1:31">
      <c r="A1849" s="6">
        <v>20</v>
      </c>
      <c r="B1849" s="6">
        <v>67</v>
      </c>
      <c r="C1849" s="6" t="str">
        <f t="shared" si="382"/>
        <v>615795701BPILLAR LOOP, OVERMOULDED LIGHT GRAY, STD, WITH CA8517718457104000</v>
      </c>
      <c r="D1849" s="23" t="s">
        <v>445</v>
      </c>
      <c r="E1849" s="6" t="s">
        <v>67</v>
      </c>
      <c r="F1849" s="6"/>
      <c r="G1849" s="7" t="s">
        <v>27</v>
      </c>
      <c r="H1849" s="19"/>
      <c r="I1849" s="19"/>
      <c r="J1849" s="19"/>
      <c r="K1849" s="19"/>
      <c r="L1849" s="14">
        <v>8517718</v>
      </c>
      <c r="M1849" s="22">
        <v>45710</v>
      </c>
      <c r="N1849" s="19" t="s">
        <v>185</v>
      </c>
      <c r="O1849" s="19" t="s">
        <v>332</v>
      </c>
      <c r="P1849" s="15">
        <v>4000</v>
      </c>
      <c r="Q1849" s="15">
        <v>246249.93</v>
      </c>
      <c r="R1849" s="15">
        <v>87082900</v>
      </c>
      <c r="S1849" s="15">
        <v>15</v>
      </c>
      <c r="T1849" s="19" t="s">
        <v>198</v>
      </c>
      <c r="U1849" s="19" t="s">
        <v>178</v>
      </c>
      <c r="V1849" s="16">
        <f t="shared" si="384"/>
        <v>36937.489499999996</v>
      </c>
      <c r="W1849" s="16">
        <f t="shared" si="385"/>
        <v>3693.7489499999997</v>
      </c>
      <c r="X1849" s="16">
        <f t="shared" si="386"/>
        <v>40631.238449999997</v>
      </c>
      <c r="Y1849" s="16">
        <f t="shared" si="387"/>
        <v>10.157809612499999</v>
      </c>
      <c r="Z1849" s="16">
        <f t="shared" si="388"/>
        <v>61.562482500000002</v>
      </c>
      <c r="AA1849" s="17">
        <f t="shared" si="389"/>
        <v>4000</v>
      </c>
      <c r="AB1849" s="10">
        <v>4000</v>
      </c>
      <c r="AC1849" s="18">
        <f t="shared" si="390"/>
        <v>40631.238449999997</v>
      </c>
      <c r="AD1849" s="12">
        <f t="shared" si="383"/>
        <v>4000</v>
      </c>
      <c r="AE1849" s="13">
        <f t="shared" si="391"/>
        <v>0</v>
      </c>
    </row>
    <row r="1850" spans="1:31">
      <c r="A1850" s="6">
        <v>20</v>
      </c>
      <c r="B1850" s="6">
        <v>68</v>
      </c>
      <c r="C1850" s="6" t="str">
        <f t="shared" si="382"/>
        <v>615795701BPILLAR LOOP, OVERMOULDED LIGHT GRAY, STD, WITH CA8601153457154000</v>
      </c>
      <c r="D1850" s="23" t="s">
        <v>445</v>
      </c>
      <c r="E1850" s="6" t="s">
        <v>67</v>
      </c>
      <c r="F1850" s="6"/>
      <c r="G1850" s="7" t="s">
        <v>27</v>
      </c>
      <c r="H1850" s="19"/>
      <c r="I1850" s="19"/>
      <c r="J1850" s="19"/>
      <c r="K1850" s="19"/>
      <c r="L1850" s="14">
        <v>8601153</v>
      </c>
      <c r="M1850" s="22">
        <v>45715</v>
      </c>
      <c r="N1850" s="19" t="s">
        <v>185</v>
      </c>
      <c r="O1850" s="19" t="s">
        <v>332</v>
      </c>
      <c r="P1850" s="15">
        <v>4000</v>
      </c>
      <c r="Q1850" s="15">
        <v>246173.93</v>
      </c>
      <c r="R1850" s="15">
        <v>87082900</v>
      </c>
      <c r="S1850" s="15">
        <v>15</v>
      </c>
      <c r="T1850" s="19" t="s">
        <v>198</v>
      </c>
      <c r="U1850" s="19" t="s">
        <v>178</v>
      </c>
      <c r="V1850" s="16">
        <f t="shared" si="384"/>
        <v>36926.089499999995</v>
      </c>
      <c r="W1850" s="16">
        <f t="shared" si="385"/>
        <v>3692.6089499999998</v>
      </c>
      <c r="X1850" s="16">
        <f t="shared" si="386"/>
        <v>40618.698449999996</v>
      </c>
      <c r="Y1850" s="16">
        <f t="shared" si="387"/>
        <v>10.154674612499999</v>
      </c>
      <c r="Z1850" s="16">
        <f t="shared" si="388"/>
        <v>61.543482499999996</v>
      </c>
      <c r="AA1850" s="17">
        <f t="shared" si="389"/>
        <v>4000</v>
      </c>
      <c r="AB1850" s="10">
        <v>1500</v>
      </c>
      <c r="AC1850" s="18">
        <f t="shared" si="390"/>
        <v>15232.011918749999</v>
      </c>
      <c r="AD1850" s="12">
        <f t="shared" si="383"/>
        <v>3972</v>
      </c>
      <c r="AE1850" s="13">
        <f t="shared" si="391"/>
        <v>28</v>
      </c>
    </row>
    <row r="1851" spans="1:31">
      <c r="A1851" s="6">
        <v>20</v>
      </c>
      <c r="B1851" s="6">
        <v>69</v>
      </c>
      <c r="C1851" s="6" t="str">
        <f t="shared" si="382"/>
        <v>618470500EBEARING, CAR SENS, RETRA All Versions, Noise redu408531144933170000</v>
      </c>
      <c r="D1851" s="23" t="s">
        <v>445</v>
      </c>
      <c r="E1851" s="6" t="s">
        <v>68</v>
      </c>
      <c r="F1851" s="6"/>
      <c r="G1851" s="7" t="s">
        <v>28</v>
      </c>
      <c r="H1851" s="19"/>
      <c r="I1851" s="19"/>
      <c r="J1851" s="19"/>
      <c r="K1851" s="19"/>
      <c r="L1851" s="14">
        <v>4085311</v>
      </c>
      <c r="M1851" s="22">
        <v>44933</v>
      </c>
      <c r="N1851" s="19" t="s">
        <v>196</v>
      </c>
      <c r="O1851" s="19" t="s">
        <v>333</v>
      </c>
      <c r="P1851" s="15">
        <v>170000</v>
      </c>
      <c r="Q1851" s="15">
        <v>305828.40000000002</v>
      </c>
      <c r="R1851" s="15">
        <v>87082900</v>
      </c>
      <c r="S1851" s="15">
        <v>15</v>
      </c>
      <c r="T1851" s="19" t="s">
        <v>316</v>
      </c>
      <c r="U1851" s="19" t="s">
        <v>178</v>
      </c>
      <c r="V1851" s="16">
        <f t="shared" si="384"/>
        <v>45874.26</v>
      </c>
      <c r="W1851" s="16">
        <f t="shared" si="385"/>
        <v>4587.4260000000004</v>
      </c>
      <c r="X1851" s="16">
        <f t="shared" si="386"/>
        <v>50461.686000000002</v>
      </c>
      <c r="Y1851" s="16">
        <f t="shared" si="387"/>
        <v>0.29683344705882353</v>
      </c>
      <c r="Z1851" s="16">
        <f t="shared" si="388"/>
        <v>1.7989905882352943</v>
      </c>
      <c r="AA1851" s="17">
        <f t="shared" si="389"/>
        <v>170000</v>
      </c>
      <c r="AB1851" s="10">
        <v>16500</v>
      </c>
      <c r="AC1851" s="18">
        <f t="shared" si="390"/>
        <v>4897.7518764705883</v>
      </c>
      <c r="AD1851" s="12">
        <f t="shared" si="383"/>
        <v>61944</v>
      </c>
      <c r="AE1851" s="13">
        <f t="shared" si="391"/>
        <v>108056</v>
      </c>
    </row>
    <row r="1852" spans="1:31">
      <c r="A1852" s="6">
        <v>20</v>
      </c>
      <c r="B1852" s="6">
        <v>70</v>
      </c>
      <c r="C1852" s="6" t="str">
        <f t="shared" si="382"/>
        <v>618472000BLEVER, CAR SENS, RETRACT ALL VERSIONS, NOISE REDU408531144933170000</v>
      </c>
      <c r="D1852" s="23" t="s">
        <v>445</v>
      </c>
      <c r="E1852" s="6" t="s">
        <v>69</v>
      </c>
      <c r="F1852" s="6"/>
      <c r="G1852" s="7" t="s">
        <v>29</v>
      </c>
      <c r="H1852" s="19"/>
      <c r="I1852" s="19"/>
      <c r="J1852" s="19"/>
      <c r="K1852" s="19"/>
      <c r="L1852" s="14">
        <v>4085311</v>
      </c>
      <c r="M1852" s="22">
        <v>44933</v>
      </c>
      <c r="N1852" s="19" t="s">
        <v>196</v>
      </c>
      <c r="O1852" s="19" t="s">
        <v>333</v>
      </c>
      <c r="P1852" s="15">
        <v>170000</v>
      </c>
      <c r="Q1852" s="15">
        <v>247799.42</v>
      </c>
      <c r="R1852" s="15">
        <v>87082900</v>
      </c>
      <c r="S1852" s="15">
        <v>15</v>
      </c>
      <c r="T1852" s="19" t="s">
        <v>316</v>
      </c>
      <c r="U1852" s="19" t="s">
        <v>178</v>
      </c>
      <c r="V1852" s="16">
        <f t="shared" si="384"/>
        <v>37169.913</v>
      </c>
      <c r="W1852" s="16">
        <f t="shared" si="385"/>
        <v>3716.9913000000001</v>
      </c>
      <c r="X1852" s="16">
        <f t="shared" si="386"/>
        <v>40886.904300000002</v>
      </c>
      <c r="Y1852" s="16">
        <f t="shared" si="387"/>
        <v>0.24051120176470589</v>
      </c>
      <c r="Z1852" s="16">
        <f t="shared" si="388"/>
        <v>1.4576436470588237</v>
      </c>
      <c r="AA1852" s="17">
        <f t="shared" si="389"/>
        <v>170000</v>
      </c>
      <c r="AB1852" s="10">
        <v>16500</v>
      </c>
      <c r="AC1852" s="18">
        <f t="shared" si="390"/>
        <v>3968.434829117647</v>
      </c>
      <c r="AD1852" s="12">
        <f t="shared" si="383"/>
        <v>86652</v>
      </c>
      <c r="AE1852" s="13">
        <f t="shared" si="391"/>
        <v>83348</v>
      </c>
    </row>
    <row r="1853" spans="1:31">
      <c r="A1853" s="6">
        <v>20</v>
      </c>
      <c r="B1853" s="6">
        <v>71</v>
      </c>
      <c r="C1853" s="6" t="str">
        <f t="shared" si="382"/>
        <v>618472300CMASS, CAR SENS, RETRACTO ALL VERSIONS, CAR 2-PIN406183045012209560</v>
      </c>
      <c r="D1853" s="23" t="s">
        <v>445</v>
      </c>
      <c r="E1853" s="6" t="s">
        <v>70</v>
      </c>
      <c r="F1853" s="6"/>
      <c r="G1853" s="7" t="s">
        <v>30</v>
      </c>
      <c r="H1853" s="19"/>
      <c r="I1853" s="19"/>
      <c r="J1853" s="19"/>
      <c r="K1853" s="19"/>
      <c r="L1853" s="14">
        <v>4061830</v>
      </c>
      <c r="M1853" s="22">
        <v>45012</v>
      </c>
      <c r="N1853" s="19" t="s">
        <v>196</v>
      </c>
      <c r="O1853" s="19" t="s">
        <v>333</v>
      </c>
      <c r="P1853" s="15">
        <v>209560</v>
      </c>
      <c r="Q1853" s="15">
        <v>786307.66</v>
      </c>
      <c r="R1853" s="15">
        <v>87082900</v>
      </c>
      <c r="S1853" s="15">
        <v>15</v>
      </c>
      <c r="T1853" s="19" t="s">
        <v>317</v>
      </c>
      <c r="U1853" s="19" t="s">
        <v>178</v>
      </c>
      <c r="V1853" s="16">
        <f t="shared" si="384"/>
        <v>117946.149</v>
      </c>
      <c r="W1853" s="16">
        <f t="shared" si="385"/>
        <v>11794.6149</v>
      </c>
      <c r="X1853" s="16">
        <f t="shared" si="386"/>
        <v>129740.76390000001</v>
      </c>
      <c r="Y1853" s="16">
        <f t="shared" si="387"/>
        <v>0.61911034500858941</v>
      </c>
      <c r="Z1853" s="16">
        <f t="shared" si="388"/>
        <v>3.7521839091429663</v>
      </c>
      <c r="AA1853" s="17">
        <f t="shared" si="389"/>
        <v>209560</v>
      </c>
      <c r="AB1853" s="10">
        <v>16500</v>
      </c>
      <c r="AC1853" s="18">
        <f t="shared" si="390"/>
        <v>10215.320692641726</v>
      </c>
      <c r="AD1853" s="12">
        <f t="shared" si="383"/>
        <v>86652</v>
      </c>
      <c r="AE1853" s="13">
        <f t="shared" si="391"/>
        <v>122908</v>
      </c>
    </row>
    <row r="1854" spans="1:31">
      <c r="A1854" s="6">
        <v>20</v>
      </c>
      <c r="B1854" s="6">
        <v>72</v>
      </c>
      <c r="C1854" s="6" t="str">
        <f t="shared" si="382"/>
        <v>632154400AADHESIVE, PAD 411920545464120000</v>
      </c>
      <c r="D1854" s="23" t="s">
        <v>445</v>
      </c>
      <c r="E1854" s="6" t="s">
        <v>79</v>
      </c>
      <c r="F1854" s="6"/>
      <c r="G1854" s="7" t="s">
        <v>39</v>
      </c>
      <c r="H1854" s="19"/>
      <c r="I1854" s="19"/>
      <c r="J1854" s="19"/>
      <c r="K1854" s="19"/>
      <c r="L1854" s="14">
        <v>4119205</v>
      </c>
      <c r="M1854" s="22">
        <v>45464</v>
      </c>
      <c r="N1854" s="19" t="s">
        <v>196</v>
      </c>
      <c r="O1854" s="19" t="s">
        <v>333</v>
      </c>
      <c r="P1854" s="15">
        <v>120000</v>
      </c>
      <c r="Q1854" s="15">
        <v>394723.3</v>
      </c>
      <c r="R1854" s="15">
        <v>87082900</v>
      </c>
      <c r="S1854" s="15">
        <v>15</v>
      </c>
      <c r="T1854" s="19" t="s">
        <v>201</v>
      </c>
      <c r="U1854" s="19" t="s">
        <v>178</v>
      </c>
      <c r="V1854" s="16">
        <f t="shared" si="384"/>
        <v>59208.494999999995</v>
      </c>
      <c r="W1854" s="16">
        <f t="shared" si="385"/>
        <v>5920.8495000000003</v>
      </c>
      <c r="X1854" s="16">
        <f t="shared" si="386"/>
        <v>65129.344499999992</v>
      </c>
      <c r="Y1854" s="16">
        <f t="shared" si="387"/>
        <v>0.54274453749999996</v>
      </c>
      <c r="Z1854" s="16">
        <f t="shared" si="388"/>
        <v>3.2893608333333333</v>
      </c>
      <c r="AA1854" s="17">
        <f t="shared" si="389"/>
        <v>120000</v>
      </c>
      <c r="AB1854" s="10">
        <v>16500</v>
      </c>
      <c r="AC1854" s="18">
        <f t="shared" si="390"/>
        <v>8955.2848687499991</v>
      </c>
      <c r="AD1854" s="12">
        <f t="shared" si="383"/>
        <v>30564</v>
      </c>
      <c r="AE1854" s="13">
        <f t="shared" si="391"/>
        <v>89436</v>
      </c>
    </row>
    <row r="1855" spans="1:31">
      <c r="A1855" s="6">
        <v>20</v>
      </c>
      <c r="B1855" s="6">
        <v>73</v>
      </c>
      <c r="C1855" s="6" t="str">
        <f t="shared" si="382"/>
        <v>597509600AWEBBING, COATING, P10960 P109604300080245394300</v>
      </c>
      <c r="D1855" s="23" t="s">
        <v>445</v>
      </c>
      <c r="E1855" s="6" t="s">
        <v>481</v>
      </c>
      <c r="F1855" s="6"/>
      <c r="G1855" s="7" t="s">
        <v>413</v>
      </c>
      <c r="H1855" s="19"/>
      <c r="I1855" s="19"/>
      <c r="J1855" s="19"/>
      <c r="K1855" s="19"/>
      <c r="L1855" s="14">
        <v>3000802</v>
      </c>
      <c r="M1855" s="22">
        <v>45394</v>
      </c>
      <c r="N1855" s="19" t="s">
        <v>185</v>
      </c>
      <c r="O1855" s="19" t="s">
        <v>337</v>
      </c>
      <c r="P1855" s="15">
        <v>300</v>
      </c>
      <c r="Q1855" s="15">
        <v>435159.64</v>
      </c>
      <c r="R1855" s="15">
        <v>38099190</v>
      </c>
      <c r="S1855" s="15">
        <v>7.5</v>
      </c>
      <c r="T1855" s="19" t="s">
        <v>430</v>
      </c>
      <c r="U1855" s="19" t="s">
        <v>178</v>
      </c>
      <c r="V1855" s="16">
        <f t="shared" si="384"/>
        <v>32636.972999999998</v>
      </c>
      <c r="W1855" s="16">
        <f t="shared" si="385"/>
        <v>3263.6972999999998</v>
      </c>
      <c r="X1855" s="16">
        <f t="shared" si="386"/>
        <v>35900.670299999998</v>
      </c>
      <c r="Y1855" s="16">
        <f t="shared" si="387"/>
        <v>119.66890099999999</v>
      </c>
      <c r="Z1855" s="16">
        <f t="shared" si="388"/>
        <v>1450.5321333333334</v>
      </c>
      <c r="AA1855" s="17">
        <f t="shared" si="389"/>
        <v>300</v>
      </c>
      <c r="AB1855" s="10">
        <v>2.016</v>
      </c>
      <c r="AC1855" s="18">
        <f t="shared" si="390"/>
        <v>241.25250441599999</v>
      </c>
      <c r="AD1855" s="12">
        <f t="shared" si="383"/>
        <v>40.703999999999994</v>
      </c>
      <c r="AE1855" s="13">
        <f t="shared" si="391"/>
        <v>259.29599999999999</v>
      </c>
    </row>
    <row r="1856" spans="1:31">
      <c r="A1856" s="6">
        <v>20</v>
      </c>
      <c r="B1856" s="6">
        <v>74</v>
      </c>
      <c r="C1856" s="6" t="str">
        <f t="shared" si="382"/>
        <v>597509800AWEBBING, COATING, P17101 P171013300080245394480</v>
      </c>
      <c r="D1856" s="23" t="s">
        <v>445</v>
      </c>
      <c r="E1856" s="6" t="s">
        <v>482</v>
      </c>
      <c r="F1856" s="6"/>
      <c r="G1856" s="7" t="s">
        <v>414</v>
      </c>
      <c r="H1856" s="19"/>
      <c r="I1856" s="19"/>
      <c r="J1856" s="19"/>
      <c r="K1856" s="19"/>
      <c r="L1856" s="14">
        <v>3000802</v>
      </c>
      <c r="M1856" s="22">
        <v>45394</v>
      </c>
      <c r="N1856" s="19" t="s">
        <v>185</v>
      </c>
      <c r="O1856" s="19" t="s">
        <v>337</v>
      </c>
      <c r="P1856" s="15">
        <v>480</v>
      </c>
      <c r="Q1856" s="15">
        <v>342109.54</v>
      </c>
      <c r="R1856" s="15">
        <v>38099190</v>
      </c>
      <c r="S1856" s="15">
        <v>7.5</v>
      </c>
      <c r="T1856" s="19" t="s">
        <v>430</v>
      </c>
      <c r="U1856" s="19" t="s">
        <v>178</v>
      </c>
      <c r="V1856" s="16">
        <f t="shared" si="384"/>
        <v>25658.215499999998</v>
      </c>
      <c r="W1856" s="16">
        <f t="shared" si="385"/>
        <v>2565.8215500000001</v>
      </c>
      <c r="X1856" s="16">
        <f t="shared" si="386"/>
        <v>28224.037049999999</v>
      </c>
      <c r="Y1856" s="16">
        <f t="shared" si="387"/>
        <v>58.800077187500001</v>
      </c>
      <c r="Z1856" s="16">
        <f t="shared" si="388"/>
        <v>712.72820833333333</v>
      </c>
      <c r="AA1856" s="17">
        <f t="shared" si="389"/>
        <v>480</v>
      </c>
      <c r="AB1856" s="10">
        <v>4.032</v>
      </c>
      <c r="AC1856" s="18">
        <f t="shared" si="390"/>
        <v>237.08191121999999</v>
      </c>
      <c r="AD1856" s="12">
        <f t="shared" si="383"/>
        <v>81.407999999999987</v>
      </c>
      <c r="AE1856" s="13">
        <f t="shared" si="391"/>
        <v>398.59199999999998</v>
      </c>
    </row>
    <row r="1857" spans="1:31">
      <c r="A1857" s="6">
        <v>20</v>
      </c>
      <c r="B1857" s="6">
        <v>75</v>
      </c>
      <c r="C1857" s="6" t="str">
        <f t="shared" si="382"/>
        <v>597509900AWEBBING, COATING, P70007 P7000783000802453942600</v>
      </c>
      <c r="D1857" s="23" t="s">
        <v>445</v>
      </c>
      <c r="E1857" s="6" t="s">
        <v>483</v>
      </c>
      <c r="F1857" s="6"/>
      <c r="G1857" s="7" t="s">
        <v>415</v>
      </c>
      <c r="H1857" s="19"/>
      <c r="I1857" s="19"/>
      <c r="J1857" s="19"/>
      <c r="K1857" s="19"/>
      <c r="L1857" s="14">
        <v>3000802</v>
      </c>
      <c r="M1857" s="22">
        <v>45394</v>
      </c>
      <c r="N1857" s="19" t="s">
        <v>185</v>
      </c>
      <c r="O1857" s="19" t="s">
        <v>337</v>
      </c>
      <c r="P1857" s="15">
        <v>2600</v>
      </c>
      <c r="Q1857" s="15">
        <v>955383.72</v>
      </c>
      <c r="R1857" s="15">
        <v>38099190</v>
      </c>
      <c r="S1857" s="15">
        <v>7.5</v>
      </c>
      <c r="T1857" s="19" t="s">
        <v>430</v>
      </c>
      <c r="U1857" s="19" t="s">
        <v>178</v>
      </c>
      <c r="V1857" s="16">
        <f t="shared" si="384"/>
        <v>71653.778999999995</v>
      </c>
      <c r="W1857" s="16">
        <f t="shared" si="385"/>
        <v>7165.3778999999995</v>
      </c>
      <c r="X1857" s="16">
        <f t="shared" si="386"/>
        <v>78819.156900000002</v>
      </c>
      <c r="Y1857" s="16">
        <f t="shared" si="387"/>
        <v>30.315060346153846</v>
      </c>
      <c r="Z1857" s="16">
        <f t="shared" si="388"/>
        <v>367.45527692307689</v>
      </c>
      <c r="AA1857" s="17">
        <f t="shared" si="389"/>
        <v>2600</v>
      </c>
      <c r="AB1857" s="10">
        <v>12.096</v>
      </c>
      <c r="AC1857" s="18">
        <f t="shared" si="390"/>
        <v>366.69096994707695</v>
      </c>
      <c r="AD1857" s="12">
        <f t="shared" si="383"/>
        <v>812.46400800000004</v>
      </c>
      <c r="AE1857" s="13">
        <f t="shared" si="391"/>
        <v>1787.5359920000001</v>
      </c>
    </row>
    <row r="1858" spans="1:31">
      <c r="A1858" s="6">
        <v>20</v>
      </c>
      <c r="B1858" s="6">
        <v>76</v>
      </c>
      <c r="C1858" s="6" t="str">
        <f t="shared" ref="C1858:C1921" si="392">E1858&amp;G1858&amp;L1858&amp;M1858&amp;P1858</f>
        <v>597510100AWEBBING, COATING, P70014 P700146300080245394115</v>
      </c>
      <c r="D1858" s="23" t="s">
        <v>445</v>
      </c>
      <c r="E1858" s="6" t="s">
        <v>485</v>
      </c>
      <c r="F1858" s="6"/>
      <c r="G1858" s="7" t="s">
        <v>416</v>
      </c>
      <c r="H1858" s="19"/>
      <c r="I1858" s="19"/>
      <c r="J1858" s="19"/>
      <c r="K1858" s="19"/>
      <c r="L1858" s="14">
        <v>3000802</v>
      </c>
      <c r="M1858" s="22">
        <v>45394</v>
      </c>
      <c r="N1858" s="19" t="s">
        <v>185</v>
      </c>
      <c r="O1858" s="19" t="s">
        <v>337</v>
      </c>
      <c r="P1858" s="15">
        <v>115</v>
      </c>
      <c r="Q1858" s="15">
        <v>26840.63</v>
      </c>
      <c r="R1858" s="15">
        <v>38099190</v>
      </c>
      <c r="S1858" s="15">
        <v>7.5</v>
      </c>
      <c r="T1858" s="19" t="s">
        <v>430</v>
      </c>
      <c r="U1858" s="19" t="s">
        <v>178</v>
      </c>
      <c r="V1858" s="16">
        <f t="shared" si="384"/>
        <v>2013.0472500000001</v>
      </c>
      <c r="W1858" s="16">
        <f t="shared" si="385"/>
        <v>201.30472500000002</v>
      </c>
      <c r="X1858" s="16">
        <f t="shared" si="386"/>
        <v>2214.351975</v>
      </c>
      <c r="Y1858" s="16">
        <f t="shared" si="387"/>
        <v>19.255234565217393</v>
      </c>
      <c r="Z1858" s="16">
        <f t="shared" si="388"/>
        <v>233.39678260869567</v>
      </c>
      <c r="AA1858" s="17">
        <f t="shared" si="389"/>
        <v>115</v>
      </c>
      <c r="AB1858" s="10">
        <v>0.81599999999999995</v>
      </c>
      <c r="AC1858" s="18">
        <f t="shared" si="390"/>
        <v>15.712271405217392</v>
      </c>
      <c r="AD1858" s="12">
        <f t="shared" si="383"/>
        <v>16.701600000000003</v>
      </c>
      <c r="AE1858" s="13">
        <f t="shared" si="391"/>
        <v>98.298400000000001</v>
      </c>
    </row>
    <row r="1859" spans="1:31">
      <c r="A1859" s="6">
        <v>20</v>
      </c>
      <c r="B1859" s="6">
        <v>77</v>
      </c>
      <c r="C1859" s="6" t="str">
        <f t="shared" si="392"/>
        <v>625254901AWEBBING YARN PET PERF FIBERS 550DTEX F70 V0707719845134137733</v>
      </c>
      <c r="D1859" s="23" t="s">
        <v>445</v>
      </c>
      <c r="E1859" s="6" t="s">
        <v>486</v>
      </c>
      <c r="F1859" s="6"/>
      <c r="G1859" s="7" t="s">
        <v>417</v>
      </c>
      <c r="H1859" s="19"/>
      <c r="I1859" s="19"/>
      <c r="J1859" s="19"/>
      <c r="K1859" s="19"/>
      <c r="L1859" s="14">
        <v>7077198</v>
      </c>
      <c r="M1859" s="22">
        <v>45134</v>
      </c>
      <c r="N1859" s="19" t="s">
        <v>197</v>
      </c>
      <c r="O1859" s="19" t="s">
        <v>337</v>
      </c>
      <c r="P1859" s="15">
        <v>137733</v>
      </c>
      <c r="Q1859" s="15">
        <v>23488638.550000001</v>
      </c>
      <c r="R1859" s="15">
        <v>54025290</v>
      </c>
      <c r="S1859" s="15">
        <v>5</v>
      </c>
      <c r="T1859" s="19" t="s">
        <v>431</v>
      </c>
      <c r="U1859" s="19" t="s">
        <v>178</v>
      </c>
      <c r="V1859" s="16">
        <f t="shared" si="384"/>
        <v>1174431.9275</v>
      </c>
      <c r="W1859" s="16">
        <f t="shared" si="385"/>
        <v>117443.19275</v>
      </c>
      <c r="X1859" s="16">
        <f t="shared" si="386"/>
        <v>1291875.1202499999</v>
      </c>
      <c r="Y1859" s="16">
        <f t="shared" si="387"/>
        <v>9.3795613269877212</v>
      </c>
      <c r="Z1859" s="16">
        <f t="shared" si="388"/>
        <v>170.53747867250405</v>
      </c>
      <c r="AA1859" s="17">
        <f t="shared" si="389"/>
        <v>137733</v>
      </c>
      <c r="AB1859" s="10">
        <v>43.199999999999996</v>
      </c>
      <c r="AC1859" s="18">
        <f t="shared" si="390"/>
        <v>405.1970493258695</v>
      </c>
      <c r="AD1859" s="12">
        <f t="shared" si="383"/>
        <v>2759.808</v>
      </c>
      <c r="AE1859" s="13">
        <f t="shared" si="391"/>
        <v>134973.19200000001</v>
      </c>
    </row>
    <row r="1860" spans="1:31">
      <c r="A1860" s="6">
        <v>20</v>
      </c>
      <c r="B1860" s="6">
        <v>78</v>
      </c>
      <c r="C1860" s="6" t="str">
        <f t="shared" si="392"/>
        <v>623642402AWEBBING YARN PET PERF FIBERS 275DTEX F35 V04879341455091050</v>
      </c>
      <c r="D1860" s="23" t="s">
        <v>445</v>
      </c>
      <c r="E1860" s="6" t="s">
        <v>487</v>
      </c>
      <c r="F1860" s="6"/>
      <c r="G1860" s="7" t="s">
        <v>418</v>
      </c>
      <c r="H1860" s="19"/>
      <c r="I1860" s="19"/>
      <c r="J1860" s="19"/>
      <c r="K1860" s="19"/>
      <c r="L1860" s="14">
        <v>4879341</v>
      </c>
      <c r="M1860" s="22">
        <v>45509</v>
      </c>
      <c r="N1860" s="19" t="s">
        <v>197</v>
      </c>
      <c r="O1860" s="19" t="s">
        <v>337</v>
      </c>
      <c r="P1860" s="15">
        <v>1050</v>
      </c>
      <c r="Q1860" s="15">
        <v>234373.62</v>
      </c>
      <c r="R1860" s="15">
        <v>54025290</v>
      </c>
      <c r="S1860" s="15">
        <v>5</v>
      </c>
      <c r="T1860" s="19" t="s">
        <v>432</v>
      </c>
      <c r="U1860" s="19" t="s">
        <v>178</v>
      </c>
      <c r="V1860" s="16">
        <f t="shared" si="384"/>
        <v>11718.681</v>
      </c>
      <c r="W1860" s="16">
        <f t="shared" si="385"/>
        <v>1171.8681000000001</v>
      </c>
      <c r="X1860" s="16">
        <f t="shared" si="386"/>
        <v>12890.5491</v>
      </c>
      <c r="Y1860" s="16">
        <f t="shared" si="387"/>
        <v>12.276713428571428</v>
      </c>
      <c r="Z1860" s="16">
        <f t="shared" si="388"/>
        <v>223.21297142857142</v>
      </c>
      <c r="AA1860" s="17">
        <f t="shared" si="389"/>
        <v>1050</v>
      </c>
      <c r="AB1860" s="10">
        <v>35.519999999999996</v>
      </c>
      <c r="AC1860" s="18">
        <f t="shared" si="390"/>
        <v>436.06886098285707</v>
      </c>
      <c r="AD1860" s="12">
        <f t="shared" si="383"/>
        <v>97.079999999999984</v>
      </c>
      <c r="AE1860" s="13">
        <f t="shared" si="391"/>
        <v>952.92000000000007</v>
      </c>
    </row>
    <row r="1861" spans="1:31">
      <c r="A1861" s="6">
        <v>20</v>
      </c>
      <c r="B1861" s="6">
        <v>79</v>
      </c>
      <c r="C1861" s="6" t="str">
        <f t="shared" si="392"/>
        <v>625255601AWEBBING YARN PET PERF FIBERS 110DTEX F35, V0399198445457288</v>
      </c>
      <c r="D1861" s="23" t="s">
        <v>445</v>
      </c>
      <c r="E1861" s="6" t="s">
        <v>488</v>
      </c>
      <c r="F1861" s="6"/>
      <c r="G1861" s="7" t="s">
        <v>419</v>
      </c>
      <c r="H1861" s="19"/>
      <c r="I1861" s="19"/>
      <c r="J1861" s="19"/>
      <c r="K1861" s="19"/>
      <c r="L1861" s="14">
        <v>3991984</v>
      </c>
      <c r="M1861" s="22">
        <v>45457</v>
      </c>
      <c r="N1861" s="19" t="s">
        <v>197</v>
      </c>
      <c r="O1861" s="19" t="s">
        <v>337</v>
      </c>
      <c r="P1861" s="15">
        <v>288</v>
      </c>
      <c r="Q1861" s="15">
        <v>107819.84</v>
      </c>
      <c r="R1861" s="15">
        <v>54025290</v>
      </c>
      <c r="S1861" s="15">
        <v>5</v>
      </c>
      <c r="T1861" s="19" t="s">
        <v>433</v>
      </c>
      <c r="U1861" s="19" t="s">
        <v>178</v>
      </c>
      <c r="V1861" s="16">
        <f t="shared" si="384"/>
        <v>5390.9920000000002</v>
      </c>
      <c r="W1861" s="16">
        <f t="shared" si="385"/>
        <v>539.0992</v>
      </c>
      <c r="X1861" s="16">
        <f t="shared" si="386"/>
        <v>5930.0911999999998</v>
      </c>
      <c r="Y1861" s="16">
        <f t="shared" si="387"/>
        <v>20.590594444444445</v>
      </c>
      <c r="Z1861" s="16">
        <f t="shared" si="388"/>
        <v>374.37444444444441</v>
      </c>
      <c r="AA1861" s="17">
        <f t="shared" si="389"/>
        <v>288</v>
      </c>
      <c r="AB1861" s="10">
        <v>1.9200000000000002</v>
      </c>
      <c r="AC1861" s="18">
        <f t="shared" si="390"/>
        <v>39.533941333333338</v>
      </c>
      <c r="AD1861" s="12">
        <f t="shared" si="383"/>
        <v>99.003240000000019</v>
      </c>
      <c r="AE1861" s="13">
        <f t="shared" si="391"/>
        <v>188.99675999999999</v>
      </c>
    </row>
    <row r="1862" spans="1:31">
      <c r="A1862" s="6">
        <v>20</v>
      </c>
      <c r="B1862" s="6">
        <v>80</v>
      </c>
      <c r="C1862" s="6" t="str">
        <f t="shared" si="392"/>
        <v>640839400AWEBBING, YARN, PET, OTIZ 575 DTEX, F97, Z130, WHI626703045082480</v>
      </c>
      <c r="D1862" s="23" t="s">
        <v>445</v>
      </c>
      <c r="E1862" s="6" t="s">
        <v>489</v>
      </c>
      <c r="F1862" s="6"/>
      <c r="G1862" s="7" t="s">
        <v>420</v>
      </c>
      <c r="H1862" s="19"/>
      <c r="I1862" s="19"/>
      <c r="J1862" s="19"/>
      <c r="K1862" s="19"/>
      <c r="L1862" s="14">
        <v>6267030</v>
      </c>
      <c r="M1862" s="22">
        <v>45082</v>
      </c>
      <c r="N1862" s="19" t="s">
        <v>185</v>
      </c>
      <c r="O1862" s="19" t="s">
        <v>337</v>
      </c>
      <c r="P1862" s="15">
        <v>480</v>
      </c>
      <c r="Q1862" s="15">
        <v>394315.2</v>
      </c>
      <c r="R1862" s="15">
        <v>54022090</v>
      </c>
      <c r="S1862" s="15">
        <v>5</v>
      </c>
      <c r="T1862" s="19" t="s">
        <v>434</v>
      </c>
      <c r="U1862" s="19" t="s">
        <v>178</v>
      </c>
      <c r="V1862" s="16">
        <f t="shared" si="384"/>
        <v>19715.760000000002</v>
      </c>
      <c r="W1862" s="16">
        <f t="shared" si="385"/>
        <v>1971.5760000000002</v>
      </c>
      <c r="X1862" s="16">
        <f t="shared" si="386"/>
        <v>21687.336000000003</v>
      </c>
      <c r="Y1862" s="16">
        <f t="shared" si="387"/>
        <v>45.181950000000008</v>
      </c>
      <c r="Z1862" s="16">
        <f t="shared" si="388"/>
        <v>821.49</v>
      </c>
      <c r="AA1862" s="17">
        <f t="shared" si="389"/>
        <v>480</v>
      </c>
      <c r="AB1862" s="10">
        <v>2.88</v>
      </c>
      <c r="AC1862" s="18">
        <f t="shared" si="390"/>
        <v>130.12401600000001</v>
      </c>
      <c r="AD1862" s="12">
        <f t="shared" si="383"/>
        <v>5.04</v>
      </c>
      <c r="AE1862" s="13">
        <f t="shared" si="391"/>
        <v>474.96</v>
      </c>
    </row>
    <row r="1863" spans="1:31">
      <c r="A1863" s="6">
        <v>20</v>
      </c>
      <c r="B1863" s="6">
        <v>81</v>
      </c>
      <c r="C1863" s="6" t="str">
        <f t="shared" si="392"/>
        <v>623851800AWEBBING,YARN,PET,Hyosung 830, F96, V0, White62972374508458320</v>
      </c>
      <c r="D1863" s="23" t="s">
        <v>445</v>
      </c>
      <c r="E1863" s="6" t="s">
        <v>490</v>
      </c>
      <c r="F1863" s="6"/>
      <c r="G1863" s="7" t="s">
        <v>421</v>
      </c>
      <c r="H1863" s="19"/>
      <c r="I1863" s="19"/>
      <c r="J1863" s="19"/>
      <c r="K1863" s="19"/>
      <c r="L1863" s="14">
        <v>6297237</v>
      </c>
      <c r="M1863" s="22">
        <v>45084</v>
      </c>
      <c r="N1863" s="19" t="s">
        <v>185</v>
      </c>
      <c r="O1863" s="19" t="s">
        <v>337</v>
      </c>
      <c r="P1863" s="15">
        <v>58320</v>
      </c>
      <c r="Q1863" s="15">
        <v>9290026.0800000001</v>
      </c>
      <c r="R1863" s="15">
        <v>54022090</v>
      </c>
      <c r="S1863" s="15">
        <v>5</v>
      </c>
      <c r="T1863" s="19" t="s">
        <v>435</v>
      </c>
      <c r="U1863" s="19" t="s">
        <v>178</v>
      </c>
      <c r="V1863" s="16">
        <f t="shared" si="384"/>
        <v>464501.304</v>
      </c>
      <c r="W1863" s="16">
        <f t="shared" si="385"/>
        <v>46450.130400000002</v>
      </c>
      <c r="X1863" s="16">
        <f t="shared" si="386"/>
        <v>510951.43440000003</v>
      </c>
      <c r="Y1863" s="16">
        <f t="shared" si="387"/>
        <v>8.7611699999999999</v>
      </c>
      <c r="Z1863" s="16">
        <f t="shared" si="388"/>
        <v>159.29400000000001</v>
      </c>
      <c r="AA1863" s="17">
        <f t="shared" si="389"/>
        <v>58320</v>
      </c>
      <c r="AB1863" s="10">
        <v>277.92</v>
      </c>
      <c r="AC1863" s="18">
        <f t="shared" si="390"/>
        <v>2434.9043664000001</v>
      </c>
      <c r="AD1863" s="12">
        <f t="shared" si="383"/>
        <v>486.36</v>
      </c>
      <c r="AE1863" s="13">
        <f t="shared" si="391"/>
        <v>57833.64</v>
      </c>
    </row>
    <row r="1864" spans="1:31">
      <c r="A1864" s="6">
        <v>20</v>
      </c>
      <c r="B1864" s="6">
        <v>82</v>
      </c>
      <c r="C1864" s="6" t="str">
        <f t="shared" si="392"/>
        <v>625236501AWEBBING YARN PET HYOSUNG 1670DTEX F144 V0 WHIT62972374508497200</v>
      </c>
      <c r="D1864" s="23" t="s">
        <v>445</v>
      </c>
      <c r="E1864" s="6" t="s">
        <v>491</v>
      </c>
      <c r="F1864" s="6"/>
      <c r="G1864" s="7" t="s">
        <v>422</v>
      </c>
      <c r="H1864" s="19"/>
      <c r="I1864" s="19"/>
      <c r="J1864" s="19"/>
      <c r="K1864" s="19"/>
      <c r="L1864" s="14">
        <v>6297237</v>
      </c>
      <c r="M1864" s="22">
        <v>45084</v>
      </c>
      <c r="N1864" s="19" t="s">
        <v>185</v>
      </c>
      <c r="O1864" s="19" t="s">
        <v>337</v>
      </c>
      <c r="P1864" s="15">
        <v>97200</v>
      </c>
      <c r="Q1864" s="15">
        <v>13537821.6</v>
      </c>
      <c r="R1864" s="15">
        <v>54022090</v>
      </c>
      <c r="S1864" s="15">
        <v>5</v>
      </c>
      <c r="T1864" s="19" t="s">
        <v>435</v>
      </c>
      <c r="U1864" s="19" t="s">
        <v>178</v>
      </c>
      <c r="V1864" s="16">
        <f t="shared" si="384"/>
        <v>676891.08000000007</v>
      </c>
      <c r="W1864" s="16">
        <f t="shared" si="385"/>
        <v>67689.108000000007</v>
      </c>
      <c r="X1864" s="16">
        <f t="shared" si="386"/>
        <v>744580.18800000008</v>
      </c>
      <c r="Y1864" s="16">
        <f t="shared" si="387"/>
        <v>7.6602900000000007</v>
      </c>
      <c r="Z1864" s="16">
        <f t="shared" si="388"/>
        <v>139.27799999999999</v>
      </c>
      <c r="AA1864" s="17">
        <f t="shared" si="389"/>
        <v>97200</v>
      </c>
      <c r="AB1864" s="10">
        <v>2494.08</v>
      </c>
      <c r="AC1864" s="18">
        <f t="shared" si="390"/>
        <v>19105.376083200001</v>
      </c>
      <c r="AD1864" s="12">
        <f t="shared" si="383"/>
        <v>4364.6399999999994</v>
      </c>
      <c r="AE1864" s="13">
        <f t="shared" si="391"/>
        <v>92835.36</v>
      </c>
    </row>
    <row r="1865" spans="1:31">
      <c r="A1865" s="6">
        <v>20</v>
      </c>
      <c r="B1865" s="6">
        <v>83</v>
      </c>
      <c r="C1865" s="6" t="str">
        <f t="shared" si="392"/>
        <v>640294200AINFLATOR, ASP-2, GEN15,4878784455096912</v>
      </c>
      <c r="D1865" s="23" t="s">
        <v>445</v>
      </c>
      <c r="E1865" s="6" t="s">
        <v>470</v>
      </c>
      <c r="F1865" s="6"/>
      <c r="G1865" s="7" t="s">
        <v>238</v>
      </c>
      <c r="H1865" s="19"/>
      <c r="I1865" s="19"/>
      <c r="J1865" s="19"/>
      <c r="K1865" s="19"/>
      <c r="L1865" s="14">
        <v>4878784</v>
      </c>
      <c r="M1865" s="22">
        <v>45509</v>
      </c>
      <c r="N1865" s="19" t="s">
        <v>197</v>
      </c>
      <c r="O1865" s="19" t="s">
        <v>333</v>
      </c>
      <c r="P1865" s="15">
        <v>6912</v>
      </c>
      <c r="Q1865" s="15">
        <v>1821910.54</v>
      </c>
      <c r="R1865" s="15">
        <v>87089500</v>
      </c>
      <c r="S1865" s="15">
        <v>15</v>
      </c>
      <c r="T1865" s="19" t="s">
        <v>428</v>
      </c>
      <c r="U1865" s="19" t="s">
        <v>200</v>
      </c>
      <c r="V1865" s="16">
        <f t="shared" si="384"/>
        <v>273286.58100000001</v>
      </c>
      <c r="W1865" s="16">
        <f t="shared" si="385"/>
        <v>27328.658100000001</v>
      </c>
      <c r="X1865" s="16">
        <f t="shared" si="386"/>
        <v>300615.23910000001</v>
      </c>
      <c r="Y1865" s="16">
        <f t="shared" si="387"/>
        <v>43.491788064236111</v>
      </c>
      <c r="Z1865" s="16">
        <f t="shared" si="388"/>
        <v>263.58659432870371</v>
      </c>
      <c r="AA1865" s="17">
        <f t="shared" si="389"/>
        <v>6912</v>
      </c>
      <c r="AB1865" s="10">
        <v>6912</v>
      </c>
      <c r="AC1865" s="18">
        <f t="shared" si="390"/>
        <v>300615.23910000001</v>
      </c>
      <c r="AD1865" s="12">
        <f t="shared" si="383"/>
        <v>6912</v>
      </c>
      <c r="AE1865" s="13">
        <f t="shared" si="391"/>
        <v>0</v>
      </c>
    </row>
    <row r="1866" spans="1:31">
      <c r="A1866" s="6">
        <v>20</v>
      </c>
      <c r="B1866" s="6">
        <v>84</v>
      </c>
      <c r="C1866" s="6" t="str">
        <f t="shared" si="392"/>
        <v>640294200AINFLATOR, ASP-2, GEN15,5071435455201728</v>
      </c>
      <c r="D1866" s="23" t="s">
        <v>445</v>
      </c>
      <c r="E1866" s="6" t="s">
        <v>470</v>
      </c>
      <c r="F1866" s="6"/>
      <c r="G1866" s="7" t="s">
        <v>238</v>
      </c>
      <c r="H1866" s="19"/>
      <c r="I1866" s="19"/>
      <c r="J1866" s="19"/>
      <c r="K1866" s="19"/>
      <c r="L1866" s="14">
        <v>5071435</v>
      </c>
      <c r="M1866" s="22">
        <v>45520</v>
      </c>
      <c r="N1866" s="19" t="s">
        <v>197</v>
      </c>
      <c r="O1866" s="19" t="s">
        <v>333</v>
      </c>
      <c r="P1866" s="15">
        <v>1728</v>
      </c>
      <c r="Q1866" s="15">
        <v>475710.43</v>
      </c>
      <c r="R1866" s="15">
        <v>87089500</v>
      </c>
      <c r="S1866" s="15">
        <v>15</v>
      </c>
      <c r="T1866" s="19" t="s">
        <v>428</v>
      </c>
      <c r="U1866" s="19" t="s">
        <v>200</v>
      </c>
      <c r="V1866" s="16">
        <f t="shared" si="384"/>
        <v>71356.564499999993</v>
      </c>
      <c r="W1866" s="16">
        <f t="shared" si="385"/>
        <v>7135.6564499999995</v>
      </c>
      <c r="X1866" s="16">
        <f t="shared" si="386"/>
        <v>78492.220949999988</v>
      </c>
      <c r="Y1866" s="16">
        <f t="shared" si="387"/>
        <v>45.423738975694441</v>
      </c>
      <c r="Z1866" s="16">
        <f t="shared" si="388"/>
        <v>275.29538773148147</v>
      </c>
      <c r="AA1866" s="17">
        <f t="shared" si="389"/>
        <v>1728</v>
      </c>
      <c r="AB1866" s="10">
        <v>1728</v>
      </c>
      <c r="AC1866" s="18">
        <f t="shared" si="390"/>
        <v>78492.220949999988</v>
      </c>
      <c r="AD1866" s="12">
        <f t="shared" si="383"/>
        <v>1728</v>
      </c>
      <c r="AE1866" s="13">
        <f t="shared" si="391"/>
        <v>0</v>
      </c>
    </row>
    <row r="1867" spans="1:31">
      <c r="A1867" s="6">
        <v>20</v>
      </c>
      <c r="B1867" s="6">
        <v>85</v>
      </c>
      <c r="C1867" s="6" t="str">
        <f t="shared" si="392"/>
        <v>640294200AINFLATOR, ASP-2, GEN15,5260494455303456</v>
      </c>
      <c r="D1867" s="23" t="s">
        <v>445</v>
      </c>
      <c r="E1867" s="6" t="s">
        <v>470</v>
      </c>
      <c r="F1867" s="6"/>
      <c r="G1867" s="7" t="s">
        <v>238</v>
      </c>
      <c r="H1867" s="19"/>
      <c r="I1867" s="19"/>
      <c r="J1867" s="19"/>
      <c r="K1867" s="19"/>
      <c r="L1867" s="14">
        <v>5260494</v>
      </c>
      <c r="M1867" s="22">
        <v>45530</v>
      </c>
      <c r="N1867" s="19" t="s">
        <v>185</v>
      </c>
      <c r="O1867" s="19" t="s">
        <v>333</v>
      </c>
      <c r="P1867" s="15">
        <v>3456</v>
      </c>
      <c r="Q1867" s="15">
        <v>913659.88</v>
      </c>
      <c r="R1867" s="15">
        <v>87089500</v>
      </c>
      <c r="S1867" s="15">
        <v>15</v>
      </c>
      <c r="T1867" s="19" t="s">
        <v>388</v>
      </c>
      <c r="U1867" s="19" t="s">
        <v>200</v>
      </c>
      <c r="V1867" s="16">
        <f t="shared" si="384"/>
        <v>137048.98199999999</v>
      </c>
      <c r="W1867" s="16">
        <f t="shared" si="385"/>
        <v>13704.8982</v>
      </c>
      <c r="X1867" s="16">
        <f t="shared" si="386"/>
        <v>150753.88019999999</v>
      </c>
      <c r="Y1867" s="16">
        <f t="shared" si="387"/>
        <v>43.620914409722218</v>
      </c>
      <c r="Z1867" s="16">
        <f t="shared" si="388"/>
        <v>264.36917824074072</v>
      </c>
      <c r="AA1867" s="17">
        <f t="shared" si="389"/>
        <v>3456</v>
      </c>
      <c r="AB1867" s="10">
        <v>3456</v>
      </c>
      <c r="AC1867" s="18">
        <f t="shared" si="390"/>
        <v>150753.88019999999</v>
      </c>
      <c r="AD1867" s="12">
        <f t="shared" si="383"/>
        <v>3456</v>
      </c>
      <c r="AE1867" s="13">
        <f t="shared" si="391"/>
        <v>0</v>
      </c>
    </row>
    <row r="1868" spans="1:31">
      <c r="A1868" s="6">
        <v>20</v>
      </c>
      <c r="B1868" s="6">
        <v>86</v>
      </c>
      <c r="C1868" s="6" t="str">
        <f t="shared" si="392"/>
        <v>640294200AINFLATOR, ASP-2, GEN15,5514107455453456</v>
      </c>
      <c r="D1868" s="23" t="s">
        <v>445</v>
      </c>
      <c r="E1868" s="6" t="s">
        <v>470</v>
      </c>
      <c r="F1868" s="6"/>
      <c r="G1868" s="7" t="s">
        <v>238</v>
      </c>
      <c r="H1868" s="19"/>
      <c r="I1868" s="19"/>
      <c r="J1868" s="19"/>
      <c r="K1868" s="19"/>
      <c r="L1868" s="14">
        <v>5514107</v>
      </c>
      <c r="M1868" s="22">
        <v>45545</v>
      </c>
      <c r="N1868" s="19" t="s">
        <v>197</v>
      </c>
      <c r="O1868" s="19" t="s">
        <v>333</v>
      </c>
      <c r="P1868" s="15">
        <v>3456</v>
      </c>
      <c r="Q1868" s="15">
        <v>913915.32</v>
      </c>
      <c r="R1868" s="15">
        <v>87089500</v>
      </c>
      <c r="S1868" s="15">
        <v>15</v>
      </c>
      <c r="T1868" s="19" t="s">
        <v>428</v>
      </c>
      <c r="U1868" s="19" t="s">
        <v>200</v>
      </c>
      <c r="V1868" s="16">
        <f t="shared" si="384"/>
        <v>137087.29799999998</v>
      </c>
      <c r="W1868" s="16">
        <f t="shared" si="385"/>
        <v>13708.729799999999</v>
      </c>
      <c r="X1868" s="16">
        <f t="shared" si="386"/>
        <v>150796.02779999998</v>
      </c>
      <c r="Y1868" s="16">
        <f t="shared" si="387"/>
        <v>43.633109895833329</v>
      </c>
      <c r="Z1868" s="16">
        <f t="shared" si="388"/>
        <v>264.44309027777774</v>
      </c>
      <c r="AA1868" s="17">
        <f t="shared" si="389"/>
        <v>3456</v>
      </c>
      <c r="AB1868" s="10">
        <v>3216</v>
      </c>
      <c r="AC1868" s="18">
        <f t="shared" si="390"/>
        <v>140324.08142499998</v>
      </c>
      <c r="AD1868" s="12">
        <f t="shared" si="383"/>
        <v>3216</v>
      </c>
      <c r="AE1868" s="13">
        <f t="shared" si="391"/>
        <v>240</v>
      </c>
    </row>
    <row r="1869" spans="1:31">
      <c r="A1869" s="6">
        <v>20</v>
      </c>
      <c r="B1869" s="6">
        <v>87</v>
      </c>
      <c r="C1869" s="6" t="str">
        <f t="shared" si="392"/>
        <v>622408300ALABEL, BLANK, BAR CODE,964466545303100000</v>
      </c>
      <c r="D1869" s="23" t="s">
        <v>445</v>
      </c>
      <c r="E1869" s="6" t="s">
        <v>473</v>
      </c>
      <c r="F1869" s="6"/>
      <c r="G1869" s="7" t="s">
        <v>239</v>
      </c>
      <c r="H1869" s="19"/>
      <c r="I1869" s="19"/>
      <c r="J1869" s="19"/>
      <c r="K1869" s="19"/>
      <c r="L1869" s="14">
        <v>9644665</v>
      </c>
      <c r="M1869" s="22">
        <v>45303</v>
      </c>
      <c r="N1869" s="19" t="s">
        <v>196</v>
      </c>
      <c r="O1869" s="19" t="s">
        <v>333</v>
      </c>
      <c r="P1869" s="15">
        <v>100000</v>
      </c>
      <c r="Q1869" s="15">
        <v>69765.98</v>
      </c>
      <c r="R1869" s="15">
        <v>87089500</v>
      </c>
      <c r="S1869" s="15">
        <v>15</v>
      </c>
      <c r="T1869" s="19" t="s">
        <v>351</v>
      </c>
      <c r="U1869" s="19" t="s">
        <v>178</v>
      </c>
      <c r="V1869" s="16">
        <f t="shared" si="384"/>
        <v>10464.896999999999</v>
      </c>
      <c r="W1869" s="16">
        <f t="shared" si="385"/>
        <v>1046.4896999999999</v>
      </c>
      <c r="X1869" s="16">
        <f t="shared" si="386"/>
        <v>11511.386699999999</v>
      </c>
      <c r="Y1869" s="16">
        <f t="shared" si="387"/>
        <v>0.11511386699999999</v>
      </c>
      <c r="Z1869" s="16">
        <f t="shared" si="388"/>
        <v>0.69765979999999994</v>
      </c>
      <c r="AA1869" s="17">
        <f t="shared" si="389"/>
        <v>100000</v>
      </c>
      <c r="AB1869" s="10">
        <v>30288</v>
      </c>
      <c r="AC1869" s="18">
        <f t="shared" si="390"/>
        <v>3486.568803696</v>
      </c>
      <c r="AD1869" s="12">
        <f t="shared" si="383"/>
        <v>98136</v>
      </c>
      <c r="AE1869" s="13">
        <f t="shared" si="391"/>
        <v>1864</v>
      </c>
    </row>
    <row r="1870" spans="1:31">
      <c r="A1870" s="6">
        <v>20</v>
      </c>
      <c r="B1870" s="6">
        <v>88</v>
      </c>
      <c r="C1870" s="6" t="str">
        <f t="shared" si="392"/>
        <v>654590700ASU2ID CUSHION COMPONENTS CVR NON-WOVEN LH STD3346117454172700</v>
      </c>
      <c r="D1870" s="23" t="s">
        <v>445</v>
      </c>
      <c r="E1870" s="6" t="s">
        <v>477</v>
      </c>
      <c r="F1870" s="6"/>
      <c r="G1870" s="7" t="s">
        <v>330</v>
      </c>
      <c r="H1870" s="19"/>
      <c r="I1870" s="19"/>
      <c r="J1870" s="19"/>
      <c r="K1870" s="19"/>
      <c r="L1870" s="14">
        <v>3346117</v>
      </c>
      <c r="M1870" s="22">
        <v>45417</v>
      </c>
      <c r="N1870" s="19" t="s">
        <v>185</v>
      </c>
      <c r="O1870" s="19" t="s">
        <v>333</v>
      </c>
      <c r="P1870" s="15">
        <v>2700</v>
      </c>
      <c r="Q1870" s="15">
        <v>34085.629999999997</v>
      </c>
      <c r="R1870" s="15">
        <v>87089500</v>
      </c>
      <c r="S1870" s="15">
        <v>5</v>
      </c>
      <c r="T1870" s="19" t="s">
        <v>346</v>
      </c>
      <c r="U1870" s="19" t="s">
        <v>178</v>
      </c>
      <c r="V1870" s="16">
        <f t="shared" si="384"/>
        <v>1704.2815000000001</v>
      </c>
      <c r="W1870" s="16">
        <f t="shared" si="385"/>
        <v>170.42815000000002</v>
      </c>
      <c r="X1870" s="16">
        <f t="shared" si="386"/>
        <v>1874.70965</v>
      </c>
      <c r="Y1870" s="16">
        <f t="shared" si="387"/>
        <v>0.69433690740740739</v>
      </c>
      <c r="Z1870" s="16">
        <f t="shared" si="388"/>
        <v>12.624307407407407</v>
      </c>
      <c r="AA1870" s="17">
        <f t="shared" si="389"/>
        <v>2700</v>
      </c>
      <c r="AB1870" s="10">
        <v>2700</v>
      </c>
      <c r="AC1870" s="18">
        <f t="shared" si="390"/>
        <v>1874.70965</v>
      </c>
      <c r="AD1870" s="12">
        <f t="shared" si="383"/>
        <v>2700</v>
      </c>
      <c r="AE1870" s="13">
        <f t="shared" si="391"/>
        <v>0</v>
      </c>
    </row>
    <row r="1871" spans="1:31">
      <c r="A1871" s="6">
        <v>20</v>
      </c>
      <c r="B1871" s="6">
        <v>89</v>
      </c>
      <c r="C1871" s="6" t="str">
        <f t="shared" si="392"/>
        <v>654590700ASU2ID CUSHION COMPONENTS CVR NON-WOVEN LH STD3628534454354500</v>
      </c>
      <c r="D1871" s="23" t="s">
        <v>445</v>
      </c>
      <c r="E1871" s="6" t="s">
        <v>477</v>
      </c>
      <c r="F1871" s="6"/>
      <c r="G1871" s="7" t="s">
        <v>330</v>
      </c>
      <c r="H1871" s="19"/>
      <c r="I1871" s="19"/>
      <c r="J1871" s="19"/>
      <c r="K1871" s="19"/>
      <c r="L1871" s="14">
        <v>3628534</v>
      </c>
      <c r="M1871" s="22">
        <v>45435</v>
      </c>
      <c r="N1871" s="19" t="s">
        <v>185</v>
      </c>
      <c r="O1871" s="19" t="s">
        <v>333</v>
      </c>
      <c r="P1871" s="15">
        <v>4500</v>
      </c>
      <c r="Q1871" s="15">
        <v>201794.23</v>
      </c>
      <c r="R1871" s="15">
        <v>87089500</v>
      </c>
      <c r="S1871" s="15">
        <v>5</v>
      </c>
      <c r="T1871" s="19" t="s">
        <v>346</v>
      </c>
      <c r="U1871" s="19" t="s">
        <v>178</v>
      </c>
      <c r="V1871" s="16">
        <f t="shared" si="384"/>
        <v>10089.711500000001</v>
      </c>
      <c r="W1871" s="16">
        <f t="shared" si="385"/>
        <v>1008.9711500000002</v>
      </c>
      <c r="X1871" s="16">
        <f t="shared" si="386"/>
        <v>11098.682650000001</v>
      </c>
      <c r="Y1871" s="16">
        <f t="shared" si="387"/>
        <v>2.4663739222222225</v>
      </c>
      <c r="Z1871" s="16">
        <f t="shared" si="388"/>
        <v>44.843162222222226</v>
      </c>
      <c r="AA1871" s="17">
        <f t="shared" si="389"/>
        <v>4500</v>
      </c>
      <c r="AB1871" s="10">
        <v>4500</v>
      </c>
      <c r="AC1871" s="18">
        <f t="shared" si="390"/>
        <v>11098.682650000001</v>
      </c>
      <c r="AD1871" s="12">
        <f t="shared" si="383"/>
        <v>4500</v>
      </c>
      <c r="AE1871" s="13">
        <f t="shared" si="391"/>
        <v>0</v>
      </c>
    </row>
    <row r="1872" spans="1:31">
      <c r="A1872" s="6">
        <v>20</v>
      </c>
      <c r="B1872" s="6">
        <v>90</v>
      </c>
      <c r="C1872" s="6" t="str">
        <f t="shared" si="392"/>
        <v>654590700ASU2ID CUSHION COMPONENTS CVR NON-WOVEN LH STD787136545675900</v>
      </c>
      <c r="D1872" s="23" t="s">
        <v>445</v>
      </c>
      <c r="E1872" s="6" t="s">
        <v>477</v>
      </c>
      <c r="F1872" s="6"/>
      <c r="G1872" s="7" t="s">
        <v>330</v>
      </c>
      <c r="H1872" s="19"/>
      <c r="I1872" s="19"/>
      <c r="J1872" s="19"/>
      <c r="K1872" s="19"/>
      <c r="L1872" s="14">
        <v>7871365</v>
      </c>
      <c r="M1872" s="22">
        <v>45675</v>
      </c>
      <c r="N1872" s="19" t="s">
        <v>196</v>
      </c>
      <c r="O1872" s="19" t="s">
        <v>333</v>
      </c>
      <c r="P1872" s="15">
        <v>900</v>
      </c>
      <c r="Q1872" s="15">
        <v>12541.35</v>
      </c>
      <c r="R1872" s="15">
        <v>87089500</v>
      </c>
      <c r="S1872" s="15">
        <v>15</v>
      </c>
      <c r="T1872" s="19" t="s">
        <v>227</v>
      </c>
      <c r="U1872" s="19" t="s">
        <v>178</v>
      </c>
      <c r="V1872" s="16">
        <f t="shared" si="384"/>
        <v>1881.2024999999999</v>
      </c>
      <c r="W1872" s="16">
        <f t="shared" si="385"/>
        <v>188.12025</v>
      </c>
      <c r="X1872" s="16">
        <f t="shared" si="386"/>
        <v>2069.3227499999998</v>
      </c>
      <c r="Y1872" s="16">
        <f t="shared" si="387"/>
        <v>2.2992474999999999</v>
      </c>
      <c r="Z1872" s="16">
        <f t="shared" si="388"/>
        <v>13.934833333333334</v>
      </c>
      <c r="AA1872" s="17">
        <f t="shared" si="389"/>
        <v>900</v>
      </c>
      <c r="AB1872" s="10">
        <v>900</v>
      </c>
      <c r="AC1872" s="18">
        <f t="shared" si="390"/>
        <v>2069.3227499999998</v>
      </c>
      <c r="AD1872" s="12">
        <f t="shared" si="383"/>
        <v>900</v>
      </c>
      <c r="AE1872" s="13">
        <f t="shared" si="391"/>
        <v>0</v>
      </c>
    </row>
    <row r="1873" spans="1:31">
      <c r="A1873" s="6">
        <v>20</v>
      </c>
      <c r="B1873" s="6">
        <v>91</v>
      </c>
      <c r="C1873" s="6" t="str">
        <f t="shared" si="392"/>
        <v>654590700ASU2ID CUSHION COMPONENTS CVR NON-WOVEN LH STD817148045692900</v>
      </c>
      <c r="D1873" s="23" t="s">
        <v>445</v>
      </c>
      <c r="E1873" s="6" t="s">
        <v>477</v>
      </c>
      <c r="F1873" s="6"/>
      <c r="G1873" s="7" t="s">
        <v>330</v>
      </c>
      <c r="H1873" s="19"/>
      <c r="I1873" s="19"/>
      <c r="J1873" s="19"/>
      <c r="K1873" s="19"/>
      <c r="L1873" s="14">
        <v>8171480</v>
      </c>
      <c r="M1873" s="22">
        <v>45692</v>
      </c>
      <c r="N1873" s="19" t="s">
        <v>196</v>
      </c>
      <c r="O1873" s="19" t="s">
        <v>333</v>
      </c>
      <c r="P1873" s="15">
        <v>900</v>
      </c>
      <c r="Q1873" s="15">
        <v>12541.35</v>
      </c>
      <c r="R1873" s="15">
        <v>87089500</v>
      </c>
      <c r="S1873" s="15">
        <v>15</v>
      </c>
      <c r="T1873" s="19" t="s">
        <v>227</v>
      </c>
      <c r="U1873" s="19" t="s">
        <v>178</v>
      </c>
      <c r="V1873" s="16">
        <f t="shared" si="384"/>
        <v>1881.2024999999999</v>
      </c>
      <c r="W1873" s="16">
        <f t="shared" si="385"/>
        <v>188.12025</v>
      </c>
      <c r="X1873" s="16">
        <f t="shared" si="386"/>
        <v>2069.3227499999998</v>
      </c>
      <c r="Y1873" s="16">
        <f t="shared" si="387"/>
        <v>2.2992474999999999</v>
      </c>
      <c r="Z1873" s="16">
        <f t="shared" si="388"/>
        <v>13.934833333333334</v>
      </c>
      <c r="AA1873" s="17">
        <f t="shared" si="389"/>
        <v>900</v>
      </c>
      <c r="AB1873" s="10">
        <v>900</v>
      </c>
      <c r="AC1873" s="18">
        <f t="shared" si="390"/>
        <v>2069.3227499999998</v>
      </c>
      <c r="AD1873" s="12">
        <f t="shared" si="383"/>
        <v>900</v>
      </c>
      <c r="AE1873" s="13">
        <f t="shared" si="391"/>
        <v>0</v>
      </c>
    </row>
    <row r="1874" spans="1:31">
      <c r="A1874" s="6">
        <v>20</v>
      </c>
      <c r="B1874" s="6">
        <v>92</v>
      </c>
      <c r="C1874" s="6" t="str">
        <f t="shared" si="392"/>
        <v>654590700ASU2ID CUSHION COMPONENTS CVR NON-WOVEN LH STD821261045694900</v>
      </c>
      <c r="D1874" s="23" t="s">
        <v>445</v>
      </c>
      <c r="E1874" s="6" t="s">
        <v>477</v>
      </c>
      <c r="F1874" s="6"/>
      <c r="G1874" s="7" t="s">
        <v>330</v>
      </c>
      <c r="H1874" s="19"/>
      <c r="I1874" s="19"/>
      <c r="J1874" s="19"/>
      <c r="K1874" s="19"/>
      <c r="L1874" s="14">
        <v>8212610</v>
      </c>
      <c r="M1874" s="22">
        <v>45694</v>
      </c>
      <c r="N1874" s="19" t="s">
        <v>185</v>
      </c>
      <c r="O1874" s="19" t="s">
        <v>333</v>
      </c>
      <c r="P1874" s="15">
        <v>900</v>
      </c>
      <c r="Q1874" s="15">
        <v>11047.92</v>
      </c>
      <c r="R1874" s="15">
        <v>87089500</v>
      </c>
      <c r="S1874" s="15">
        <v>5</v>
      </c>
      <c r="T1874" s="19" t="s">
        <v>426</v>
      </c>
      <c r="U1874" s="19" t="s">
        <v>178</v>
      </c>
      <c r="V1874" s="16">
        <f t="shared" si="384"/>
        <v>552.39600000000007</v>
      </c>
      <c r="W1874" s="16">
        <f t="shared" si="385"/>
        <v>55.23960000000001</v>
      </c>
      <c r="X1874" s="16">
        <f t="shared" si="386"/>
        <v>607.63560000000007</v>
      </c>
      <c r="Y1874" s="16">
        <f t="shared" si="387"/>
        <v>0.67515066666666679</v>
      </c>
      <c r="Z1874" s="16">
        <f t="shared" si="388"/>
        <v>12.275466666666667</v>
      </c>
      <c r="AA1874" s="17">
        <f t="shared" si="389"/>
        <v>900</v>
      </c>
      <c r="AB1874" s="10">
        <v>900</v>
      </c>
      <c r="AC1874" s="18">
        <f t="shared" si="390"/>
        <v>607.63560000000007</v>
      </c>
      <c r="AD1874" s="12">
        <f t="shared" si="383"/>
        <v>900</v>
      </c>
      <c r="AE1874" s="13">
        <f t="shared" si="391"/>
        <v>0</v>
      </c>
    </row>
    <row r="1875" spans="1:31">
      <c r="A1875" s="6">
        <v>20</v>
      </c>
      <c r="B1875" s="6">
        <v>93</v>
      </c>
      <c r="C1875" s="6" t="str">
        <f t="shared" si="392"/>
        <v>654590700ASU2ID CUSHION COMPONENTS CVR NON-WOVEN LH STD847760145709900</v>
      </c>
      <c r="D1875" s="23" t="s">
        <v>445</v>
      </c>
      <c r="E1875" s="6" t="s">
        <v>477</v>
      </c>
      <c r="F1875" s="6"/>
      <c r="G1875" s="7" t="s">
        <v>330</v>
      </c>
      <c r="H1875" s="19"/>
      <c r="I1875" s="19"/>
      <c r="J1875" s="19"/>
      <c r="K1875" s="19"/>
      <c r="L1875" s="14">
        <v>8477601</v>
      </c>
      <c r="M1875" s="22">
        <v>45709</v>
      </c>
      <c r="N1875" s="19" t="s">
        <v>185</v>
      </c>
      <c r="O1875" s="19" t="s">
        <v>333</v>
      </c>
      <c r="P1875" s="15">
        <v>900</v>
      </c>
      <c r="Q1875" s="15">
        <v>10913.59</v>
      </c>
      <c r="R1875" s="15">
        <v>87089500</v>
      </c>
      <c r="S1875" s="15">
        <v>5</v>
      </c>
      <c r="T1875" s="19" t="s">
        <v>441</v>
      </c>
      <c r="U1875" s="19" t="s">
        <v>178</v>
      </c>
      <c r="V1875" s="16">
        <f t="shared" si="384"/>
        <v>545.67950000000008</v>
      </c>
      <c r="W1875" s="16">
        <f t="shared" si="385"/>
        <v>54.56795000000001</v>
      </c>
      <c r="X1875" s="16">
        <f t="shared" si="386"/>
        <v>600.24745000000007</v>
      </c>
      <c r="Y1875" s="16">
        <f t="shared" si="387"/>
        <v>0.66694161111111117</v>
      </c>
      <c r="Z1875" s="16">
        <f t="shared" si="388"/>
        <v>12.126211111111111</v>
      </c>
      <c r="AA1875" s="17">
        <f t="shared" si="389"/>
        <v>900</v>
      </c>
      <c r="AB1875" s="10">
        <v>516</v>
      </c>
      <c r="AC1875" s="18">
        <f t="shared" si="390"/>
        <v>344.14187133333337</v>
      </c>
      <c r="AD1875" s="12">
        <f t="shared" si="383"/>
        <v>516</v>
      </c>
      <c r="AE1875" s="13">
        <f t="shared" si="391"/>
        <v>384</v>
      </c>
    </row>
    <row r="1876" spans="1:31">
      <c r="A1876" s="6">
        <v>20</v>
      </c>
      <c r="B1876" s="6">
        <v>94</v>
      </c>
      <c r="C1876" s="6" t="str">
        <f t="shared" si="392"/>
        <v>603171100BTAPE, ADHESIVE, TERAOKA TERAOKA NO.560S 221409284533650000</v>
      </c>
      <c r="D1876" s="23" t="s">
        <v>445</v>
      </c>
      <c r="E1876" s="6" t="s">
        <v>50</v>
      </c>
      <c r="F1876" s="6"/>
      <c r="G1876" s="7" t="s">
        <v>12</v>
      </c>
      <c r="H1876" s="19"/>
      <c r="I1876" s="19"/>
      <c r="J1876" s="19"/>
      <c r="K1876" s="19"/>
      <c r="L1876" s="14">
        <v>2140928</v>
      </c>
      <c r="M1876" s="22">
        <v>45336</v>
      </c>
      <c r="N1876" s="19" t="s">
        <v>196</v>
      </c>
      <c r="O1876" s="19" t="s">
        <v>333</v>
      </c>
      <c r="P1876" s="15">
        <v>50000</v>
      </c>
      <c r="Q1876" s="15">
        <v>283973.52</v>
      </c>
      <c r="R1876" s="15">
        <v>87089500</v>
      </c>
      <c r="S1876" s="15">
        <v>15</v>
      </c>
      <c r="T1876" s="19" t="s">
        <v>323</v>
      </c>
      <c r="U1876" s="19" t="s">
        <v>178</v>
      </c>
      <c r="V1876" s="16">
        <f t="shared" si="384"/>
        <v>42596.027999999998</v>
      </c>
      <c r="W1876" s="16">
        <f t="shared" si="385"/>
        <v>4259.6027999999997</v>
      </c>
      <c r="X1876" s="16">
        <f t="shared" si="386"/>
        <v>46855.630799999999</v>
      </c>
      <c r="Y1876" s="16">
        <f t="shared" si="387"/>
        <v>0.93711261599999995</v>
      </c>
      <c r="Z1876" s="16">
        <f t="shared" si="388"/>
        <v>5.6794704000000005</v>
      </c>
      <c r="AA1876" s="17">
        <f t="shared" si="389"/>
        <v>50000</v>
      </c>
      <c r="AB1876" s="10">
        <v>5990.4</v>
      </c>
      <c r="AC1876" s="18">
        <f t="shared" si="390"/>
        <v>5613.6794148863992</v>
      </c>
      <c r="AD1876" s="12">
        <f t="shared" si="383"/>
        <v>9129.6</v>
      </c>
      <c r="AE1876" s="13">
        <f t="shared" si="391"/>
        <v>40870.400000000001</v>
      </c>
    </row>
    <row r="1877" spans="1:31">
      <c r="A1877" s="6">
        <v>20</v>
      </c>
      <c r="B1877" s="6">
        <v>95</v>
      </c>
      <c r="C1877" s="6" t="str">
        <f t="shared" si="392"/>
        <v>609183701ASTUD, M6 X 1.0, 16.0402550745458126000</v>
      </c>
      <c r="D1877" s="23" t="s">
        <v>445</v>
      </c>
      <c r="E1877" s="6" t="s">
        <v>51</v>
      </c>
      <c r="F1877" s="6"/>
      <c r="G1877" s="7" t="s">
        <v>411</v>
      </c>
      <c r="H1877" s="19"/>
      <c r="I1877" s="19"/>
      <c r="J1877" s="19"/>
      <c r="K1877" s="19"/>
      <c r="L1877" s="14">
        <v>4025507</v>
      </c>
      <c r="M1877" s="22">
        <v>45458</v>
      </c>
      <c r="N1877" s="19" t="s">
        <v>185</v>
      </c>
      <c r="O1877" s="19" t="s">
        <v>332</v>
      </c>
      <c r="P1877" s="15">
        <v>126000</v>
      </c>
      <c r="Q1877" s="15">
        <v>351674.67</v>
      </c>
      <c r="R1877" s="15">
        <v>87089500</v>
      </c>
      <c r="S1877" s="15">
        <v>15</v>
      </c>
      <c r="T1877" s="19" t="s">
        <v>304</v>
      </c>
      <c r="U1877" s="19" t="s">
        <v>178</v>
      </c>
      <c r="V1877" s="16">
        <f t="shared" si="384"/>
        <v>52751.200499999999</v>
      </c>
      <c r="W1877" s="16">
        <f t="shared" si="385"/>
        <v>5275.1200500000004</v>
      </c>
      <c r="X1877" s="16">
        <f t="shared" si="386"/>
        <v>58026.320549999997</v>
      </c>
      <c r="Y1877" s="16">
        <f t="shared" si="387"/>
        <v>0.46052635357142857</v>
      </c>
      <c r="Z1877" s="16">
        <f t="shared" si="388"/>
        <v>2.7910688095238094</v>
      </c>
      <c r="AA1877" s="17">
        <f t="shared" si="389"/>
        <v>126000</v>
      </c>
      <c r="AB1877" s="10">
        <v>56064</v>
      </c>
      <c r="AC1877" s="18">
        <f t="shared" si="390"/>
        <v>25818.949486628571</v>
      </c>
      <c r="AD1877" s="12">
        <f t="shared" si="383"/>
        <v>113280</v>
      </c>
      <c r="AE1877" s="13">
        <f t="shared" si="391"/>
        <v>12720</v>
      </c>
    </row>
    <row r="1878" spans="1:31">
      <c r="A1878" s="6">
        <v>20</v>
      </c>
      <c r="B1878" s="6">
        <v>96</v>
      </c>
      <c r="C1878" s="6" t="str">
        <f t="shared" si="392"/>
        <v>616531900ARING, CRIMP, CLAMP, BAND5310028450163000</v>
      </c>
      <c r="D1878" s="23" t="s">
        <v>445</v>
      </c>
      <c r="E1878" s="6" t="s">
        <v>52</v>
      </c>
      <c r="F1878" s="6"/>
      <c r="G1878" s="7" t="s">
        <v>410</v>
      </c>
      <c r="H1878" s="19"/>
      <c r="I1878" s="19"/>
      <c r="J1878" s="19"/>
      <c r="K1878" s="19"/>
      <c r="L1878" s="14">
        <v>5310028</v>
      </c>
      <c r="M1878" s="22">
        <v>45016</v>
      </c>
      <c r="N1878" s="19" t="s">
        <v>199</v>
      </c>
      <c r="O1878" s="19" t="s">
        <v>333</v>
      </c>
      <c r="P1878" s="15">
        <v>3000</v>
      </c>
      <c r="Q1878" s="15">
        <v>49143.88</v>
      </c>
      <c r="R1878" s="15">
        <v>87089500</v>
      </c>
      <c r="S1878" s="15">
        <v>15</v>
      </c>
      <c r="T1878" s="19" t="s">
        <v>451</v>
      </c>
      <c r="U1878" s="19" t="s">
        <v>178</v>
      </c>
      <c r="V1878" s="16">
        <f t="shared" si="384"/>
        <v>7371.5819999999994</v>
      </c>
      <c r="W1878" s="16">
        <f t="shared" si="385"/>
        <v>737.15819999999997</v>
      </c>
      <c r="X1878" s="16">
        <f t="shared" si="386"/>
        <v>8108.7401999999993</v>
      </c>
      <c r="Y1878" s="16">
        <f t="shared" si="387"/>
        <v>2.7029133999999999</v>
      </c>
      <c r="Z1878" s="16">
        <f t="shared" si="388"/>
        <v>16.381293333333332</v>
      </c>
      <c r="AA1878" s="17">
        <f t="shared" si="389"/>
        <v>3000</v>
      </c>
      <c r="AB1878" s="10">
        <v>3000</v>
      </c>
      <c r="AC1878" s="18">
        <f t="shared" si="390"/>
        <v>8108.7402000000002</v>
      </c>
      <c r="AD1878" s="12">
        <f t="shared" si="383"/>
        <v>3000</v>
      </c>
      <c r="AE1878" s="13">
        <f t="shared" si="391"/>
        <v>0</v>
      </c>
    </row>
    <row r="1879" spans="1:31">
      <c r="A1879" s="6">
        <v>20</v>
      </c>
      <c r="B1879" s="6">
        <v>97</v>
      </c>
      <c r="C1879" s="6" t="str">
        <f t="shared" si="392"/>
        <v>616531900ARING, CRIMP, CLAMP, BAND53100284501646000</v>
      </c>
      <c r="D1879" s="23" t="s">
        <v>445</v>
      </c>
      <c r="E1879" s="6" t="s">
        <v>52</v>
      </c>
      <c r="F1879" s="6"/>
      <c r="G1879" s="7" t="s">
        <v>410</v>
      </c>
      <c r="H1879" s="19"/>
      <c r="I1879" s="19"/>
      <c r="J1879" s="19"/>
      <c r="K1879" s="19"/>
      <c r="L1879" s="14">
        <v>5310028</v>
      </c>
      <c r="M1879" s="22">
        <v>45016</v>
      </c>
      <c r="N1879" s="19" t="s">
        <v>199</v>
      </c>
      <c r="O1879" s="19" t="s">
        <v>333</v>
      </c>
      <c r="P1879" s="15">
        <v>46000</v>
      </c>
      <c r="Q1879" s="15">
        <v>753539.51</v>
      </c>
      <c r="R1879" s="15">
        <v>87089500</v>
      </c>
      <c r="S1879" s="15">
        <v>15</v>
      </c>
      <c r="T1879" s="19" t="s">
        <v>451</v>
      </c>
      <c r="U1879" s="19" t="s">
        <v>178</v>
      </c>
      <c r="V1879" s="16">
        <f t="shared" si="384"/>
        <v>113030.9265</v>
      </c>
      <c r="W1879" s="16">
        <f t="shared" si="385"/>
        <v>11303.092650000001</v>
      </c>
      <c r="X1879" s="16">
        <f t="shared" si="386"/>
        <v>124334.01915000001</v>
      </c>
      <c r="Y1879" s="16">
        <f t="shared" si="387"/>
        <v>2.702913459782609</v>
      </c>
      <c r="Z1879" s="16">
        <f t="shared" si="388"/>
        <v>16.381293695652175</v>
      </c>
      <c r="AA1879" s="17">
        <f t="shared" si="389"/>
        <v>46000</v>
      </c>
      <c r="AB1879" s="10">
        <v>45000</v>
      </c>
      <c r="AC1879" s="18">
        <f t="shared" si="390"/>
        <v>121631.1056902174</v>
      </c>
      <c r="AD1879" s="12">
        <f t="shared" si="383"/>
        <v>45000</v>
      </c>
      <c r="AE1879" s="13">
        <f t="shared" si="391"/>
        <v>1000</v>
      </c>
    </row>
    <row r="1880" spans="1:31">
      <c r="A1880" s="6">
        <v>20</v>
      </c>
      <c r="B1880" s="6">
        <v>98</v>
      </c>
      <c r="C1880" s="6" t="str">
        <f t="shared" si="392"/>
        <v>666041200ACushion ICAB FI 2 Row C4966272455135000</v>
      </c>
      <c r="D1880" s="23" t="s">
        <v>445</v>
      </c>
      <c r="E1880" s="6" t="s">
        <v>472</v>
      </c>
      <c r="F1880" s="6"/>
      <c r="G1880" s="7" t="s">
        <v>237</v>
      </c>
      <c r="H1880" s="19"/>
      <c r="I1880" s="19"/>
      <c r="J1880" s="19"/>
      <c r="K1880" s="19"/>
      <c r="L1880" s="14">
        <v>4966272</v>
      </c>
      <c r="M1880" s="22">
        <v>45513</v>
      </c>
      <c r="N1880" s="19" t="s">
        <v>336</v>
      </c>
      <c r="O1880" s="19" t="s">
        <v>332</v>
      </c>
      <c r="P1880" s="15">
        <v>5000</v>
      </c>
      <c r="Q1880" s="15">
        <v>4320766.42</v>
      </c>
      <c r="R1880" s="15">
        <v>87089500</v>
      </c>
      <c r="S1880" s="15">
        <v>5</v>
      </c>
      <c r="T1880" s="19" t="s">
        <v>397</v>
      </c>
      <c r="U1880" s="19" t="s">
        <v>178</v>
      </c>
      <c r="V1880" s="16">
        <f t="shared" si="384"/>
        <v>216038.321</v>
      </c>
      <c r="W1880" s="16">
        <f t="shared" si="385"/>
        <v>21603.8321</v>
      </c>
      <c r="X1880" s="16">
        <f t="shared" si="386"/>
        <v>237642.1531</v>
      </c>
      <c r="Y1880" s="16">
        <f t="shared" si="387"/>
        <v>47.528430620000002</v>
      </c>
      <c r="Z1880" s="16">
        <f t="shared" si="388"/>
        <v>864.15328399999999</v>
      </c>
      <c r="AA1880" s="17">
        <f t="shared" si="389"/>
        <v>5000</v>
      </c>
      <c r="AB1880" s="10">
        <v>5000</v>
      </c>
      <c r="AC1880" s="18">
        <f t="shared" si="390"/>
        <v>237642.1531</v>
      </c>
      <c r="AD1880" s="12">
        <f t="shared" si="383"/>
        <v>5000</v>
      </c>
      <c r="AE1880" s="13">
        <f t="shared" si="391"/>
        <v>0</v>
      </c>
    </row>
    <row r="1881" spans="1:31">
      <c r="A1881" s="6">
        <v>20</v>
      </c>
      <c r="B1881" s="6">
        <v>99</v>
      </c>
      <c r="C1881" s="6" t="str">
        <f t="shared" si="392"/>
        <v>666041200ACushion ICAB FI 2 Row C5246960455305000</v>
      </c>
      <c r="D1881" s="23" t="s">
        <v>445</v>
      </c>
      <c r="E1881" s="6" t="s">
        <v>472</v>
      </c>
      <c r="F1881" s="6"/>
      <c r="G1881" s="7" t="s">
        <v>237</v>
      </c>
      <c r="H1881" s="19"/>
      <c r="I1881" s="19"/>
      <c r="J1881" s="19"/>
      <c r="K1881" s="19"/>
      <c r="L1881" s="14">
        <v>5246960</v>
      </c>
      <c r="M1881" s="22">
        <v>45530</v>
      </c>
      <c r="N1881" s="19" t="s">
        <v>197</v>
      </c>
      <c r="O1881" s="19" t="s">
        <v>333</v>
      </c>
      <c r="P1881" s="15">
        <v>5000</v>
      </c>
      <c r="Q1881" s="15">
        <v>4333293.93</v>
      </c>
      <c r="R1881" s="15">
        <v>87089500</v>
      </c>
      <c r="S1881" s="15">
        <v>5</v>
      </c>
      <c r="T1881" s="19" t="s">
        <v>204</v>
      </c>
      <c r="U1881" s="19" t="s">
        <v>178</v>
      </c>
      <c r="V1881" s="16">
        <f t="shared" si="384"/>
        <v>216664.69649999999</v>
      </c>
      <c r="W1881" s="16">
        <f t="shared" si="385"/>
        <v>21666.469649999999</v>
      </c>
      <c r="X1881" s="16">
        <f t="shared" si="386"/>
        <v>238331.16615</v>
      </c>
      <c r="Y1881" s="16">
        <f t="shared" si="387"/>
        <v>47.666233230000003</v>
      </c>
      <c r="Z1881" s="16">
        <f t="shared" si="388"/>
        <v>866.65878599999996</v>
      </c>
      <c r="AA1881" s="17">
        <f t="shared" si="389"/>
        <v>5000</v>
      </c>
      <c r="AB1881" s="10">
        <v>4792</v>
      </c>
      <c r="AC1881" s="18">
        <f t="shared" si="390"/>
        <v>228416.58963816002</v>
      </c>
      <c r="AD1881" s="12">
        <f t="shared" si="383"/>
        <v>4932</v>
      </c>
      <c r="AE1881" s="13">
        <f t="shared" si="391"/>
        <v>68</v>
      </c>
    </row>
    <row r="1882" spans="1:31">
      <c r="A1882" s="6">
        <v>20</v>
      </c>
      <c r="B1882" s="6">
        <v>100</v>
      </c>
      <c r="C1882" s="6" t="str">
        <f t="shared" si="392"/>
        <v>PC47516-3810SNAP-IN-FASTENER, PUSH P PUSH PIN, BLACK36255814543542000</v>
      </c>
      <c r="D1882" s="23" t="s">
        <v>445</v>
      </c>
      <c r="E1882" s="6" t="s">
        <v>54</v>
      </c>
      <c r="F1882" s="6"/>
      <c r="G1882" s="7" t="s">
        <v>14</v>
      </c>
      <c r="H1882" s="19"/>
      <c r="I1882" s="19"/>
      <c r="J1882" s="19"/>
      <c r="K1882" s="19"/>
      <c r="L1882" s="14">
        <v>3625581</v>
      </c>
      <c r="M1882" s="22">
        <v>45435</v>
      </c>
      <c r="N1882" s="19" t="s">
        <v>196</v>
      </c>
      <c r="O1882" s="19" t="s">
        <v>333</v>
      </c>
      <c r="P1882" s="15">
        <v>42000</v>
      </c>
      <c r="Q1882" s="15">
        <v>49322.6</v>
      </c>
      <c r="R1882" s="15">
        <v>87089500</v>
      </c>
      <c r="S1882" s="15">
        <v>15</v>
      </c>
      <c r="T1882" s="19" t="s">
        <v>306</v>
      </c>
      <c r="U1882" s="19" t="s">
        <v>178</v>
      </c>
      <c r="V1882" s="16">
        <f t="shared" si="384"/>
        <v>7398.3899999999994</v>
      </c>
      <c r="W1882" s="16">
        <f t="shared" si="385"/>
        <v>739.83899999999994</v>
      </c>
      <c r="X1882" s="16">
        <f t="shared" si="386"/>
        <v>8138.2289999999994</v>
      </c>
      <c r="Y1882" s="16">
        <f t="shared" si="387"/>
        <v>0.19376735714285712</v>
      </c>
      <c r="Z1882" s="16">
        <f t="shared" si="388"/>
        <v>1.174347619047619</v>
      </c>
      <c r="AA1882" s="17">
        <f t="shared" si="389"/>
        <v>42000</v>
      </c>
      <c r="AB1882" s="10">
        <v>19968</v>
      </c>
      <c r="AC1882" s="18">
        <f t="shared" si="390"/>
        <v>3869.1465874285709</v>
      </c>
      <c r="AD1882" s="12">
        <f t="shared" si="383"/>
        <v>51936</v>
      </c>
      <c r="AE1882" s="13">
        <v>0</v>
      </c>
    </row>
    <row r="1883" spans="1:31">
      <c r="A1883" s="6">
        <v>20</v>
      </c>
      <c r="B1883" s="6">
        <v>101</v>
      </c>
      <c r="C1883" s="6" t="str">
        <f t="shared" si="392"/>
        <v>666041100AAB Cushion ICAB FI 2 Row C5249502455305000</v>
      </c>
      <c r="D1883" s="23" t="s">
        <v>445</v>
      </c>
      <c r="E1883" s="6" t="s">
        <v>476</v>
      </c>
      <c r="F1883" s="6"/>
      <c r="G1883" s="7" t="s">
        <v>246</v>
      </c>
      <c r="H1883" s="19"/>
      <c r="I1883" s="19"/>
      <c r="J1883" s="19"/>
      <c r="K1883" s="19"/>
      <c r="L1883" s="14">
        <v>5249502</v>
      </c>
      <c r="M1883" s="22">
        <v>45530</v>
      </c>
      <c r="N1883" s="19" t="s">
        <v>197</v>
      </c>
      <c r="O1883" s="19" t="s">
        <v>333</v>
      </c>
      <c r="P1883" s="15">
        <v>5000</v>
      </c>
      <c r="Q1883" s="15">
        <v>4334177.92</v>
      </c>
      <c r="R1883" s="15">
        <v>87089500</v>
      </c>
      <c r="S1883" s="15">
        <v>5</v>
      </c>
      <c r="T1883" s="19" t="s">
        <v>204</v>
      </c>
      <c r="U1883" s="19" t="s">
        <v>178</v>
      </c>
      <c r="V1883" s="16">
        <f t="shared" si="384"/>
        <v>216708.89600000001</v>
      </c>
      <c r="W1883" s="16">
        <f t="shared" si="385"/>
        <v>21670.889600000002</v>
      </c>
      <c r="X1883" s="16">
        <f t="shared" si="386"/>
        <v>238379.7856</v>
      </c>
      <c r="Y1883" s="16">
        <f t="shared" si="387"/>
        <v>47.67595712</v>
      </c>
      <c r="Z1883" s="16">
        <f t="shared" si="388"/>
        <v>866.83558400000004</v>
      </c>
      <c r="AA1883" s="17">
        <f t="shared" si="389"/>
        <v>5000</v>
      </c>
      <c r="AB1883" s="10">
        <v>5000</v>
      </c>
      <c r="AC1883" s="18">
        <f t="shared" si="390"/>
        <v>238379.7856</v>
      </c>
      <c r="AD1883" s="12">
        <f t="shared" si="383"/>
        <v>5000</v>
      </c>
      <c r="AE1883" s="13">
        <f t="shared" si="391"/>
        <v>0</v>
      </c>
    </row>
    <row r="1884" spans="1:31">
      <c r="A1884" s="6">
        <v>20</v>
      </c>
      <c r="B1884" s="6">
        <v>102</v>
      </c>
      <c r="C1884" s="6" t="str">
        <f t="shared" si="392"/>
        <v>666041100AAB Cushion ICAB FI 2 Row C5469778455415000</v>
      </c>
      <c r="D1884" s="23" t="s">
        <v>445</v>
      </c>
      <c r="E1884" s="6" t="s">
        <v>476</v>
      </c>
      <c r="F1884" s="6"/>
      <c r="G1884" s="7" t="s">
        <v>246</v>
      </c>
      <c r="H1884" s="19"/>
      <c r="I1884" s="19"/>
      <c r="J1884" s="19"/>
      <c r="K1884" s="19"/>
      <c r="L1884" s="14">
        <v>5469778</v>
      </c>
      <c r="M1884" s="22">
        <v>45541</v>
      </c>
      <c r="N1884" s="19" t="s">
        <v>185</v>
      </c>
      <c r="O1884" s="19" t="s">
        <v>332</v>
      </c>
      <c r="P1884" s="15">
        <v>5000</v>
      </c>
      <c r="Q1884" s="15">
        <v>4332765.84</v>
      </c>
      <c r="R1884" s="15">
        <v>87089500</v>
      </c>
      <c r="S1884" s="15">
        <v>5</v>
      </c>
      <c r="T1884" s="19" t="s">
        <v>452</v>
      </c>
      <c r="U1884" s="19" t="s">
        <v>178</v>
      </c>
      <c r="V1884" s="16">
        <f t="shared" si="384"/>
        <v>216638.29200000002</v>
      </c>
      <c r="W1884" s="16">
        <f t="shared" si="385"/>
        <v>21663.829200000004</v>
      </c>
      <c r="X1884" s="16">
        <f t="shared" si="386"/>
        <v>238302.12120000002</v>
      </c>
      <c r="Y1884" s="16">
        <f t="shared" si="387"/>
        <v>47.660424240000005</v>
      </c>
      <c r="Z1884" s="16">
        <f t="shared" si="388"/>
        <v>866.55316799999991</v>
      </c>
      <c r="AA1884" s="17">
        <f t="shared" si="389"/>
        <v>5000</v>
      </c>
      <c r="AB1884" s="10">
        <v>5000</v>
      </c>
      <c r="AC1884" s="18">
        <f t="shared" si="390"/>
        <v>238302.12120000002</v>
      </c>
      <c r="AD1884" s="12">
        <f t="shared" si="383"/>
        <v>5000</v>
      </c>
      <c r="AE1884" s="13">
        <f t="shared" si="391"/>
        <v>0</v>
      </c>
    </row>
    <row r="1885" spans="1:31">
      <c r="A1885" s="6">
        <v>20</v>
      </c>
      <c r="B1885" s="6">
        <v>103</v>
      </c>
      <c r="C1885" s="6" t="str">
        <f t="shared" si="392"/>
        <v>666041100AAB Cushion ICAB FI 2 Row C5479516455425000</v>
      </c>
      <c r="D1885" s="23" t="s">
        <v>445</v>
      </c>
      <c r="E1885" s="6" t="s">
        <v>476</v>
      </c>
      <c r="F1885" s="6"/>
      <c r="G1885" s="7" t="s">
        <v>246</v>
      </c>
      <c r="H1885" s="19"/>
      <c r="I1885" s="19"/>
      <c r="J1885" s="19"/>
      <c r="K1885" s="19"/>
      <c r="L1885" s="14">
        <v>5479516</v>
      </c>
      <c r="M1885" s="22">
        <v>45542</v>
      </c>
      <c r="N1885" s="19" t="s">
        <v>185</v>
      </c>
      <c r="O1885" s="19" t="s">
        <v>332</v>
      </c>
      <c r="P1885" s="15">
        <v>5000</v>
      </c>
      <c r="Q1885" s="15">
        <v>4328380.9400000004</v>
      </c>
      <c r="R1885" s="15">
        <v>87089500</v>
      </c>
      <c r="S1885" s="15">
        <v>5</v>
      </c>
      <c r="T1885" s="19" t="s">
        <v>397</v>
      </c>
      <c r="U1885" s="19" t="s">
        <v>178</v>
      </c>
      <c r="V1885" s="16">
        <f t="shared" si="384"/>
        <v>216419.04700000002</v>
      </c>
      <c r="W1885" s="16">
        <f t="shared" si="385"/>
        <v>21641.904700000003</v>
      </c>
      <c r="X1885" s="16">
        <f t="shared" si="386"/>
        <v>238060.95170000003</v>
      </c>
      <c r="Y1885" s="16">
        <f t="shared" si="387"/>
        <v>47.612190340000005</v>
      </c>
      <c r="Z1885" s="16">
        <f t="shared" si="388"/>
        <v>865.67618800000014</v>
      </c>
      <c r="AA1885" s="17">
        <f t="shared" si="389"/>
        <v>5000</v>
      </c>
      <c r="AB1885" s="10">
        <v>176</v>
      </c>
      <c r="AC1885" s="18">
        <f t="shared" si="390"/>
        <v>8379.7454998400008</v>
      </c>
      <c r="AD1885" s="12">
        <f t="shared" si="383"/>
        <v>176</v>
      </c>
      <c r="AE1885" s="13">
        <f t="shared" si="391"/>
        <v>4824</v>
      </c>
    </row>
    <row r="1886" spans="1:31">
      <c r="A1886" s="6">
        <v>20</v>
      </c>
      <c r="B1886" s="6">
        <v>104</v>
      </c>
      <c r="C1886" s="6" t="str">
        <f t="shared" si="392"/>
        <v>640294000AAB INFLATOR, ASP-2, GEN15,5516127455455184</v>
      </c>
      <c r="D1886" s="23" t="s">
        <v>445</v>
      </c>
      <c r="E1886" s="6" t="s">
        <v>475</v>
      </c>
      <c r="F1886" s="6"/>
      <c r="G1886" s="7" t="s">
        <v>244</v>
      </c>
      <c r="H1886" s="19"/>
      <c r="I1886" s="19"/>
      <c r="J1886" s="19"/>
      <c r="K1886" s="19"/>
      <c r="L1886" s="14">
        <v>5516127</v>
      </c>
      <c r="M1886" s="22">
        <v>45545</v>
      </c>
      <c r="N1886" s="19" t="s">
        <v>197</v>
      </c>
      <c r="O1886" s="19" t="s">
        <v>333</v>
      </c>
      <c r="P1886" s="15">
        <v>5184</v>
      </c>
      <c r="Q1886" s="15">
        <v>1384716.67</v>
      </c>
      <c r="R1886" s="15">
        <v>87089500</v>
      </c>
      <c r="S1886" s="15">
        <v>15</v>
      </c>
      <c r="T1886" s="19" t="s">
        <v>428</v>
      </c>
      <c r="U1886" s="19" t="s">
        <v>200</v>
      </c>
      <c r="V1886" s="16">
        <f t="shared" si="384"/>
        <v>207707.50049999999</v>
      </c>
      <c r="W1886" s="16">
        <f t="shared" si="385"/>
        <v>20770.750050000002</v>
      </c>
      <c r="X1886" s="16">
        <f t="shared" si="386"/>
        <v>228478.25055</v>
      </c>
      <c r="Y1886" s="16">
        <f t="shared" si="387"/>
        <v>44.073736603009259</v>
      </c>
      <c r="Z1886" s="16">
        <f t="shared" si="388"/>
        <v>267.11355516975306</v>
      </c>
      <c r="AA1886" s="17">
        <f t="shared" si="389"/>
        <v>5184</v>
      </c>
      <c r="AB1886" s="10">
        <v>5184</v>
      </c>
      <c r="AC1886" s="18">
        <f t="shared" si="390"/>
        <v>228478.25055</v>
      </c>
      <c r="AD1886" s="12">
        <f t="shared" si="383"/>
        <v>5184</v>
      </c>
      <c r="AE1886" s="13">
        <f t="shared" si="391"/>
        <v>0</v>
      </c>
    </row>
    <row r="1887" spans="1:31">
      <c r="A1887" s="6">
        <v>20</v>
      </c>
      <c r="B1887" s="6">
        <v>105</v>
      </c>
      <c r="C1887" s="6" t="str">
        <f t="shared" si="392"/>
        <v>640294000AAB INFLATOR, ASP-2, GEN15,5515282455453456</v>
      </c>
      <c r="D1887" s="23" t="s">
        <v>445</v>
      </c>
      <c r="E1887" s="6" t="s">
        <v>475</v>
      </c>
      <c r="F1887" s="6"/>
      <c r="G1887" s="7" t="s">
        <v>244</v>
      </c>
      <c r="H1887" s="19"/>
      <c r="I1887" s="19"/>
      <c r="J1887" s="19"/>
      <c r="K1887" s="19"/>
      <c r="L1887" s="14">
        <v>5515282</v>
      </c>
      <c r="M1887" s="22">
        <v>45545</v>
      </c>
      <c r="N1887" s="19" t="s">
        <v>197</v>
      </c>
      <c r="O1887" s="19" t="s">
        <v>333</v>
      </c>
      <c r="P1887" s="15">
        <v>3456</v>
      </c>
      <c r="Q1887" s="15">
        <v>913806.55</v>
      </c>
      <c r="R1887" s="15">
        <v>87089500</v>
      </c>
      <c r="S1887" s="15">
        <v>15</v>
      </c>
      <c r="T1887" s="19" t="s">
        <v>428</v>
      </c>
      <c r="U1887" s="19" t="s">
        <v>200</v>
      </c>
      <c r="V1887" s="16">
        <f t="shared" si="384"/>
        <v>137070.98250000001</v>
      </c>
      <c r="W1887" s="16">
        <f t="shared" si="385"/>
        <v>13707.098250000003</v>
      </c>
      <c r="X1887" s="16">
        <f t="shared" si="386"/>
        <v>150778.08075000002</v>
      </c>
      <c r="Y1887" s="16">
        <f t="shared" si="387"/>
        <v>43.627916883680562</v>
      </c>
      <c r="Z1887" s="16">
        <f t="shared" si="388"/>
        <v>264.41161747685186</v>
      </c>
      <c r="AA1887" s="17">
        <f t="shared" si="389"/>
        <v>3456</v>
      </c>
      <c r="AB1887" s="10">
        <v>3456</v>
      </c>
      <c r="AC1887" s="18">
        <f t="shared" si="390"/>
        <v>150778.08075000002</v>
      </c>
      <c r="AD1887" s="12">
        <f t="shared" ref="AD1887:AD1950" si="393">SUMIF($C$2:$C$2284,C1887,$AB$2:$AB$2284)</f>
        <v>3456</v>
      </c>
      <c r="AE1887" s="13">
        <f t="shared" si="391"/>
        <v>0</v>
      </c>
    </row>
    <row r="1888" spans="1:31">
      <c r="A1888" s="6">
        <v>20</v>
      </c>
      <c r="B1888" s="6">
        <v>106</v>
      </c>
      <c r="C1888" s="6" t="str">
        <f t="shared" si="392"/>
        <v>640294000AAB INFLATOR, ASP-2, GEN15,5642267455525184</v>
      </c>
      <c r="D1888" s="23" t="s">
        <v>445</v>
      </c>
      <c r="E1888" s="6" t="s">
        <v>475</v>
      </c>
      <c r="F1888" s="6"/>
      <c r="G1888" s="7" t="s">
        <v>244</v>
      </c>
      <c r="H1888" s="19"/>
      <c r="I1888" s="19"/>
      <c r="J1888" s="19"/>
      <c r="K1888" s="19"/>
      <c r="L1888" s="14">
        <v>5642267</v>
      </c>
      <c r="M1888" s="22">
        <v>45552</v>
      </c>
      <c r="N1888" s="19" t="s">
        <v>197</v>
      </c>
      <c r="O1888" s="19" t="s">
        <v>333</v>
      </c>
      <c r="P1888" s="15">
        <v>5184</v>
      </c>
      <c r="Q1888" s="15">
        <v>1375274.2</v>
      </c>
      <c r="R1888" s="15">
        <v>87089500</v>
      </c>
      <c r="S1888" s="15">
        <v>15</v>
      </c>
      <c r="T1888" s="19" t="s">
        <v>428</v>
      </c>
      <c r="U1888" s="19" t="s">
        <v>200</v>
      </c>
      <c r="V1888" s="16">
        <f t="shared" si="384"/>
        <v>206291.12999999998</v>
      </c>
      <c r="W1888" s="16">
        <f t="shared" si="385"/>
        <v>20629.112999999998</v>
      </c>
      <c r="X1888" s="16">
        <f t="shared" si="386"/>
        <v>226920.24299999996</v>
      </c>
      <c r="Y1888" s="16">
        <f t="shared" si="387"/>
        <v>43.773195023148141</v>
      </c>
      <c r="Z1888" s="16">
        <f t="shared" si="388"/>
        <v>265.29209104938269</v>
      </c>
      <c r="AA1888" s="17">
        <f t="shared" si="389"/>
        <v>5184</v>
      </c>
      <c r="AB1888" s="10">
        <v>5184</v>
      </c>
      <c r="AC1888" s="18">
        <f t="shared" si="390"/>
        <v>226920.24299999996</v>
      </c>
      <c r="AD1888" s="12">
        <f t="shared" si="393"/>
        <v>5184</v>
      </c>
      <c r="AE1888" s="13">
        <f t="shared" si="391"/>
        <v>0</v>
      </c>
    </row>
    <row r="1889" spans="1:31">
      <c r="A1889" s="6">
        <v>20</v>
      </c>
      <c r="B1889" s="6">
        <v>107</v>
      </c>
      <c r="C1889" s="6" t="str">
        <f t="shared" si="392"/>
        <v>640294000AAB INFLATOR, ASP-2, GEN15,5777227455593456</v>
      </c>
      <c r="D1889" s="23" t="s">
        <v>445</v>
      </c>
      <c r="E1889" s="6" t="s">
        <v>475</v>
      </c>
      <c r="F1889" s="6"/>
      <c r="G1889" s="7" t="s">
        <v>244</v>
      </c>
      <c r="H1889" s="19"/>
      <c r="I1889" s="19"/>
      <c r="J1889" s="19"/>
      <c r="K1889" s="19"/>
      <c r="L1889" s="14">
        <v>5777227</v>
      </c>
      <c r="M1889" s="22">
        <v>45559</v>
      </c>
      <c r="N1889" s="19" t="s">
        <v>185</v>
      </c>
      <c r="O1889" s="19" t="s">
        <v>332</v>
      </c>
      <c r="P1889" s="15">
        <v>3456</v>
      </c>
      <c r="Q1889" s="15">
        <v>910540</v>
      </c>
      <c r="R1889" s="15">
        <v>87089500</v>
      </c>
      <c r="S1889" s="15">
        <v>15</v>
      </c>
      <c r="T1889" s="19" t="s">
        <v>388</v>
      </c>
      <c r="U1889" s="19" t="s">
        <v>200</v>
      </c>
      <c r="V1889" s="16">
        <f t="shared" si="384"/>
        <v>136581</v>
      </c>
      <c r="W1889" s="16">
        <f t="shared" si="385"/>
        <v>13658.1</v>
      </c>
      <c r="X1889" s="16">
        <f t="shared" si="386"/>
        <v>150239.1</v>
      </c>
      <c r="Y1889" s="16">
        <f t="shared" si="387"/>
        <v>43.471961805555559</v>
      </c>
      <c r="Z1889" s="16">
        <f t="shared" si="388"/>
        <v>263.46643518518516</v>
      </c>
      <c r="AA1889" s="17">
        <f t="shared" si="389"/>
        <v>3456</v>
      </c>
      <c r="AB1889" s="10">
        <v>1152</v>
      </c>
      <c r="AC1889" s="18">
        <f t="shared" si="390"/>
        <v>50079.700000000004</v>
      </c>
      <c r="AD1889" s="12">
        <f t="shared" si="393"/>
        <v>1152</v>
      </c>
      <c r="AE1889" s="13">
        <f t="shared" si="391"/>
        <v>2304</v>
      </c>
    </row>
    <row r="1890" spans="1:31">
      <c r="A1890" s="6">
        <v>20</v>
      </c>
      <c r="B1890" s="6">
        <v>108</v>
      </c>
      <c r="C1890" s="6" t="str">
        <f t="shared" si="392"/>
        <v>654590600ASU2ID STD CUSHION COMPON CVR NON-WOVEN RH2156837453374500</v>
      </c>
      <c r="D1890" s="23" t="s">
        <v>445</v>
      </c>
      <c r="E1890" s="6" t="s">
        <v>78</v>
      </c>
      <c r="F1890" s="6"/>
      <c r="G1890" s="7" t="s">
        <v>38</v>
      </c>
      <c r="H1890" s="19"/>
      <c r="I1890" s="19"/>
      <c r="J1890" s="19"/>
      <c r="K1890" s="19"/>
      <c r="L1890" s="14">
        <v>2156837</v>
      </c>
      <c r="M1890" s="22">
        <v>45337</v>
      </c>
      <c r="N1890" s="19" t="s">
        <v>185</v>
      </c>
      <c r="O1890" s="19" t="s">
        <v>333</v>
      </c>
      <c r="P1890" s="15">
        <v>4500</v>
      </c>
      <c r="Q1890" s="15">
        <v>54503.31</v>
      </c>
      <c r="R1890" s="15">
        <v>87089500</v>
      </c>
      <c r="S1890" s="15">
        <v>5</v>
      </c>
      <c r="T1890" s="19" t="s">
        <v>346</v>
      </c>
      <c r="U1890" s="19" t="s">
        <v>178</v>
      </c>
      <c r="V1890" s="16">
        <f t="shared" si="384"/>
        <v>2725.1655000000001</v>
      </c>
      <c r="W1890" s="16">
        <f t="shared" si="385"/>
        <v>272.51655</v>
      </c>
      <c r="X1890" s="16">
        <f t="shared" si="386"/>
        <v>2997.6820499999999</v>
      </c>
      <c r="Y1890" s="16">
        <f t="shared" si="387"/>
        <v>0.66615156666666664</v>
      </c>
      <c r="Z1890" s="16">
        <f t="shared" si="388"/>
        <v>12.111846666666667</v>
      </c>
      <c r="AA1890" s="17">
        <f t="shared" si="389"/>
        <v>4500</v>
      </c>
      <c r="AB1890" s="10">
        <v>2484</v>
      </c>
      <c r="AC1890" s="18">
        <f t="shared" si="390"/>
        <v>1654.7204915999998</v>
      </c>
      <c r="AD1890" s="12">
        <f t="shared" si="393"/>
        <v>4500</v>
      </c>
      <c r="AE1890" s="13">
        <f t="shared" si="391"/>
        <v>0</v>
      </c>
    </row>
    <row r="1891" spans="1:31">
      <c r="A1891" s="6">
        <v>20</v>
      </c>
      <c r="B1891" s="6">
        <v>109</v>
      </c>
      <c r="C1891" s="6" t="str">
        <f t="shared" si="392"/>
        <v>654590600ASU2ID STD CUSHION COMPON CVR NON-WOVEN RH3628534454354500</v>
      </c>
      <c r="D1891" s="23" t="s">
        <v>445</v>
      </c>
      <c r="E1891" s="6" t="s">
        <v>78</v>
      </c>
      <c r="F1891" s="6"/>
      <c r="G1891" s="7" t="s">
        <v>38</v>
      </c>
      <c r="H1891" s="19"/>
      <c r="I1891" s="19"/>
      <c r="J1891" s="19"/>
      <c r="K1891" s="19"/>
      <c r="L1891" s="14">
        <v>3628534</v>
      </c>
      <c r="M1891" s="22">
        <v>45435</v>
      </c>
      <c r="N1891" s="19" t="s">
        <v>185</v>
      </c>
      <c r="O1891" s="19" t="s">
        <v>333</v>
      </c>
      <c r="P1891" s="15">
        <v>4500</v>
      </c>
      <c r="Q1891" s="15">
        <v>55334.66</v>
      </c>
      <c r="R1891" s="15">
        <v>87089500</v>
      </c>
      <c r="S1891" s="15">
        <v>5</v>
      </c>
      <c r="T1891" s="19" t="s">
        <v>346</v>
      </c>
      <c r="U1891" s="19" t="s">
        <v>178</v>
      </c>
      <c r="V1891" s="16">
        <f t="shared" si="384"/>
        <v>2766.7330000000002</v>
      </c>
      <c r="W1891" s="16">
        <f t="shared" si="385"/>
        <v>276.67330000000004</v>
      </c>
      <c r="X1891" s="16">
        <f t="shared" si="386"/>
        <v>3043.4063000000001</v>
      </c>
      <c r="Y1891" s="16">
        <f t="shared" si="387"/>
        <v>0.67631251111111113</v>
      </c>
      <c r="Z1891" s="16">
        <f t="shared" si="388"/>
        <v>12.296591111111113</v>
      </c>
      <c r="AA1891" s="17">
        <f t="shared" si="389"/>
        <v>4500</v>
      </c>
      <c r="AB1891" s="10">
        <v>900</v>
      </c>
      <c r="AC1891" s="18">
        <f t="shared" si="390"/>
        <v>608.68126000000007</v>
      </c>
      <c r="AD1891" s="12">
        <f t="shared" si="393"/>
        <v>4500</v>
      </c>
      <c r="AE1891" s="13">
        <f t="shared" si="391"/>
        <v>0</v>
      </c>
    </row>
    <row r="1892" spans="1:31">
      <c r="A1892" s="6">
        <v>20</v>
      </c>
      <c r="B1892" s="6">
        <v>110</v>
      </c>
      <c r="C1892" s="6" t="str">
        <f t="shared" si="392"/>
        <v>654590600ASU2ID STD CUSHION COMPON CVR NON-WOVEN RH3346117454172700</v>
      </c>
      <c r="D1892" s="23" t="s">
        <v>445</v>
      </c>
      <c r="E1892" s="6" t="s">
        <v>78</v>
      </c>
      <c r="F1892" s="6"/>
      <c r="G1892" s="7" t="s">
        <v>38</v>
      </c>
      <c r="H1892" s="19"/>
      <c r="I1892" s="19"/>
      <c r="J1892" s="19"/>
      <c r="K1892" s="19"/>
      <c r="L1892" s="14">
        <v>3346117</v>
      </c>
      <c r="M1892" s="22">
        <v>45417</v>
      </c>
      <c r="N1892" s="19" t="s">
        <v>185</v>
      </c>
      <c r="O1892" s="19" t="s">
        <v>333</v>
      </c>
      <c r="P1892" s="15">
        <v>2700</v>
      </c>
      <c r="Q1892" s="15">
        <v>34085.629999999997</v>
      </c>
      <c r="R1892" s="15">
        <v>87089500</v>
      </c>
      <c r="S1892" s="15">
        <v>5</v>
      </c>
      <c r="T1892" s="19" t="s">
        <v>346</v>
      </c>
      <c r="U1892" s="19" t="s">
        <v>178</v>
      </c>
      <c r="V1892" s="16">
        <f t="shared" si="384"/>
        <v>1704.2815000000001</v>
      </c>
      <c r="W1892" s="16">
        <f t="shared" si="385"/>
        <v>170.42815000000002</v>
      </c>
      <c r="X1892" s="16">
        <f t="shared" si="386"/>
        <v>1874.70965</v>
      </c>
      <c r="Y1892" s="16">
        <f t="shared" si="387"/>
        <v>0.69433690740740739</v>
      </c>
      <c r="Z1892" s="16">
        <f t="shared" si="388"/>
        <v>12.624307407407407</v>
      </c>
      <c r="AA1892" s="17">
        <f t="shared" si="389"/>
        <v>2700</v>
      </c>
      <c r="AB1892" s="10">
        <v>2232</v>
      </c>
      <c r="AC1892" s="18">
        <f t="shared" si="390"/>
        <v>1549.7599773333334</v>
      </c>
      <c r="AD1892" s="12">
        <f t="shared" si="393"/>
        <v>2232</v>
      </c>
      <c r="AE1892" s="13">
        <f t="shared" si="391"/>
        <v>468</v>
      </c>
    </row>
    <row r="1893" spans="1:31">
      <c r="A1893" s="6">
        <v>20</v>
      </c>
      <c r="B1893" s="6">
        <v>111</v>
      </c>
      <c r="C1893" s="6" t="str">
        <f t="shared" si="392"/>
        <v>655116100ALABEL, BLANK, 50.0, 25.0  LABEL, BLANK, 2PCS, 50X41192064546436000</v>
      </c>
      <c r="D1893" s="23" t="s">
        <v>445</v>
      </c>
      <c r="E1893" s="6" t="s">
        <v>49</v>
      </c>
      <c r="F1893" s="6"/>
      <c r="G1893" s="7" t="s">
        <v>11</v>
      </c>
      <c r="H1893" s="19"/>
      <c r="I1893" s="19"/>
      <c r="J1893" s="19"/>
      <c r="K1893" s="19"/>
      <c r="L1893" s="14">
        <v>4119206</v>
      </c>
      <c r="M1893" s="22">
        <v>45464</v>
      </c>
      <c r="N1893" s="19" t="s">
        <v>196</v>
      </c>
      <c r="O1893" s="19" t="s">
        <v>333</v>
      </c>
      <c r="P1893" s="15">
        <v>36000</v>
      </c>
      <c r="Q1893" s="15">
        <v>105411.91</v>
      </c>
      <c r="R1893" s="15">
        <v>87089500</v>
      </c>
      <c r="S1893" s="15">
        <v>15</v>
      </c>
      <c r="T1893" s="19" t="s">
        <v>303</v>
      </c>
      <c r="U1893" s="19" t="s">
        <v>178</v>
      </c>
      <c r="V1893" s="16">
        <f t="shared" si="384"/>
        <v>15811.7865</v>
      </c>
      <c r="W1893" s="16">
        <f t="shared" si="385"/>
        <v>1581.1786500000001</v>
      </c>
      <c r="X1893" s="16">
        <f t="shared" si="386"/>
        <v>17392.96515</v>
      </c>
      <c r="Y1893" s="16">
        <f t="shared" si="387"/>
        <v>0.48313792083333335</v>
      </c>
      <c r="Z1893" s="16">
        <f t="shared" si="388"/>
        <v>2.9281086111111114</v>
      </c>
      <c r="AA1893" s="17">
        <f t="shared" si="389"/>
        <v>36000</v>
      </c>
      <c r="AB1893" s="10">
        <v>26172</v>
      </c>
      <c r="AC1893" s="18">
        <f t="shared" si="390"/>
        <v>12644.685664050001</v>
      </c>
      <c r="AD1893" s="12">
        <f t="shared" si="393"/>
        <v>35703</v>
      </c>
      <c r="AE1893" s="13">
        <f t="shared" si="391"/>
        <v>297</v>
      </c>
    </row>
    <row r="1894" spans="1:31">
      <c r="A1894" s="6">
        <v>20</v>
      </c>
      <c r="B1894" s="6">
        <v>112</v>
      </c>
      <c r="C1894" s="6" t="str">
        <f t="shared" si="392"/>
        <v>655226900AINFLATOR APP-4.6, 325KPA 1.8MOL, STANDARD MIB SQU4264346454747776</v>
      </c>
      <c r="D1894" s="23" t="s">
        <v>445</v>
      </c>
      <c r="E1894" s="6" t="s">
        <v>130</v>
      </c>
      <c r="F1894" s="6"/>
      <c r="G1894" s="7" t="s">
        <v>102</v>
      </c>
      <c r="H1894" s="19"/>
      <c r="I1894" s="19"/>
      <c r="J1894" s="19"/>
      <c r="K1894" s="19"/>
      <c r="L1894" s="14">
        <v>4264346</v>
      </c>
      <c r="M1894" s="22">
        <v>45474</v>
      </c>
      <c r="N1894" s="19" t="s">
        <v>197</v>
      </c>
      <c r="O1894" s="19" t="s">
        <v>333</v>
      </c>
      <c r="P1894" s="15">
        <v>7776</v>
      </c>
      <c r="Q1894" s="15">
        <v>3238454.94</v>
      </c>
      <c r="R1894" s="15">
        <v>87089500</v>
      </c>
      <c r="S1894" s="15">
        <v>15</v>
      </c>
      <c r="T1894" s="19" t="s">
        <v>437</v>
      </c>
      <c r="U1894" s="19" t="s">
        <v>178</v>
      </c>
      <c r="V1894" s="16">
        <f t="shared" si="384"/>
        <v>485768.24099999998</v>
      </c>
      <c r="W1894" s="16">
        <f t="shared" si="385"/>
        <v>48576.824099999998</v>
      </c>
      <c r="X1894" s="16">
        <f t="shared" si="386"/>
        <v>534345.06510000001</v>
      </c>
      <c r="Y1894" s="16">
        <f t="shared" si="387"/>
        <v>68.717215162037036</v>
      </c>
      <c r="Z1894" s="16">
        <f t="shared" si="388"/>
        <v>416.46797067901235</v>
      </c>
      <c r="AA1894" s="17">
        <f t="shared" si="389"/>
        <v>7776</v>
      </c>
      <c r="AB1894" s="10">
        <v>7776</v>
      </c>
      <c r="AC1894" s="18">
        <f t="shared" si="390"/>
        <v>534345.06510000001</v>
      </c>
      <c r="AD1894" s="12">
        <f t="shared" si="393"/>
        <v>7776</v>
      </c>
      <c r="AE1894" s="13">
        <f t="shared" si="391"/>
        <v>0</v>
      </c>
    </row>
    <row r="1895" spans="1:31">
      <c r="A1895" s="6">
        <v>20</v>
      </c>
      <c r="B1895" s="6">
        <v>113</v>
      </c>
      <c r="C1895" s="6" t="str">
        <f t="shared" si="392"/>
        <v>655226900AINFLATOR APP-4.6, 325KPA 1.8MOL, STANDARD MIB SQU55152824554510368</v>
      </c>
      <c r="D1895" s="23" t="s">
        <v>445</v>
      </c>
      <c r="E1895" s="6" t="s">
        <v>130</v>
      </c>
      <c r="F1895" s="6"/>
      <c r="G1895" s="7" t="s">
        <v>102</v>
      </c>
      <c r="H1895" s="19"/>
      <c r="I1895" s="19"/>
      <c r="J1895" s="19"/>
      <c r="K1895" s="19"/>
      <c r="L1895" s="14">
        <v>5515282</v>
      </c>
      <c r="M1895" s="22">
        <v>45545</v>
      </c>
      <c r="N1895" s="19" t="s">
        <v>197</v>
      </c>
      <c r="O1895" s="19" t="s">
        <v>333</v>
      </c>
      <c r="P1895" s="15">
        <v>10368</v>
      </c>
      <c r="Q1895" s="15">
        <v>4395564.38</v>
      </c>
      <c r="R1895" s="15">
        <v>87089500</v>
      </c>
      <c r="S1895" s="15">
        <v>15</v>
      </c>
      <c r="T1895" s="19" t="s">
        <v>428</v>
      </c>
      <c r="U1895" s="19" t="s">
        <v>200</v>
      </c>
      <c r="V1895" s="16">
        <f t="shared" si="384"/>
        <v>659334.65700000001</v>
      </c>
      <c r="W1895" s="16">
        <f t="shared" si="385"/>
        <v>65933.465700000001</v>
      </c>
      <c r="X1895" s="16">
        <f t="shared" si="386"/>
        <v>725268.12269999995</v>
      </c>
      <c r="Y1895" s="16">
        <f t="shared" si="387"/>
        <v>69.952558130787025</v>
      </c>
      <c r="Z1895" s="16">
        <f t="shared" si="388"/>
        <v>423.95489776234569</v>
      </c>
      <c r="AA1895" s="17">
        <f t="shared" si="389"/>
        <v>10368</v>
      </c>
      <c r="AB1895" s="10">
        <v>10368</v>
      </c>
      <c r="AC1895" s="18">
        <f t="shared" si="390"/>
        <v>725268.12269999983</v>
      </c>
      <c r="AD1895" s="12">
        <f t="shared" si="393"/>
        <v>10368</v>
      </c>
      <c r="AE1895" s="13">
        <f t="shared" si="391"/>
        <v>0</v>
      </c>
    </row>
    <row r="1896" spans="1:31">
      <c r="A1896" s="6">
        <v>20</v>
      </c>
      <c r="B1896" s="6">
        <v>114</v>
      </c>
      <c r="C1896" s="6" t="str">
        <f t="shared" si="392"/>
        <v>655226900AINFLATOR APP-4.6, 325KPA 1.8MOL, STANDARD MIB SQU56422684555210368</v>
      </c>
      <c r="D1896" s="23" t="s">
        <v>445</v>
      </c>
      <c r="E1896" s="6" t="s">
        <v>130</v>
      </c>
      <c r="F1896" s="6"/>
      <c r="G1896" s="7" t="s">
        <v>102</v>
      </c>
      <c r="H1896" s="19"/>
      <c r="I1896" s="19"/>
      <c r="J1896" s="19"/>
      <c r="K1896" s="19"/>
      <c r="L1896" s="14">
        <v>5642268</v>
      </c>
      <c r="M1896" s="22">
        <v>45552</v>
      </c>
      <c r="N1896" s="19" t="s">
        <v>197</v>
      </c>
      <c r="O1896" s="19" t="s">
        <v>333</v>
      </c>
      <c r="P1896" s="15">
        <v>10368</v>
      </c>
      <c r="Q1896" s="15">
        <v>4396856.37</v>
      </c>
      <c r="R1896" s="15">
        <v>87089500</v>
      </c>
      <c r="S1896" s="15">
        <v>15</v>
      </c>
      <c r="T1896" s="19" t="s">
        <v>428</v>
      </c>
      <c r="U1896" s="19" t="s">
        <v>200</v>
      </c>
      <c r="V1896" s="16">
        <f t="shared" si="384"/>
        <v>659528.45550000004</v>
      </c>
      <c r="W1896" s="16">
        <f t="shared" si="385"/>
        <v>65952.845550000013</v>
      </c>
      <c r="X1896" s="16">
        <f t="shared" si="386"/>
        <v>725481.30105000001</v>
      </c>
      <c r="Y1896" s="16">
        <f t="shared" si="387"/>
        <v>69.973119314236115</v>
      </c>
      <c r="Z1896" s="16">
        <f t="shared" si="388"/>
        <v>424.07951099537036</v>
      </c>
      <c r="AA1896" s="17">
        <f t="shared" si="389"/>
        <v>10368</v>
      </c>
      <c r="AB1896" s="10">
        <v>8028</v>
      </c>
      <c r="AC1896" s="18">
        <f t="shared" si="390"/>
        <v>561744.20185468753</v>
      </c>
      <c r="AD1896" s="12">
        <f t="shared" si="393"/>
        <v>8028</v>
      </c>
      <c r="AE1896" s="13">
        <f t="shared" si="391"/>
        <v>2340</v>
      </c>
    </row>
    <row r="1897" spans="1:31">
      <c r="A1897" s="6">
        <v>20</v>
      </c>
      <c r="B1897" s="6">
        <v>115</v>
      </c>
      <c r="C1897" s="6" t="str">
        <f t="shared" si="392"/>
        <v>642837500BLABEL, BLANK, BAR CODE953025945295100000</v>
      </c>
      <c r="D1897" s="23" t="s">
        <v>445</v>
      </c>
      <c r="E1897" s="6" t="s">
        <v>478</v>
      </c>
      <c r="F1897" s="6"/>
      <c r="G1897" s="7" t="s">
        <v>369</v>
      </c>
      <c r="H1897" s="19"/>
      <c r="I1897" s="19"/>
      <c r="J1897" s="19"/>
      <c r="K1897" s="19"/>
      <c r="L1897" s="14">
        <v>9530259</v>
      </c>
      <c r="M1897" s="22">
        <v>45295</v>
      </c>
      <c r="N1897" s="19" t="s">
        <v>196</v>
      </c>
      <c r="O1897" s="19" t="s">
        <v>333</v>
      </c>
      <c r="P1897" s="15">
        <v>100000</v>
      </c>
      <c r="Q1897" s="15">
        <v>17096.91</v>
      </c>
      <c r="R1897" s="15">
        <v>87082900</v>
      </c>
      <c r="S1897" s="15">
        <v>15</v>
      </c>
      <c r="T1897" s="19" t="s">
        <v>351</v>
      </c>
      <c r="U1897" s="19" t="s">
        <v>178</v>
      </c>
      <c r="V1897" s="16">
        <f t="shared" si="384"/>
        <v>2564.5364999999997</v>
      </c>
      <c r="W1897" s="16">
        <f t="shared" si="385"/>
        <v>256.45364999999998</v>
      </c>
      <c r="X1897" s="16">
        <f t="shared" si="386"/>
        <v>2820.9901499999996</v>
      </c>
      <c r="Y1897" s="16">
        <f t="shared" si="387"/>
        <v>2.8209901499999995E-2</v>
      </c>
      <c r="Z1897" s="16">
        <f t="shared" si="388"/>
        <v>0.17096909999999998</v>
      </c>
      <c r="AA1897" s="17">
        <f t="shared" si="389"/>
        <v>100000</v>
      </c>
      <c r="AB1897" s="10">
        <v>31774</v>
      </c>
      <c r="AC1897" s="18">
        <f t="shared" si="390"/>
        <v>896.34141026099985</v>
      </c>
      <c r="AD1897" s="12">
        <f t="shared" si="393"/>
        <v>100000</v>
      </c>
      <c r="AE1897" s="13">
        <f t="shared" si="391"/>
        <v>0</v>
      </c>
    </row>
    <row r="1898" spans="1:31">
      <c r="A1898" s="6">
        <v>20</v>
      </c>
      <c r="B1898" s="6">
        <v>116</v>
      </c>
      <c r="C1898" s="6" t="str">
        <f t="shared" si="392"/>
        <v>642837500BLABEL, BLANK, BAR CODE423110045471100000</v>
      </c>
      <c r="D1898" s="23" t="s">
        <v>445</v>
      </c>
      <c r="E1898" s="6" t="s">
        <v>478</v>
      </c>
      <c r="F1898" s="6"/>
      <c r="G1898" s="7" t="s">
        <v>369</v>
      </c>
      <c r="H1898" s="19"/>
      <c r="I1898" s="19"/>
      <c r="J1898" s="19"/>
      <c r="K1898" s="19"/>
      <c r="L1898" s="14">
        <v>4231100</v>
      </c>
      <c r="M1898" s="22">
        <v>45471</v>
      </c>
      <c r="N1898" s="19" t="s">
        <v>196</v>
      </c>
      <c r="O1898" s="19" t="s">
        <v>333</v>
      </c>
      <c r="P1898" s="15">
        <v>100000</v>
      </c>
      <c r="Q1898" s="15">
        <v>17200.07</v>
      </c>
      <c r="R1898" s="15">
        <v>87089500</v>
      </c>
      <c r="S1898" s="15">
        <v>15</v>
      </c>
      <c r="T1898" s="19" t="s">
        <v>351</v>
      </c>
      <c r="U1898" s="19" t="s">
        <v>178</v>
      </c>
      <c r="V1898" s="16">
        <f t="shared" si="384"/>
        <v>2580.0104999999999</v>
      </c>
      <c r="W1898" s="16">
        <f t="shared" si="385"/>
        <v>258.00105000000002</v>
      </c>
      <c r="X1898" s="16">
        <f t="shared" si="386"/>
        <v>2838.0115499999997</v>
      </c>
      <c r="Y1898" s="16">
        <f t="shared" si="387"/>
        <v>2.8380115499999997E-2</v>
      </c>
      <c r="Z1898" s="16">
        <f t="shared" si="388"/>
        <v>0.17200070000000001</v>
      </c>
      <c r="AA1898" s="17">
        <f t="shared" si="389"/>
        <v>100000</v>
      </c>
      <c r="AB1898" s="10">
        <v>48380</v>
      </c>
      <c r="AC1898" s="18">
        <f t="shared" si="390"/>
        <v>1373.0299878899998</v>
      </c>
      <c r="AD1898" s="12">
        <f t="shared" si="393"/>
        <v>84578</v>
      </c>
      <c r="AE1898" s="13">
        <f t="shared" si="391"/>
        <v>15422</v>
      </c>
    </row>
    <row r="1899" spans="1:31">
      <c r="A1899" s="6">
        <v>20</v>
      </c>
      <c r="B1899" s="6">
        <v>117</v>
      </c>
      <c r="C1899" s="6" t="str">
        <f t="shared" si="392"/>
        <v>661147800BMetal Emblem, HMC,50890604552011520</v>
      </c>
      <c r="D1899" s="23" t="s">
        <v>445</v>
      </c>
      <c r="E1899" s="6" t="s">
        <v>479</v>
      </c>
      <c r="F1899" s="6"/>
      <c r="G1899" s="7" t="s">
        <v>395</v>
      </c>
      <c r="H1899" s="19"/>
      <c r="I1899" s="19"/>
      <c r="J1899" s="19"/>
      <c r="K1899" s="19"/>
      <c r="L1899" s="14">
        <v>5089060</v>
      </c>
      <c r="M1899" s="22">
        <v>45520</v>
      </c>
      <c r="N1899" s="19" t="s">
        <v>196</v>
      </c>
      <c r="O1899" s="19" t="s">
        <v>333</v>
      </c>
      <c r="P1899" s="15">
        <v>11520</v>
      </c>
      <c r="Q1899" s="15">
        <v>3649091.53</v>
      </c>
      <c r="R1899" s="15">
        <v>87089500</v>
      </c>
      <c r="S1899" s="15">
        <v>15</v>
      </c>
      <c r="T1899" s="19" t="s">
        <v>398</v>
      </c>
      <c r="U1899" s="19" t="s">
        <v>178</v>
      </c>
      <c r="V1899" s="16">
        <f t="shared" si="384"/>
        <v>547363.7294999999</v>
      </c>
      <c r="W1899" s="16">
        <f t="shared" si="385"/>
        <v>54736.37294999999</v>
      </c>
      <c r="X1899" s="16">
        <f t="shared" si="386"/>
        <v>602100.10244999989</v>
      </c>
      <c r="Y1899" s="16">
        <f t="shared" si="387"/>
        <v>52.265633893229158</v>
      </c>
      <c r="Z1899" s="16">
        <f t="shared" si="388"/>
        <v>316.76141753472223</v>
      </c>
      <c r="AA1899" s="17">
        <f t="shared" si="389"/>
        <v>11520</v>
      </c>
      <c r="AB1899" s="10">
        <v>11520</v>
      </c>
      <c r="AC1899" s="18">
        <f t="shared" si="390"/>
        <v>602100.10244999989</v>
      </c>
      <c r="AD1899" s="12">
        <f t="shared" si="393"/>
        <v>11520</v>
      </c>
      <c r="AE1899" s="13">
        <f t="shared" si="391"/>
        <v>0</v>
      </c>
    </row>
    <row r="1900" spans="1:31">
      <c r="A1900" s="6">
        <v>20</v>
      </c>
      <c r="B1900" s="6">
        <v>118</v>
      </c>
      <c r="C1900" s="6" t="str">
        <f t="shared" si="392"/>
        <v>661147800BMetal Emblem, HMC,52254794552811520</v>
      </c>
      <c r="D1900" s="23" t="s">
        <v>445</v>
      </c>
      <c r="E1900" s="6" t="s">
        <v>479</v>
      </c>
      <c r="F1900" s="6"/>
      <c r="G1900" s="7" t="s">
        <v>395</v>
      </c>
      <c r="H1900" s="19"/>
      <c r="I1900" s="19"/>
      <c r="J1900" s="19"/>
      <c r="K1900" s="19"/>
      <c r="L1900" s="14">
        <v>5225479</v>
      </c>
      <c r="M1900" s="22">
        <v>45528</v>
      </c>
      <c r="N1900" s="19" t="s">
        <v>196</v>
      </c>
      <c r="O1900" s="19" t="s">
        <v>333</v>
      </c>
      <c r="P1900" s="15">
        <v>11520</v>
      </c>
      <c r="Q1900" s="15">
        <v>3649098.92</v>
      </c>
      <c r="R1900" s="15">
        <v>87089500</v>
      </c>
      <c r="S1900" s="15">
        <v>15</v>
      </c>
      <c r="T1900" s="19" t="s">
        <v>398</v>
      </c>
      <c r="U1900" s="19" t="s">
        <v>178</v>
      </c>
      <c r="V1900" s="16">
        <f t="shared" si="384"/>
        <v>547364.83799999999</v>
      </c>
      <c r="W1900" s="16">
        <f t="shared" si="385"/>
        <v>54736.483800000002</v>
      </c>
      <c r="X1900" s="16">
        <f t="shared" si="386"/>
        <v>602101.32180000003</v>
      </c>
      <c r="Y1900" s="16">
        <f t="shared" si="387"/>
        <v>52.265739739583339</v>
      </c>
      <c r="Z1900" s="16">
        <f t="shared" si="388"/>
        <v>316.76205902777775</v>
      </c>
      <c r="AA1900" s="17">
        <f t="shared" si="389"/>
        <v>11520</v>
      </c>
      <c r="AB1900" s="10">
        <v>11160</v>
      </c>
      <c r="AC1900" s="18">
        <f t="shared" si="390"/>
        <v>583285.65549375</v>
      </c>
      <c r="AD1900" s="12">
        <f t="shared" si="393"/>
        <v>11160</v>
      </c>
      <c r="AE1900" s="13">
        <f t="shared" si="391"/>
        <v>360</v>
      </c>
    </row>
    <row r="1901" spans="1:31">
      <c r="A1901" s="6">
        <v>20</v>
      </c>
      <c r="B1901" s="6">
        <v>119</v>
      </c>
      <c r="C1901" s="6" t="str">
        <f t="shared" si="392"/>
        <v>02-941520SPRING, WIRE, COMPRESSIO D21077318594517710000</v>
      </c>
      <c r="D1901" s="23" t="s">
        <v>445</v>
      </c>
      <c r="E1901" s="6" t="s">
        <v>492</v>
      </c>
      <c r="F1901" s="6"/>
      <c r="G1901" s="19" t="s">
        <v>446</v>
      </c>
      <c r="H1901" s="19"/>
      <c r="I1901" s="19"/>
      <c r="J1901" s="19"/>
      <c r="K1901" s="19"/>
      <c r="L1901" s="14">
        <v>7731859</v>
      </c>
      <c r="M1901" s="22">
        <v>45177</v>
      </c>
      <c r="N1901" s="19" t="s">
        <v>196</v>
      </c>
      <c r="O1901" s="19" t="s">
        <v>333</v>
      </c>
      <c r="P1901" s="15">
        <v>10000</v>
      </c>
      <c r="Q1901" s="15">
        <v>57344.35</v>
      </c>
      <c r="R1901" s="15">
        <v>87082900</v>
      </c>
      <c r="S1901" s="15">
        <v>15</v>
      </c>
      <c r="T1901" s="19" t="s">
        <v>453</v>
      </c>
      <c r="U1901" s="19" t="s">
        <v>178</v>
      </c>
      <c r="V1901" s="16">
        <f t="shared" si="384"/>
        <v>8601.6525000000001</v>
      </c>
      <c r="W1901" s="16">
        <f t="shared" si="385"/>
        <v>860.16525000000001</v>
      </c>
      <c r="X1901" s="16">
        <f t="shared" si="386"/>
        <v>9461.8177500000002</v>
      </c>
      <c r="Y1901" s="16">
        <f t="shared" si="387"/>
        <v>0.946181775</v>
      </c>
      <c r="Z1901" s="16">
        <f t="shared" si="388"/>
        <v>5.7344349999999995</v>
      </c>
      <c r="AA1901" s="17">
        <f t="shared" si="389"/>
        <v>10000</v>
      </c>
      <c r="AB1901" s="10">
        <v>0</v>
      </c>
      <c r="AC1901" s="18">
        <f t="shared" si="390"/>
        <v>0</v>
      </c>
      <c r="AD1901" s="12">
        <f t="shared" si="393"/>
        <v>0</v>
      </c>
      <c r="AE1901" s="13">
        <f t="shared" si="391"/>
        <v>10000</v>
      </c>
    </row>
    <row r="1902" spans="1:31">
      <c r="A1902" s="6">
        <v>20</v>
      </c>
      <c r="B1902" s="6">
        <v>120</v>
      </c>
      <c r="C1902" s="6" t="str">
        <f t="shared" si="392"/>
        <v>654590900ACUSHION COMPONENTS454458044964900</v>
      </c>
      <c r="D1902" s="23" t="s">
        <v>445</v>
      </c>
      <c r="E1902" s="6" t="s">
        <v>471</v>
      </c>
      <c r="F1902" s="6"/>
      <c r="G1902" s="7" t="s">
        <v>236</v>
      </c>
      <c r="H1902" s="19"/>
      <c r="I1902" s="19"/>
      <c r="J1902" s="19"/>
      <c r="K1902" s="19"/>
      <c r="L1902" s="14">
        <v>4544580</v>
      </c>
      <c r="M1902" s="22">
        <v>44964</v>
      </c>
      <c r="N1902" s="19" t="s">
        <v>196</v>
      </c>
      <c r="O1902" s="19" t="s">
        <v>333</v>
      </c>
      <c r="P1902" s="15">
        <v>900</v>
      </c>
      <c r="Q1902" s="15">
        <v>12960.16</v>
      </c>
      <c r="R1902" s="15">
        <v>87089500</v>
      </c>
      <c r="S1902" s="15">
        <v>15</v>
      </c>
      <c r="T1902" s="19" t="s">
        <v>438</v>
      </c>
      <c r="U1902" s="19" t="s">
        <v>178</v>
      </c>
      <c r="V1902" s="16">
        <f t="shared" si="384"/>
        <v>1944.0239999999999</v>
      </c>
      <c r="W1902" s="16">
        <f t="shared" si="385"/>
        <v>194.4024</v>
      </c>
      <c r="X1902" s="16">
        <f t="shared" si="386"/>
        <v>2138.4263999999998</v>
      </c>
      <c r="Y1902" s="16">
        <f t="shared" si="387"/>
        <v>2.3760293333333333</v>
      </c>
      <c r="Z1902" s="16">
        <f t="shared" si="388"/>
        <v>14.400177777777778</v>
      </c>
      <c r="AA1902" s="17">
        <f t="shared" si="389"/>
        <v>900</v>
      </c>
      <c r="AB1902" s="10">
        <v>900</v>
      </c>
      <c r="AC1902" s="18">
        <f t="shared" si="390"/>
        <v>2138.4263999999998</v>
      </c>
      <c r="AD1902" s="12">
        <f t="shared" si="393"/>
        <v>900</v>
      </c>
      <c r="AE1902" s="13">
        <f t="shared" si="391"/>
        <v>0</v>
      </c>
    </row>
    <row r="1903" spans="1:31">
      <c r="A1903" s="6">
        <v>20</v>
      </c>
      <c r="B1903" s="6">
        <v>121</v>
      </c>
      <c r="C1903" s="6" t="str">
        <f t="shared" si="392"/>
        <v>654590900ACUSHION COMPONENTS389563245451900</v>
      </c>
      <c r="D1903" s="23" t="s">
        <v>445</v>
      </c>
      <c r="E1903" s="6" t="s">
        <v>471</v>
      </c>
      <c r="F1903" s="6"/>
      <c r="G1903" s="7" t="s">
        <v>236</v>
      </c>
      <c r="H1903" s="19"/>
      <c r="I1903" s="19"/>
      <c r="J1903" s="19"/>
      <c r="K1903" s="19"/>
      <c r="L1903" s="14">
        <v>3895632</v>
      </c>
      <c r="M1903" s="22">
        <v>45451</v>
      </c>
      <c r="N1903" s="19" t="s">
        <v>185</v>
      </c>
      <c r="O1903" s="19" t="s">
        <v>333</v>
      </c>
      <c r="P1903" s="15">
        <v>900</v>
      </c>
      <c r="Q1903" s="15">
        <v>10964.83</v>
      </c>
      <c r="R1903" s="15">
        <v>87089500</v>
      </c>
      <c r="S1903" s="15">
        <v>5</v>
      </c>
      <c r="T1903" s="19" t="s">
        <v>346</v>
      </c>
      <c r="U1903" s="19" t="s">
        <v>178</v>
      </c>
      <c r="V1903" s="16">
        <f t="shared" si="384"/>
        <v>548.24149999999997</v>
      </c>
      <c r="W1903" s="16">
        <f t="shared" si="385"/>
        <v>54.824150000000003</v>
      </c>
      <c r="X1903" s="16">
        <f t="shared" si="386"/>
        <v>603.06565000000001</v>
      </c>
      <c r="Y1903" s="16">
        <f t="shared" si="387"/>
        <v>0.67007294444444443</v>
      </c>
      <c r="Z1903" s="16">
        <f t="shared" si="388"/>
        <v>12.183144444444444</v>
      </c>
      <c r="AA1903" s="17">
        <f t="shared" si="389"/>
        <v>900</v>
      </c>
      <c r="AB1903" s="10">
        <v>900</v>
      </c>
      <c r="AC1903" s="18">
        <f t="shared" si="390"/>
        <v>603.06565000000001</v>
      </c>
      <c r="AD1903" s="12">
        <f t="shared" si="393"/>
        <v>900</v>
      </c>
      <c r="AE1903" s="13">
        <f t="shared" si="391"/>
        <v>0</v>
      </c>
    </row>
    <row r="1904" spans="1:31">
      <c r="A1904" s="6">
        <v>20</v>
      </c>
      <c r="B1904" s="6">
        <v>122</v>
      </c>
      <c r="C1904" s="6" t="str">
        <f t="shared" si="392"/>
        <v>654590900ACUSHION COMPONENTS8014483456831800</v>
      </c>
      <c r="D1904" s="23" t="s">
        <v>445</v>
      </c>
      <c r="E1904" s="6" t="s">
        <v>471</v>
      </c>
      <c r="F1904" s="6"/>
      <c r="G1904" s="7" t="s">
        <v>236</v>
      </c>
      <c r="H1904" s="19"/>
      <c r="I1904" s="19"/>
      <c r="J1904" s="19"/>
      <c r="K1904" s="19"/>
      <c r="L1904" s="14">
        <v>8014483</v>
      </c>
      <c r="M1904" s="22">
        <v>45683</v>
      </c>
      <c r="N1904" s="19" t="s">
        <v>185</v>
      </c>
      <c r="O1904" s="19" t="s">
        <v>333</v>
      </c>
      <c r="P1904" s="15">
        <v>1800</v>
      </c>
      <c r="Q1904" s="15">
        <v>22338.94</v>
      </c>
      <c r="R1904" s="15">
        <v>87089500</v>
      </c>
      <c r="S1904" s="15">
        <v>5</v>
      </c>
      <c r="T1904" s="19" t="s">
        <v>426</v>
      </c>
      <c r="U1904" s="19" t="s">
        <v>178</v>
      </c>
      <c r="V1904" s="16">
        <f t="shared" si="384"/>
        <v>1116.9469999999999</v>
      </c>
      <c r="W1904" s="16">
        <f t="shared" si="385"/>
        <v>111.6947</v>
      </c>
      <c r="X1904" s="16">
        <f t="shared" si="386"/>
        <v>1228.6416999999999</v>
      </c>
      <c r="Y1904" s="16">
        <f t="shared" si="387"/>
        <v>0.68257872222222216</v>
      </c>
      <c r="Z1904" s="16">
        <f t="shared" si="388"/>
        <v>12.410522222222221</v>
      </c>
      <c r="AA1904" s="17">
        <f t="shared" si="389"/>
        <v>1800</v>
      </c>
      <c r="AB1904" s="10">
        <v>792</v>
      </c>
      <c r="AC1904" s="18">
        <f t="shared" si="390"/>
        <v>540.60234799999989</v>
      </c>
      <c r="AD1904" s="12">
        <f t="shared" si="393"/>
        <v>792</v>
      </c>
      <c r="AE1904" s="13">
        <f t="shared" si="391"/>
        <v>1008</v>
      </c>
    </row>
    <row r="1905" spans="1:32">
      <c r="A1905" s="6">
        <v>20</v>
      </c>
      <c r="B1905" s="6">
        <v>123</v>
      </c>
      <c r="C1905" s="6" t="str">
        <f t="shared" si="392"/>
        <v>604121024ATEX MATERIAL, FABRIC, SILICONE COATED5094435455204076</v>
      </c>
      <c r="D1905" s="23" t="s">
        <v>445</v>
      </c>
      <c r="E1905" s="6" t="s">
        <v>493</v>
      </c>
      <c r="F1905" s="6"/>
      <c r="G1905" s="7" t="s">
        <v>465</v>
      </c>
      <c r="H1905" s="19"/>
      <c r="I1905" s="19"/>
      <c r="J1905" s="19"/>
      <c r="K1905" s="19"/>
      <c r="L1905" s="14">
        <v>5094435</v>
      </c>
      <c r="M1905" s="22">
        <v>45520</v>
      </c>
      <c r="N1905" s="19" t="s">
        <v>185</v>
      </c>
      <c r="O1905" s="19" t="s">
        <v>383</v>
      </c>
      <c r="P1905" s="15">
        <v>4076</v>
      </c>
      <c r="Q1905" s="15">
        <v>748091.32</v>
      </c>
      <c r="R1905" s="15">
        <v>59039090</v>
      </c>
      <c r="S1905" s="15">
        <v>5</v>
      </c>
      <c r="T1905" s="19" t="s">
        <v>454</v>
      </c>
      <c r="U1905" s="19" t="s">
        <v>178</v>
      </c>
      <c r="V1905" s="16">
        <f t="shared" si="384"/>
        <v>37404.565999999999</v>
      </c>
      <c r="W1905" s="16">
        <f t="shared" si="385"/>
        <v>3740.4566</v>
      </c>
      <c r="X1905" s="16">
        <f t="shared" si="386"/>
        <v>41145.022599999997</v>
      </c>
      <c r="Y1905" s="16">
        <f t="shared" si="387"/>
        <v>10.094460893032384</v>
      </c>
      <c r="Z1905" s="16">
        <f t="shared" si="388"/>
        <v>183.5356526005888</v>
      </c>
      <c r="AA1905" s="17">
        <f t="shared" si="389"/>
        <v>4076</v>
      </c>
      <c r="AB1905" s="10">
        <v>154.07327519999998</v>
      </c>
      <c r="AC1905" s="18">
        <f t="shared" si="390"/>
        <v>1555.286651167816</v>
      </c>
      <c r="AD1905" s="12">
        <f t="shared" si="393"/>
        <v>154.07327519999998</v>
      </c>
      <c r="AE1905" s="13">
        <f t="shared" si="391"/>
        <v>3921.9267248000001</v>
      </c>
    </row>
    <row r="1906" spans="1:32">
      <c r="A1906" s="6">
        <v>20</v>
      </c>
      <c r="B1906" s="6">
        <v>124</v>
      </c>
      <c r="C1906" s="6" t="str">
        <f t="shared" si="392"/>
        <v>597510000BWEBBING, COATING,P3225503000802453942880</v>
      </c>
      <c r="D1906" s="23" t="s">
        <v>445</v>
      </c>
      <c r="E1906" s="6" t="s">
        <v>484</v>
      </c>
      <c r="F1906" s="6"/>
      <c r="G1906" s="7" t="s">
        <v>444</v>
      </c>
      <c r="H1906" s="19"/>
      <c r="I1906" s="19"/>
      <c r="J1906" s="19"/>
      <c r="K1906" s="19"/>
      <c r="L1906" s="14">
        <v>3000802</v>
      </c>
      <c r="M1906" s="22">
        <v>45394</v>
      </c>
      <c r="N1906" s="19" t="s">
        <v>185</v>
      </c>
      <c r="O1906" s="19" t="s">
        <v>337</v>
      </c>
      <c r="P1906" s="15">
        <v>2880</v>
      </c>
      <c r="Q1906" s="15">
        <v>922168.08</v>
      </c>
      <c r="R1906" s="15">
        <v>38099190</v>
      </c>
      <c r="S1906" s="15">
        <v>7.5</v>
      </c>
      <c r="T1906" s="19" t="s">
        <v>430</v>
      </c>
      <c r="U1906" s="19" t="s">
        <v>178</v>
      </c>
      <c r="V1906" s="16">
        <f t="shared" si="384"/>
        <v>69162.606</v>
      </c>
      <c r="W1906" s="16">
        <f t="shared" si="385"/>
        <v>6916.2606000000005</v>
      </c>
      <c r="X1906" s="16">
        <f t="shared" si="386"/>
        <v>76078.866599999994</v>
      </c>
      <c r="Y1906" s="16">
        <f t="shared" si="387"/>
        <v>26.416273124999996</v>
      </c>
      <c r="Z1906" s="16">
        <f t="shared" si="388"/>
        <v>320.19725</v>
      </c>
      <c r="AA1906" s="17">
        <f t="shared" si="389"/>
        <v>2880</v>
      </c>
      <c r="AB1906" s="10">
        <v>16.128</v>
      </c>
      <c r="AC1906" s="18">
        <f t="shared" si="390"/>
        <v>426.04165295999996</v>
      </c>
      <c r="AD1906" s="12">
        <f t="shared" si="393"/>
        <v>956.68977600000005</v>
      </c>
      <c r="AE1906" s="13">
        <f t="shared" si="391"/>
        <v>1923.3102239999998</v>
      </c>
    </row>
    <row r="1907" spans="1:32">
      <c r="A1907" s="6">
        <v>21</v>
      </c>
      <c r="B1907" s="6">
        <v>1</v>
      </c>
      <c r="C1907" s="6" t="str">
        <f t="shared" si="392"/>
        <v>666041100AAB Cushion ICAB FI 2 Row C5246960455305000</v>
      </c>
      <c r="D1907" s="26" t="s">
        <v>455</v>
      </c>
      <c r="E1907" s="6" t="s">
        <v>476</v>
      </c>
      <c r="F1907" s="6"/>
      <c r="G1907" s="7" t="s">
        <v>246</v>
      </c>
      <c r="H1907" s="19"/>
      <c r="I1907" s="19"/>
      <c r="J1907" s="19"/>
      <c r="K1907" s="19"/>
      <c r="L1907" s="14">
        <v>5246960</v>
      </c>
      <c r="M1907" s="22">
        <v>45530</v>
      </c>
      <c r="N1907" s="19" t="s">
        <v>197</v>
      </c>
      <c r="O1907" s="19" t="s">
        <v>333</v>
      </c>
      <c r="P1907" s="15">
        <v>5000</v>
      </c>
      <c r="Q1907" s="15">
        <v>4333293.93</v>
      </c>
      <c r="R1907" s="15">
        <v>87089500</v>
      </c>
      <c r="S1907" s="15">
        <v>5</v>
      </c>
      <c r="T1907" s="19" t="s">
        <v>204</v>
      </c>
      <c r="U1907" s="19" t="s">
        <v>178</v>
      </c>
      <c r="V1907" s="16">
        <f t="shared" ref="V1907" si="394">Q1907*S1907%</f>
        <v>216664.69649999999</v>
      </c>
      <c r="W1907" s="16">
        <f t="shared" ref="W1907" si="395">V1907*0.1</f>
        <v>21666.469649999999</v>
      </c>
      <c r="X1907" s="16">
        <f t="shared" ref="X1907" si="396">V1907+W1907</f>
        <v>238331.16615</v>
      </c>
      <c r="Y1907" s="16">
        <f t="shared" ref="Y1907" si="397">X1907/P1907</f>
        <v>47.666233230000003</v>
      </c>
      <c r="Z1907" s="16">
        <f t="shared" ref="Z1907" si="398">Q1907/P1907</f>
        <v>866.65878599999996</v>
      </c>
      <c r="AA1907" s="17">
        <f t="shared" ref="AA1907" si="399">P1907</f>
        <v>5000</v>
      </c>
      <c r="AB1907" s="10">
        <v>768</v>
      </c>
      <c r="AC1907" s="18">
        <f t="shared" ref="AC1907" si="400">AB1907*Y1907</f>
        <v>36607.667120640006</v>
      </c>
      <c r="AD1907" s="12">
        <f t="shared" si="393"/>
        <v>1836</v>
      </c>
      <c r="AE1907" s="13">
        <f t="shared" ref="AE1907" si="401">AA1907-AD1907</f>
        <v>3164</v>
      </c>
    </row>
    <row r="1908" spans="1:32">
      <c r="A1908" s="6">
        <v>21</v>
      </c>
      <c r="B1908" s="6">
        <v>2</v>
      </c>
      <c r="C1908" s="6" t="str">
        <f t="shared" si="392"/>
        <v>656334900FAB Cushion ICAB FI 2 Row C KSID, ASP5.1, BUTTON HOL4167367454681380</v>
      </c>
      <c r="D1908" s="26" t="s">
        <v>455</v>
      </c>
      <c r="E1908" s="6" t="s">
        <v>474</v>
      </c>
      <c r="F1908" s="6"/>
      <c r="G1908" s="19" t="s">
        <v>243</v>
      </c>
      <c r="H1908" s="19"/>
      <c r="I1908" s="19"/>
      <c r="J1908" s="19"/>
      <c r="K1908" s="19"/>
      <c r="L1908" s="14">
        <v>4167367</v>
      </c>
      <c r="M1908" s="22">
        <v>45468</v>
      </c>
      <c r="N1908" s="19" t="s">
        <v>197</v>
      </c>
      <c r="O1908" s="19" t="s">
        <v>333</v>
      </c>
      <c r="P1908" s="15">
        <v>1380</v>
      </c>
      <c r="Q1908" s="15">
        <v>898356.94</v>
      </c>
      <c r="R1908" s="15">
        <v>87089900</v>
      </c>
      <c r="S1908" s="15">
        <v>5</v>
      </c>
      <c r="T1908" s="19" t="s">
        <v>363</v>
      </c>
      <c r="U1908" s="19" t="s">
        <v>178</v>
      </c>
      <c r="V1908" s="16">
        <f t="shared" ref="V1908:V1971" si="402">Q1908*S1908%</f>
        <v>44917.847000000002</v>
      </c>
      <c r="W1908" s="16">
        <f t="shared" ref="W1908:W1971" si="403">V1908*0.1</f>
        <v>4491.7847000000002</v>
      </c>
      <c r="X1908" s="16">
        <f t="shared" ref="X1908:X1971" si="404">V1908+W1908</f>
        <v>49409.631699999998</v>
      </c>
      <c r="Y1908" s="16">
        <f t="shared" ref="Y1908:Y1971" si="405">X1908/P1908</f>
        <v>35.804080942028982</v>
      </c>
      <c r="Z1908" s="16">
        <f t="shared" ref="Z1908:Z1971" si="406">Q1908/P1908</f>
        <v>650.98328985507237</v>
      </c>
      <c r="AA1908" s="17">
        <f t="shared" ref="AA1908:AA1971" si="407">P1908</f>
        <v>1380</v>
      </c>
      <c r="AB1908" s="10">
        <v>384</v>
      </c>
      <c r="AC1908" s="18">
        <f t="shared" ref="AC1908:AC1971" si="408">AB1908*Y1908</f>
        <v>13748.76708173913</v>
      </c>
      <c r="AD1908" s="12">
        <f t="shared" si="393"/>
        <v>1152</v>
      </c>
      <c r="AE1908" s="13">
        <f t="shared" ref="AE1908:AE1971" si="409">AA1908-AD1908</f>
        <v>228</v>
      </c>
    </row>
    <row r="1909" spans="1:32">
      <c r="A1909" s="6">
        <v>21</v>
      </c>
      <c r="B1909" s="6">
        <v>3</v>
      </c>
      <c r="C1909" s="6" t="str">
        <f t="shared" si="392"/>
        <v>640294000AAB INFLATOR, ASP-2, GEN15,23468634535010368</v>
      </c>
      <c r="D1909" s="26" t="s">
        <v>455</v>
      </c>
      <c r="E1909" s="6" t="s">
        <v>475</v>
      </c>
      <c r="F1909" s="6"/>
      <c r="G1909" s="7" t="s">
        <v>244</v>
      </c>
      <c r="H1909" s="19"/>
      <c r="I1909" s="19"/>
      <c r="J1909" s="19"/>
      <c r="K1909" s="19"/>
      <c r="L1909" s="14">
        <v>2346863</v>
      </c>
      <c r="M1909" s="22">
        <v>45350</v>
      </c>
      <c r="N1909" s="19" t="s">
        <v>197</v>
      </c>
      <c r="O1909" s="19" t="s">
        <v>333</v>
      </c>
      <c r="P1909" s="15">
        <v>10368</v>
      </c>
      <c r="Q1909" s="15">
        <v>2687626.04</v>
      </c>
      <c r="R1909" s="15">
        <v>87089500</v>
      </c>
      <c r="S1909" s="15">
        <v>15</v>
      </c>
      <c r="T1909" s="19" t="s">
        <v>202</v>
      </c>
      <c r="U1909" s="19" t="s">
        <v>200</v>
      </c>
      <c r="V1909" s="16">
        <f t="shared" si="402"/>
        <v>403143.90600000002</v>
      </c>
      <c r="W1909" s="16">
        <f t="shared" si="403"/>
        <v>40314.390600000006</v>
      </c>
      <c r="X1909" s="16">
        <f t="shared" si="404"/>
        <v>443458.2966</v>
      </c>
      <c r="Y1909" s="16">
        <f t="shared" si="405"/>
        <v>42.771826446759256</v>
      </c>
      <c r="Z1909" s="16">
        <f t="shared" si="406"/>
        <v>259.22319058641978</v>
      </c>
      <c r="AA1909" s="17">
        <f t="shared" si="407"/>
        <v>10368</v>
      </c>
      <c r="AB1909" s="10">
        <v>288</v>
      </c>
      <c r="AC1909" s="18">
        <f t="shared" si="408"/>
        <v>12318.286016666665</v>
      </c>
      <c r="AD1909" s="12">
        <f t="shared" si="393"/>
        <v>9872</v>
      </c>
      <c r="AE1909" s="13">
        <f t="shared" si="409"/>
        <v>496</v>
      </c>
    </row>
    <row r="1910" spans="1:32">
      <c r="A1910" s="6">
        <v>21</v>
      </c>
      <c r="B1910" s="6">
        <v>4</v>
      </c>
      <c r="C1910" s="6" t="str">
        <f t="shared" si="392"/>
        <v>649421000AAB INFLATOR, ASP-5.1, P20, SRR, IMI, SERV, NO STUDS5002457455168640</v>
      </c>
      <c r="D1910" s="26" t="s">
        <v>455</v>
      </c>
      <c r="E1910" s="6" t="s">
        <v>56</v>
      </c>
      <c r="F1910" s="6"/>
      <c r="G1910" s="7" t="s">
        <v>245</v>
      </c>
      <c r="H1910" s="19"/>
      <c r="I1910" s="19"/>
      <c r="J1910" s="19"/>
      <c r="K1910" s="19"/>
      <c r="L1910" s="14">
        <v>5002457</v>
      </c>
      <c r="M1910" s="22">
        <v>45516</v>
      </c>
      <c r="N1910" s="19" t="s">
        <v>197</v>
      </c>
      <c r="O1910" s="19" t="s">
        <v>333</v>
      </c>
      <c r="P1910" s="15">
        <v>8640</v>
      </c>
      <c r="Q1910" s="15">
        <v>1662283.96</v>
      </c>
      <c r="R1910" s="15">
        <v>87089500</v>
      </c>
      <c r="S1910" s="15">
        <v>15</v>
      </c>
      <c r="T1910" s="19" t="s">
        <v>428</v>
      </c>
      <c r="U1910" s="19" t="s">
        <v>200</v>
      </c>
      <c r="V1910" s="16">
        <f t="shared" si="402"/>
        <v>249342.59399999998</v>
      </c>
      <c r="W1910" s="16">
        <f t="shared" si="403"/>
        <v>24934.259399999999</v>
      </c>
      <c r="X1910" s="16">
        <f t="shared" si="404"/>
        <v>274276.85339999996</v>
      </c>
      <c r="Y1910" s="16">
        <f t="shared" si="405"/>
        <v>31.745006180555553</v>
      </c>
      <c r="Z1910" s="16">
        <f t="shared" si="406"/>
        <v>192.39397685185185</v>
      </c>
      <c r="AA1910" s="17">
        <f t="shared" si="407"/>
        <v>8640</v>
      </c>
      <c r="AB1910" s="10">
        <v>1152</v>
      </c>
      <c r="AC1910" s="18">
        <f t="shared" si="408"/>
        <v>36570.24712</v>
      </c>
      <c r="AD1910" s="12">
        <f t="shared" si="393"/>
        <v>8640</v>
      </c>
      <c r="AE1910" s="13">
        <f t="shared" si="409"/>
        <v>0</v>
      </c>
    </row>
    <row r="1911" spans="1:32">
      <c r="A1911" s="6">
        <v>21</v>
      </c>
      <c r="B1911" s="6">
        <v>5</v>
      </c>
      <c r="C1911" s="6" t="str">
        <f t="shared" si="392"/>
        <v>649421000AAB INFLATOR, ASP-5.1, P20, SRR, IMI, SERV, NO STUDS42643464547410368</v>
      </c>
      <c r="D1911" s="26" t="s">
        <v>455</v>
      </c>
      <c r="E1911" s="6" t="s">
        <v>56</v>
      </c>
      <c r="F1911" s="6"/>
      <c r="G1911" s="7" t="s">
        <v>245</v>
      </c>
      <c r="H1911" s="19"/>
      <c r="I1911" s="19"/>
      <c r="J1911" s="19"/>
      <c r="K1911" s="19"/>
      <c r="L1911" s="14">
        <v>4264346</v>
      </c>
      <c r="M1911" s="22">
        <v>45474</v>
      </c>
      <c r="N1911" s="19" t="s">
        <v>197</v>
      </c>
      <c r="O1911" s="19" t="s">
        <v>333</v>
      </c>
      <c r="P1911" s="15">
        <v>10368</v>
      </c>
      <c r="Q1911" s="15">
        <v>1962699.97</v>
      </c>
      <c r="R1911" s="15">
        <v>87089500</v>
      </c>
      <c r="S1911" s="15">
        <v>15</v>
      </c>
      <c r="T1911" s="19" t="s">
        <v>437</v>
      </c>
      <c r="U1911" s="19" t="s">
        <v>178</v>
      </c>
      <c r="V1911" s="16">
        <f t="shared" si="402"/>
        <v>294404.99549999996</v>
      </c>
      <c r="W1911" s="16">
        <f t="shared" si="403"/>
        <v>29440.499549999997</v>
      </c>
      <c r="X1911" s="16">
        <f t="shared" si="404"/>
        <v>323845.49504999997</v>
      </c>
      <c r="Y1911" s="16">
        <f t="shared" si="405"/>
        <v>31.235097902199072</v>
      </c>
      <c r="Z1911" s="16">
        <f t="shared" si="406"/>
        <v>189.30362364969136</v>
      </c>
      <c r="AA1911" s="17">
        <f t="shared" si="407"/>
        <v>10368</v>
      </c>
      <c r="AB1911" s="10">
        <v>192</v>
      </c>
      <c r="AC1911" s="18">
        <f t="shared" si="408"/>
        <v>5997.1387972222219</v>
      </c>
      <c r="AD1911" s="12">
        <f t="shared" si="393"/>
        <v>9984</v>
      </c>
      <c r="AE1911" s="13">
        <f t="shared" si="409"/>
        <v>384</v>
      </c>
    </row>
    <row r="1912" spans="1:32">
      <c r="A1912" s="6">
        <v>21</v>
      </c>
      <c r="B1912" s="6">
        <v>6</v>
      </c>
      <c r="C1912" s="6" t="str">
        <f t="shared" si="392"/>
        <v>655818900BACTUATOR VIBRATION MOTOR ASSY WITH BRACKET BC3 CU71936154563814400</v>
      </c>
      <c r="D1912" s="26" t="s">
        <v>455</v>
      </c>
      <c r="E1912" s="6" t="s">
        <v>156</v>
      </c>
      <c r="F1912" s="6"/>
      <c r="G1912" s="7" t="s">
        <v>133</v>
      </c>
      <c r="H1912" s="19"/>
      <c r="I1912" s="19"/>
      <c r="J1912" s="19"/>
      <c r="K1912" s="19"/>
      <c r="L1912" s="14">
        <v>7193615</v>
      </c>
      <c r="M1912" s="22">
        <v>45638</v>
      </c>
      <c r="N1912" s="19" t="s">
        <v>189</v>
      </c>
      <c r="O1912" s="19" t="s">
        <v>333</v>
      </c>
      <c r="P1912" s="15">
        <v>14400</v>
      </c>
      <c r="Q1912" s="15">
        <v>4902857.83</v>
      </c>
      <c r="R1912" s="15">
        <v>87089400</v>
      </c>
      <c r="S1912" s="15">
        <v>15</v>
      </c>
      <c r="T1912" s="19" t="s">
        <v>376</v>
      </c>
      <c r="U1912" s="19" t="s">
        <v>178</v>
      </c>
      <c r="V1912" s="16">
        <f t="shared" si="402"/>
        <v>735428.67449999996</v>
      </c>
      <c r="W1912" s="16">
        <f t="shared" si="403"/>
        <v>73542.867450000005</v>
      </c>
      <c r="X1912" s="16">
        <f t="shared" si="404"/>
        <v>808971.54194999998</v>
      </c>
      <c r="Y1912" s="16">
        <f t="shared" si="405"/>
        <v>56.178579302083335</v>
      </c>
      <c r="Z1912" s="16">
        <f t="shared" si="406"/>
        <v>340.47623819444448</v>
      </c>
      <c r="AA1912" s="17">
        <f t="shared" si="407"/>
        <v>14400</v>
      </c>
      <c r="AB1912" s="10">
        <v>7340</v>
      </c>
      <c r="AC1912" s="18">
        <f t="shared" si="408"/>
        <v>412350.77207729168</v>
      </c>
      <c r="AD1912" s="12">
        <f t="shared" si="393"/>
        <v>14400</v>
      </c>
      <c r="AE1912" s="13">
        <f t="shared" si="409"/>
        <v>0</v>
      </c>
    </row>
    <row r="1913" spans="1:32">
      <c r="A1913" s="6">
        <v>21</v>
      </c>
      <c r="B1913" s="6">
        <v>7</v>
      </c>
      <c r="C1913" s="6" t="str">
        <f t="shared" si="392"/>
        <v>655818900BACTUATOR VIBRATION MOTOR ASSY WITH BRACKET BC3 CU7193615456384800</v>
      </c>
      <c r="D1913" s="26" t="s">
        <v>455</v>
      </c>
      <c r="E1913" s="6" t="s">
        <v>156</v>
      </c>
      <c r="F1913" s="6"/>
      <c r="G1913" s="7" t="s">
        <v>133</v>
      </c>
      <c r="H1913" s="19"/>
      <c r="I1913" s="19"/>
      <c r="J1913" s="19"/>
      <c r="K1913" s="19"/>
      <c r="L1913" s="14">
        <v>7193615</v>
      </c>
      <c r="M1913" s="22">
        <v>45638</v>
      </c>
      <c r="N1913" s="19" t="s">
        <v>189</v>
      </c>
      <c r="O1913" s="19" t="s">
        <v>333</v>
      </c>
      <c r="P1913" s="15">
        <v>4800</v>
      </c>
      <c r="Q1913" s="15">
        <v>1634285.94</v>
      </c>
      <c r="R1913" s="15">
        <v>87089400</v>
      </c>
      <c r="S1913" s="15">
        <v>15</v>
      </c>
      <c r="T1913" s="19" t="s">
        <v>376</v>
      </c>
      <c r="U1913" s="19" t="s">
        <v>178</v>
      </c>
      <c r="V1913" s="16">
        <f t="shared" si="402"/>
        <v>245142.89099999997</v>
      </c>
      <c r="W1913" s="16">
        <f t="shared" si="403"/>
        <v>24514.289099999998</v>
      </c>
      <c r="X1913" s="16">
        <f t="shared" si="404"/>
        <v>269657.1801</v>
      </c>
      <c r="Y1913" s="16">
        <f t="shared" si="405"/>
        <v>56.178579187499999</v>
      </c>
      <c r="Z1913" s="16">
        <f t="shared" si="406"/>
        <v>340.47623749999997</v>
      </c>
      <c r="AA1913" s="17">
        <f t="shared" si="407"/>
        <v>4800</v>
      </c>
      <c r="AB1913" s="10">
        <v>1060</v>
      </c>
      <c r="AC1913" s="18">
        <f t="shared" si="408"/>
        <v>59549.293938750001</v>
      </c>
      <c r="AD1913" s="12">
        <f t="shared" si="393"/>
        <v>2567</v>
      </c>
      <c r="AE1913" s="13">
        <f t="shared" si="409"/>
        <v>2233</v>
      </c>
      <c r="AF1913" s="25"/>
    </row>
    <row r="1914" spans="1:32">
      <c r="A1914" s="6">
        <v>21</v>
      </c>
      <c r="B1914" s="6">
        <v>8</v>
      </c>
      <c r="C1914" s="6" t="str">
        <f t="shared" si="392"/>
        <v>566253211EADAPTER, CAR SENS, RETRA ALL VERSIONS390969644984216000</v>
      </c>
      <c r="D1914" s="26" t="s">
        <v>455</v>
      </c>
      <c r="E1914" s="6" t="s">
        <v>58</v>
      </c>
      <c r="F1914" s="6"/>
      <c r="G1914" s="7" t="s">
        <v>18</v>
      </c>
      <c r="H1914" s="19"/>
      <c r="I1914" s="19"/>
      <c r="J1914" s="19"/>
      <c r="K1914" s="19"/>
      <c r="L1914" s="14">
        <v>3909696</v>
      </c>
      <c r="M1914" s="22">
        <v>44984</v>
      </c>
      <c r="N1914" s="19" t="s">
        <v>199</v>
      </c>
      <c r="O1914" s="19" t="s">
        <v>332</v>
      </c>
      <c r="P1914" s="15">
        <v>216000</v>
      </c>
      <c r="Q1914" s="15">
        <v>549354.86</v>
      </c>
      <c r="R1914" s="15">
        <v>87082900</v>
      </c>
      <c r="S1914" s="15">
        <v>15</v>
      </c>
      <c r="T1914" s="19" t="s">
        <v>308</v>
      </c>
      <c r="U1914" s="19" t="s">
        <v>178</v>
      </c>
      <c r="V1914" s="16">
        <f t="shared" si="402"/>
        <v>82403.228999999992</v>
      </c>
      <c r="W1914" s="16">
        <f t="shared" si="403"/>
        <v>8240.3228999999992</v>
      </c>
      <c r="X1914" s="16">
        <f t="shared" si="404"/>
        <v>90643.551899999991</v>
      </c>
      <c r="Y1914" s="16">
        <f t="shared" si="405"/>
        <v>0.41964607361111106</v>
      </c>
      <c r="Z1914" s="16">
        <f t="shared" si="406"/>
        <v>2.5433095370370369</v>
      </c>
      <c r="AA1914" s="17">
        <f t="shared" si="407"/>
        <v>216000</v>
      </c>
      <c r="AB1914" s="10">
        <v>5976</v>
      </c>
      <c r="AC1914" s="18">
        <f t="shared" si="408"/>
        <v>2507.8049358999997</v>
      </c>
      <c r="AD1914" s="12">
        <f t="shared" si="393"/>
        <v>86652</v>
      </c>
      <c r="AE1914" s="13">
        <f t="shared" si="409"/>
        <v>129348</v>
      </c>
    </row>
    <row r="1915" spans="1:32">
      <c r="A1915" s="6">
        <v>21</v>
      </c>
      <c r="B1915" s="6">
        <v>9</v>
      </c>
      <c r="C1915" s="6" t="str">
        <f t="shared" si="392"/>
        <v>632154400AADHESIVE, PAD 411920545464120000</v>
      </c>
      <c r="D1915" s="26" t="s">
        <v>455</v>
      </c>
      <c r="E1915" s="6" t="s">
        <v>79</v>
      </c>
      <c r="F1915" s="6"/>
      <c r="G1915" s="7" t="s">
        <v>39</v>
      </c>
      <c r="H1915" s="19"/>
      <c r="I1915" s="19"/>
      <c r="J1915" s="19"/>
      <c r="K1915" s="19"/>
      <c r="L1915" s="14">
        <v>4119205</v>
      </c>
      <c r="M1915" s="22">
        <v>45464</v>
      </c>
      <c r="N1915" s="19" t="s">
        <v>196</v>
      </c>
      <c r="O1915" s="19" t="s">
        <v>333</v>
      </c>
      <c r="P1915" s="15">
        <v>120000</v>
      </c>
      <c r="Q1915" s="15">
        <v>394723.3</v>
      </c>
      <c r="R1915" s="15">
        <v>87082900</v>
      </c>
      <c r="S1915" s="15">
        <v>15</v>
      </c>
      <c r="T1915" s="19" t="s">
        <v>201</v>
      </c>
      <c r="U1915" s="19" t="s">
        <v>178</v>
      </c>
      <c r="V1915" s="16">
        <f t="shared" si="402"/>
        <v>59208.494999999995</v>
      </c>
      <c r="W1915" s="16">
        <f t="shared" si="403"/>
        <v>5920.8495000000003</v>
      </c>
      <c r="X1915" s="16">
        <f t="shared" si="404"/>
        <v>65129.344499999992</v>
      </c>
      <c r="Y1915" s="16">
        <f t="shared" si="405"/>
        <v>0.54274453749999996</v>
      </c>
      <c r="Z1915" s="16">
        <f t="shared" si="406"/>
        <v>3.2893608333333333</v>
      </c>
      <c r="AA1915" s="17">
        <f t="shared" si="407"/>
        <v>120000</v>
      </c>
      <c r="AB1915" s="10">
        <v>5976</v>
      </c>
      <c r="AC1915" s="18">
        <f t="shared" si="408"/>
        <v>3243.4413560999997</v>
      </c>
      <c r="AD1915" s="12">
        <f t="shared" si="393"/>
        <v>30564</v>
      </c>
      <c r="AE1915" s="13">
        <f t="shared" si="409"/>
        <v>89436</v>
      </c>
    </row>
    <row r="1916" spans="1:32">
      <c r="A1916" s="6">
        <v>21</v>
      </c>
      <c r="B1916" s="6">
        <v>10</v>
      </c>
      <c r="C1916" s="6" t="str">
        <f t="shared" si="392"/>
        <v>655931500AARMATURE, MONOBLOCK ASW4, HYUNDAI BC3-CUV8920245457333240</v>
      </c>
      <c r="D1916" s="26" t="s">
        <v>455</v>
      </c>
      <c r="E1916" s="6" t="s">
        <v>157</v>
      </c>
      <c r="F1916" s="6"/>
      <c r="G1916" s="7" t="s">
        <v>134</v>
      </c>
      <c r="H1916" s="19"/>
      <c r="I1916" s="19"/>
      <c r="J1916" s="19"/>
      <c r="K1916" s="19"/>
      <c r="L1916" s="14">
        <v>8920245</v>
      </c>
      <c r="M1916" s="22">
        <v>45733</v>
      </c>
      <c r="N1916" s="19" t="s">
        <v>447</v>
      </c>
      <c r="O1916" s="19" t="s">
        <v>332</v>
      </c>
      <c r="P1916" s="15">
        <v>3240</v>
      </c>
      <c r="Q1916" s="15">
        <v>1356279.61</v>
      </c>
      <c r="R1916" s="15">
        <v>87089400</v>
      </c>
      <c r="S1916" s="15">
        <v>15</v>
      </c>
      <c r="T1916" s="19" t="s">
        <v>462</v>
      </c>
      <c r="U1916" s="19" t="s">
        <v>178</v>
      </c>
      <c r="V1916" s="16">
        <f t="shared" si="402"/>
        <v>203441.94150000002</v>
      </c>
      <c r="W1916" s="16">
        <f t="shared" si="403"/>
        <v>20344.194150000003</v>
      </c>
      <c r="X1916" s="16">
        <f t="shared" si="404"/>
        <v>223786.13565000001</v>
      </c>
      <c r="Y1916" s="16">
        <f t="shared" si="405"/>
        <v>69.069794953703706</v>
      </c>
      <c r="Z1916" s="16">
        <f t="shared" si="406"/>
        <v>418.60481790123458</v>
      </c>
      <c r="AA1916" s="17">
        <f t="shared" si="407"/>
        <v>3240</v>
      </c>
      <c r="AB1916" s="10">
        <v>3240</v>
      </c>
      <c r="AC1916" s="18">
        <f t="shared" si="408"/>
        <v>223786.13565000001</v>
      </c>
      <c r="AD1916" s="12">
        <f t="shared" si="393"/>
        <v>3240</v>
      </c>
      <c r="AE1916" s="13">
        <f t="shared" si="409"/>
        <v>0</v>
      </c>
    </row>
    <row r="1917" spans="1:32">
      <c r="A1917" s="6">
        <v>21</v>
      </c>
      <c r="B1917" s="6">
        <v>11</v>
      </c>
      <c r="C1917" s="6" t="str">
        <f t="shared" si="392"/>
        <v>655931500AARMATURE, MONOBLOCK ASW4, HYUNDAI BC3-CUV8920308457331134</v>
      </c>
      <c r="D1917" s="26" t="s">
        <v>455</v>
      </c>
      <c r="E1917" s="6" t="s">
        <v>157</v>
      </c>
      <c r="F1917" s="6"/>
      <c r="G1917" s="7" t="s">
        <v>134</v>
      </c>
      <c r="H1917" s="19"/>
      <c r="I1917" s="19"/>
      <c r="J1917" s="19"/>
      <c r="K1917" s="19"/>
      <c r="L1917" s="14">
        <v>8920308</v>
      </c>
      <c r="M1917" s="22">
        <v>45733</v>
      </c>
      <c r="N1917" s="19" t="s">
        <v>447</v>
      </c>
      <c r="O1917" s="19" t="s">
        <v>332</v>
      </c>
      <c r="P1917" s="15">
        <v>1134</v>
      </c>
      <c r="Q1917" s="15">
        <v>474021.27</v>
      </c>
      <c r="R1917" s="15">
        <v>87089400</v>
      </c>
      <c r="S1917" s="15">
        <v>15</v>
      </c>
      <c r="T1917" s="19" t="s">
        <v>462</v>
      </c>
      <c r="U1917" s="19" t="s">
        <v>178</v>
      </c>
      <c r="V1917" s="16">
        <f t="shared" si="402"/>
        <v>71103.190499999997</v>
      </c>
      <c r="W1917" s="16">
        <f t="shared" si="403"/>
        <v>7110.3190500000001</v>
      </c>
      <c r="X1917" s="16">
        <f t="shared" si="404"/>
        <v>78213.509550000002</v>
      </c>
      <c r="Y1917" s="16">
        <f t="shared" si="405"/>
        <v>68.971348809523818</v>
      </c>
      <c r="Z1917" s="16">
        <f t="shared" si="406"/>
        <v>418.00817460317461</v>
      </c>
      <c r="AA1917" s="17">
        <f t="shared" si="407"/>
        <v>1134</v>
      </c>
      <c r="AB1917" s="10">
        <v>1134</v>
      </c>
      <c r="AC1917" s="18">
        <f t="shared" si="408"/>
        <v>78213.509550000002</v>
      </c>
      <c r="AD1917" s="12">
        <f t="shared" si="393"/>
        <v>1134</v>
      </c>
      <c r="AE1917" s="13">
        <f t="shared" si="409"/>
        <v>0</v>
      </c>
    </row>
    <row r="1918" spans="1:32">
      <c r="A1918" s="6">
        <v>21</v>
      </c>
      <c r="B1918" s="6">
        <v>12</v>
      </c>
      <c r="C1918" s="6" t="str">
        <f t="shared" si="392"/>
        <v>655931500AARMATURE, MONOBLOCK ASW4, HYUNDAI BC3-CUV9103300457423240</v>
      </c>
      <c r="D1918" s="26" t="s">
        <v>455</v>
      </c>
      <c r="E1918" s="6" t="s">
        <v>157</v>
      </c>
      <c r="F1918" s="6"/>
      <c r="G1918" s="7" t="s">
        <v>134</v>
      </c>
      <c r="H1918" s="19"/>
      <c r="I1918" s="19"/>
      <c r="J1918" s="19"/>
      <c r="K1918" s="19"/>
      <c r="L1918" s="14">
        <v>9103300</v>
      </c>
      <c r="M1918" s="22">
        <v>45742</v>
      </c>
      <c r="N1918" s="19" t="s">
        <v>190</v>
      </c>
      <c r="O1918" s="19" t="s">
        <v>332</v>
      </c>
      <c r="P1918" s="15">
        <v>3240</v>
      </c>
      <c r="Q1918" s="15">
        <v>1350504.92</v>
      </c>
      <c r="R1918" s="15">
        <v>87089400</v>
      </c>
      <c r="S1918" s="15">
        <v>15</v>
      </c>
      <c r="T1918" s="19" t="s">
        <v>423</v>
      </c>
      <c r="U1918" s="19" t="s">
        <v>178</v>
      </c>
      <c r="V1918" s="16">
        <f t="shared" si="402"/>
        <v>202575.73799999998</v>
      </c>
      <c r="W1918" s="16">
        <f t="shared" si="403"/>
        <v>20257.573799999998</v>
      </c>
      <c r="X1918" s="16">
        <f t="shared" si="404"/>
        <v>222833.31179999997</v>
      </c>
      <c r="Y1918" s="16">
        <f t="shared" si="405"/>
        <v>68.775713518518515</v>
      </c>
      <c r="Z1918" s="16">
        <f t="shared" si="406"/>
        <v>416.8225061728395</v>
      </c>
      <c r="AA1918" s="17">
        <f t="shared" si="407"/>
        <v>3240</v>
      </c>
      <c r="AB1918" s="10">
        <v>3240</v>
      </c>
      <c r="AC1918" s="18">
        <f t="shared" si="408"/>
        <v>222833.3118</v>
      </c>
      <c r="AD1918" s="12">
        <f t="shared" si="393"/>
        <v>3240</v>
      </c>
      <c r="AE1918" s="13">
        <f t="shared" si="409"/>
        <v>0</v>
      </c>
    </row>
    <row r="1919" spans="1:32">
      <c r="A1919" s="6">
        <v>21</v>
      </c>
      <c r="B1919" s="6">
        <v>13</v>
      </c>
      <c r="C1919" s="6" t="str">
        <f t="shared" si="392"/>
        <v>655931500AARMATURE, MONOBLOCK ASW4, HYUNDAI BC3-CUV9379043457563240</v>
      </c>
      <c r="D1919" s="26" t="s">
        <v>455</v>
      </c>
      <c r="E1919" s="6" t="s">
        <v>157</v>
      </c>
      <c r="F1919" s="6"/>
      <c r="G1919" s="7" t="s">
        <v>134</v>
      </c>
      <c r="H1919" s="19"/>
      <c r="I1919" s="19"/>
      <c r="J1919" s="19"/>
      <c r="K1919" s="19"/>
      <c r="L1919" s="14">
        <v>9379043</v>
      </c>
      <c r="M1919" s="22">
        <v>45756</v>
      </c>
      <c r="N1919" s="19" t="s">
        <v>190</v>
      </c>
      <c r="O1919" s="19" t="s">
        <v>332</v>
      </c>
      <c r="P1919" s="15">
        <v>3240</v>
      </c>
      <c r="Q1919" s="15">
        <v>1287346.45</v>
      </c>
      <c r="R1919" s="15">
        <v>87089400</v>
      </c>
      <c r="S1919" s="15">
        <v>15</v>
      </c>
      <c r="T1919" s="19" t="s">
        <v>462</v>
      </c>
      <c r="U1919" s="19" t="s">
        <v>178</v>
      </c>
      <c r="V1919" s="16">
        <f t="shared" si="402"/>
        <v>193101.9675</v>
      </c>
      <c r="W1919" s="16">
        <f t="shared" si="403"/>
        <v>19310.196749999999</v>
      </c>
      <c r="X1919" s="16">
        <f t="shared" si="404"/>
        <v>212412.16425</v>
      </c>
      <c r="Y1919" s="16">
        <f t="shared" si="405"/>
        <v>65.559309953703703</v>
      </c>
      <c r="Z1919" s="16">
        <f t="shared" si="406"/>
        <v>397.32915123456786</v>
      </c>
      <c r="AA1919" s="17">
        <f t="shared" si="407"/>
        <v>3240</v>
      </c>
      <c r="AB1919" s="10">
        <v>786</v>
      </c>
      <c r="AC1919" s="18">
        <f t="shared" si="408"/>
        <v>51529.617623611113</v>
      </c>
      <c r="AD1919" s="12">
        <f t="shared" si="393"/>
        <v>786</v>
      </c>
      <c r="AE1919" s="13">
        <f t="shared" si="409"/>
        <v>2454</v>
      </c>
    </row>
    <row r="1920" spans="1:32">
      <c r="A1920" s="6">
        <v>21</v>
      </c>
      <c r="B1920" s="6">
        <v>14</v>
      </c>
      <c r="C1920" s="6" t="str">
        <f t="shared" si="392"/>
        <v>618470500EBEARING, CAR SENS, RETRA All Versions, Noise redu408531144933170000</v>
      </c>
      <c r="D1920" s="26" t="s">
        <v>455</v>
      </c>
      <c r="E1920" s="6" t="s">
        <v>68</v>
      </c>
      <c r="F1920" s="6"/>
      <c r="G1920" s="7" t="s">
        <v>28</v>
      </c>
      <c r="H1920" s="19"/>
      <c r="I1920" s="19"/>
      <c r="J1920" s="19"/>
      <c r="K1920" s="19"/>
      <c r="L1920" s="14">
        <v>4085311</v>
      </c>
      <c r="M1920" s="22">
        <v>44933</v>
      </c>
      <c r="N1920" s="19" t="s">
        <v>196</v>
      </c>
      <c r="O1920" s="19" t="s">
        <v>333</v>
      </c>
      <c r="P1920" s="15">
        <v>170000</v>
      </c>
      <c r="Q1920" s="15">
        <v>305828.40000000002</v>
      </c>
      <c r="R1920" s="15">
        <v>87082900</v>
      </c>
      <c r="S1920" s="15">
        <v>15</v>
      </c>
      <c r="T1920" s="19" t="s">
        <v>316</v>
      </c>
      <c r="U1920" s="19" t="s">
        <v>178</v>
      </c>
      <c r="V1920" s="16">
        <f t="shared" si="402"/>
        <v>45874.26</v>
      </c>
      <c r="W1920" s="16">
        <f t="shared" si="403"/>
        <v>4587.4260000000004</v>
      </c>
      <c r="X1920" s="16">
        <f t="shared" si="404"/>
        <v>50461.686000000002</v>
      </c>
      <c r="Y1920" s="16">
        <f t="shared" si="405"/>
        <v>0.29683344705882353</v>
      </c>
      <c r="Z1920" s="16">
        <f t="shared" si="406"/>
        <v>1.7989905882352943</v>
      </c>
      <c r="AA1920" s="17">
        <f t="shared" si="407"/>
        <v>170000</v>
      </c>
      <c r="AB1920" s="10">
        <v>5976</v>
      </c>
      <c r="AC1920" s="18">
        <f t="shared" si="408"/>
        <v>1773.8766796235295</v>
      </c>
      <c r="AD1920" s="12">
        <f t="shared" si="393"/>
        <v>61944</v>
      </c>
      <c r="AE1920" s="13">
        <f t="shared" si="409"/>
        <v>108056</v>
      </c>
    </row>
    <row r="1921" spans="1:31">
      <c r="A1921" s="6">
        <v>21</v>
      </c>
      <c r="B1921" s="6">
        <v>15</v>
      </c>
      <c r="C1921" s="6" t="str">
        <f t="shared" si="392"/>
        <v>601256700GBUSH, RETRACTOR, R27, AL ALL VERSIONS405080544944160000</v>
      </c>
      <c r="D1921" s="26" t="s">
        <v>455</v>
      </c>
      <c r="E1921" s="6" t="s">
        <v>62</v>
      </c>
      <c r="F1921" s="6"/>
      <c r="G1921" s="7" t="s">
        <v>22</v>
      </c>
      <c r="H1921" s="19"/>
      <c r="I1921" s="19"/>
      <c r="J1921" s="19"/>
      <c r="K1921" s="19"/>
      <c r="L1921" s="14">
        <v>4050805</v>
      </c>
      <c r="M1921" s="22">
        <v>44944</v>
      </c>
      <c r="N1921" s="19" t="s">
        <v>196</v>
      </c>
      <c r="O1921" s="19" t="s">
        <v>333</v>
      </c>
      <c r="P1921" s="15">
        <v>160000</v>
      </c>
      <c r="Q1921" s="15">
        <v>278597.26</v>
      </c>
      <c r="R1921" s="15">
        <v>87082900</v>
      </c>
      <c r="S1921" s="15">
        <v>15</v>
      </c>
      <c r="T1921" s="19" t="s">
        <v>312</v>
      </c>
      <c r="U1921" s="19" t="s">
        <v>178</v>
      </c>
      <c r="V1921" s="16">
        <f t="shared" si="402"/>
        <v>41789.589</v>
      </c>
      <c r="W1921" s="16">
        <f t="shared" si="403"/>
        <v>4178.9589000000005</v>
      </c>
      <c r="X1921" s="16">
        <f t="shared" si="404"/>
        <v>45968.547899999998</v>
      </c>
      <c r="Y1921" s="16">
        <f t="shared" si="405"/>
        <v>0.287303424375</v>
      </c>
      <c r="Z1921" s="16">
        <f t="shared" si="406"/>
        <v>1.7412328750000001</v>
      </c>
      <c r="AA1921" s="17">
        <f t="shared" si="407"/>
        <v>160000</v>
      </c>
      <c r="AB1921" s="10">
        <v>5976</v>
      </c>
      <c r="AC1921" s="18">
        <f t="shared" si="408"/>
        <v>1716.925264065</v>
      </c>
      <c r="AD1921" s="12">
        <f t="shared" si="393"/>
        <v>86652</v>
      </c>
      <c r="AE1921" s="13">
        <f t="shared" si="409"/>
        <v>73348</v>
      </c>
    </row>
    <row r="1922" spans="1:31">
      <c r="A1922" s="6">
        <v>21</v>
      </c>
      <c r="B1922" s="6">
        <v>16</v>
      </c>
      <c r="C1922" s="6" t="str">
        <f t="shared" ref="C1922:C1985" si="410">E1922&amp;G1922&amp;L1922&amp;M1922&amp;P1922</f>
        <v>560050622CCHANNEL, BUCKLE, K12 ROA K12A/AT, RIVET BUCKLE, S490021945510145600</v>
      </c>
      <c r="D1922" s="26" t="s">
        <v>455</v>
      </c>
      <c r="E1922" s="6" t="s">
        <v>72</v>
      </c>
      <c r="F1922" s="6"/>
      <c r="G1922" s="7" t="s">
        <v>32</v>
      </c>
      <c r="H1922" s="19"/>
      <c r="I1922" s="19"/>
      <c r="J1922" s="19"/>
      <c r="K1922" s="19"/>
      <c r="L1922" s="14">
        <v>4900219</v>
      </c>
      <c r="M1922" s="22">
        <v>45510</v>
      </c>
      <c r="N1922" s="19" t="s">
        <v>197</v>
      </c>
      <c r="O1922" s="19" t="s">
        <v>333</v>
      </c>
      <c r="P1922" s="15">
        <v>145600</v>
      </c>
      <c r="Q1922" s="15">
        <v>2640438.61</v>
      </c>
      <c r="R1922" s="15">
        <v>87082900</v>
      </c>
      <c r="S1922" s="15">
        <v>15</v>
      </c>
      <c r="T1922" s="19" t="s">
        <v>429</v>
      </c>
      <c r="U1922" s="19" t="s">
        <v>178</v>
      </c>
      <c r="V1922" s="16">
        <f t="shared" si="402"/>
        <v>396065.79149999999</v>
      </c>
      <c r="W1922" s="16">
        <f t="shared" si="403"/>
        <v>39606.579150000005</v>
      </c>
      <c r="X1922" s="16">
        <f t="shared" si="404"/>
        <v>435672.37065</v>
      </c>
      <c r="Y1922" s="16">
        <f t="shared" si="405"/>
        <v>2.9922552929258242</v>
      </c>
      <c r="Z1922" s="16">
        <f t="shared" si="406"/>
        <v>18.134880563186812</v>
      </c>
      <c r="AA1922" s="17">
        <f t="shared" si="407"/>
        <v>145600</v>
      </c>
      <c r="AB1922" s="10">
        <v>5344</v>
      </c>
      <c r="AC1922" s="18">
        <f t="shared" si="408"/>
        <v>15990.612285395604</v>
      </c>
      <c r="AD1922" s="12">
        <f t="shared" si="393"/>
        <v>26816</v>
      </c>
      <c r="AE1922" s="13">
        <f t="shared" si="409"/>
        <v>118784</v>
      </c>
    </row>
    <row r="1923" spans="1:31">
      <c r="A1923" s="6">
        <v>21</v>
      </c>
      <c r="B1923" s="6">
        <v>17</v>
      </c>
      <c r="C1923" s="6" t="str">
        <f t="shared" si="410"/>
        <v>601487200CCOVER, RETRACTOR, R27, S SYSTEMKAPPE DELRIN 100T822098745209144000</v>
      </c>
      <c r="D1923" s="26" t="s">
        <v>455</v>
      </c>
      <c r="E1923" s="6" t="s">
        <v>64</v>
      </c>
      <c r="F1923" s="6"/>
      <c r="G1923" s="7" t="s">
        <v>24</v>
      </c>
      <c r="H1923" s="19"/>
      <c r="I1923" s="19"/>
      <c r="J1923" s="19"/>
      <c r="K1923" s="19"/>
      <c r="L1923" s="14">
        <v>8220987</v>
      </c>
      <c r="M1923" s="22">
        <v>45209</v>
      </c>
      <c r="N1923" s="19" t="s">
        <v>199</v>
      </c>
      <c r="O1923" s="19" t="s">
        <v>332</v>
      </c>
      <c r="P1923" s="15">
        <v>144000</v>
      </c>
      <c r="Q1923" s="15">
        <v>1542266.14</v>
      </c>
      <c r="R1923" s="15">
        <v>87082900</v>
      </c>
      <c r="S1923" s="15">
        <v>15</v>
      </c>
      <c r="T1923" s="19" t="s">
        <v>307</v>
      </c>
      <c r="U1923" s="19" t="s">
        <v>178</v>
      </c>
      <c r="V1923" s="16">
        <f t="shared" si="402"/>
        <v>231339.92099999997</v>
      </c>
      <c r="W1923" s="16">
        <f t="shared" si="403"/>
        <v>23133.992099999999</v>
      </c>
      <c r="X1923" s="16">
        <f t="shared" si="404"/>
        <v>254473.91309999998</v>
      </c>
      <c r="Y1923" s="16">
        <f t="shared" si="405"/>
        <v>1.7671799520833331</v>
      </c>
      <c r="Z1923" s="16">
        <f t="shared" si="406"/>
        <v>10.710181527777777</v>
      </c>
      <c r="AA1923" s="17">
        <f t="shared" si="407"/>
        <v>144000</v>
      </c>
      <c r="AB1923" s="10">
        <v>4068</v>
      </c>
      <c r="AC1923" s="18">
        <f t="shared" si="408"/>
        <v>7188.8880450749994</v>
      </c>
      <c r="AD1923" s="12">
        <f t="shared" si="393"/>
        <v>16056</v>
      </c>
      <c r="AE1923" s="13">
        <f t="shared" si="409"/>
        <v>127944</v>
      </c>
    </row>
    <row r="1924" spans="1:31">
      <c r="A1924" s="6">
        <v>21</v>
      </c>
      <c r="B1924" s="6">
        <v>18</v>
      </c>
      <c r="C1924" s="6" t="str">
        <f t="shared" si="410"/>
        <v>654590800ACUSHION COMPONENTS CVR NON-WOVEN RH SU2ID9548023457641800</v>
      </c>
      <c r="D1924" s="26" t="s">
        <v>455</v>
      </c>
      <c r="E1924" s="6" t="s">
        <v>480</v>
      </c>
      <c r="F1924" s="6"/>
      <c r="G1924" s="7" t="s">
        <v>396</v>
      </c>
      <c r="H1924" s="19"/>
      <c r="I1924" s="19"/>
      <c r="J1924" s="19"/>
      <c r="K1924" s="19"/>
      <c r="L1924" s="14">
        <v>9548023</v>
      </c>
      <c r="M1924" s="22">
        <v>45764</v>
      </c>
      <c r="N1924" s="19" t="s">
        <v>185</v>
      </c>
      <c r="O1924" s="19" t="s">
        <v>333</v>
      </c>
      <c r="P1924" s="15">
        <v>1800</v>
      </c>
      <c r="Q1924" s="15">
        <v>22595.200000000001</v>
      </c>
      <c r="R1924" s="15">
        <v>87089500</v>
      </c>
      <c r="S1924" s="15">
        <v>5</v>
      </c>
      <c r="T1924" s="19" t="s">
        <v>441</v>
      </c>
      <c r="U1924" s="19" t="s">
        <v>178</v>
      </c>
      <c r="V1924" s="16">
        <f t="shared" si="402"/>
        <v>1129.76</v>
      </c>
      <c r="W1924" s="16">
        <f t="shared" si="403"/>
        <v>112.976</v>
      </c>
      <c r="X1924" s="16">
        <f t="shared" si="404"/>
        <v>1242.7359999999999</v>
      </c>
      <c r="Y1924" s="16">
        <f t="shared" si="405"/>
        <v>0.69040888888888885</v>
      </c>
      <c r="Z1924" s="16">
        <f t="shared" si="406"/>
        <v>12.552888888888889</v>
      </c>
      <c r="AA1924" s="17">
        <f t="shared" si="407"/>
        <v>1800</v>
      </c>
      <c r="AB1924" s="10">
        <v>288</v>
      </c>
      <c r="AC1924" s="18">
        <f t="shared" si="408"/>
        <v>198.83776</v>
      </c>
      <c r="AD1924" s="12">
        <f t="shared" si="393"/>
        <v>468</v>
      </c>
      <c r="AE1924" s="13">
        <f t="shared" si="409"/>
        <v>1332</v>
      </c>
    </row>
    <row r="1925" spans="1:31">
      <c r="A1925" s="6">
        <v>21</v>
      </c>
      <c r="B1925" s="6">
        <v>19</v>
      </c>
      <c r="C1925" s="6" t="str">
        <f t="shared" si="410"/>
        <v>666041200ACushion ICAB FI 2 Row C2287544453466912</v>
      </c>
      <c r="D1925" s="26" t="s">
        <v>455</v>
      </c>
      <c r="E1925" s="6" t="s">
        <v>472</v>
      </c>
      <c r="F1925" s="6"/>
      <c r="G1925" s="7" t="s">
        <v>237</v>
      </c>
      <c r="H1925" s="19"/>
      <c r="I1925" s="19"/>
      <c r="J1925" s="19"/>
      <c r="K1925" s="19"/>
      <c r="L1925" s="14">
        <v>2287544</v>
      </c>
      <c r="M1925" s="22">
        <v>45346</v>
      </c>
      <c r="N1925" s="19" t="s">
        <v>185</v>
      </c>
      <c r="O1925" s="19" t="s">
        <v>332</v>
      </c>
      <c r="P1925" s="15">
        <v>6912</v>
      </c>
      <c r="Q1925" s="15">
        <v>1466083.43</v>
      </c>
      <c r="R1925" s="15">
        <v>87089500</v>
      </c>
      <c r="S1925" s="15">
        <v>15</v>
      </c>
      <c r="T1925" s="19" t="s">
        <v>350</v>
      </c>
      <c r="U1925" s="19" t="s">
        <v>178</v>
      </c>
      <c r="V1925" s="16">
        <f t="shared" si="402"/>
        <v>219912.51449999999</v>
      </c>
      <c r="W1925" s="16">
        <f t="shared" si="403"/>
        <v>21991.25145</v>
      </c>
      <c r="X1925" s="16">
        <f t="shared" si="404"/>
        <v>241903.76595</v>
      </c>
      <c r="Y1925" s="16">
        <f t="shared" si="405"/>
        <v>34.997651323784723</v>
      </c>
      <c r="Z1925" s="16">
        <f t="shared" si="406"/>
        <v>212.10697771990741</v>
      </c>
      <c r="AA1925" s="17">
        <f t="shared" si="407"/>
        <v>6912</v>
      </c>
      <c r="AB1925" s="10">
        <v>820</v>
      </c>
      <c r="AC1925" s="18">
        <f t="shared" si="408"/>
        <v>28698.074085503471</v>
      </c>
      <c r="AD1925" s="12">
        <f t="shared" si="393"/>
        <v>6912</v>
      </c>
      <c r="AE1925" s="13">
        <f t="shared" si="409"/>
        <v>0</v>
      </c>
    </row>
    <row r="1926" spans="1:31">
      <c r="A1926" s="6">
        <v>21</v>
      </c>
      <c r="B1926" s="6">
        <v>20</v>
      </c>
      <c r="C1926" s="6" t="str">
        <f t="shared" si="410"/>
        <v>666041200ACushion ICAB FI 2 Row C5246960455305000</v>
      </c>
      <c r="D1926" s="26" t="s">
        <v>455</v>
      </c>
      <c r="E1926" s="6" t="s">
        <v>472</v>
      </c>
      <c r="F1926" s="6"/>
      <c r="G1926" s="7" t="s">
        <v>237</v>
      </c>
      <c r="H1926" s="19"/>
      <c r="I1926" s="19"/>
      <c r="J1926" s="19"/>
      <c r="K1926" s="19"/>
      <c r="L1926" s="14">
        <v>5246960</v>
      </c>
      <c r="M1926" s="22">
        <v>45530</v>
      </c>
      <c r="N1926" s="19" t="s">
        <v>197</v>
      </c>
      <c r="O1926" s="19" t="s">
        <v>333</v>
      </c>
      <c r="P1926" s="15">
        <v>5000</v>
      </c>
      <c r="Q1926" s="15">
        <v>4333293.93</v>
      </c>
      <c r="R1926" s="15">
        <v>87089500</v>
      </c>
      <c r="S1926" s="15">
        <v>5</v>
      </c>
      <c r="T1926" s="19" t="s">
        <v>204</v>
      </c>
      <c r="U1926" s="19" t="s">
        <v>178</v>
      </c>
      <c r="V1926" s="16">
        <f t="shared" si="402"/>
        <v>216664.69649999999</v>
      </c>
      <c r="W1926" s="16">
        <f t="shared" si="403"/>
        <v>21666.469649999999</v>
      </c>
      <c r="X1926" s="16">
        <f t="shared" si="404"/>
        <v>238331.16615</v>
      </c>
      <c r="Y1926" s="16">
        <f t="shared" si="405"/>
        <v>47.666233230000003</v>
      </c>
      <c r="Z1926" s="16">
        <f t="shared" si="406"/>
        <v>866.65878599999996</v>
      </c>
      <c r="AA1926" s="17">
        <f t="shared" si="407"/>
        <v>5000</v>
      </c>
      <c r="AB1926" s="10">
        <v>140</v>
      </c>
      <c r="AC1926" s="18">
        <f t="shared" si="408"/>
        <v>6673.2726522000003</v>
      </c>
      <c r="AD1926" s="12">
        <f t="shared" si="393"/>
        <v>4932</v>
      </c>
      <c r="AE1926" s="13">
        <f t="shared" si="409"/>
        <v>68</v>
      </c>
    </row>
    <row r="1927" spans="1:31">
      <c r="A1927" s="6">
        <v>21</v>
      </c>
      <c r="B1927" s="6">
        <v>21</v>
      </c>
      <c r="C1927" s="6" t="str">
        <f t="shared" si="410"/>
        <v>656334800FCushion ICAB FI 2 Row C KSID, ASP5.1, BUTTON HOL451083745488660</v>
      </c>
      <c r="D1927" s="26" t="s">
        <v>455</v>
      </c>
      <c r="E1927" s="6" t="s">
        <v>131</v>
      </c>
      <c r="F1927" s="6"/>
      <c r="G1927" s="19" t="s">
        <v>104</v>
      </c>
      <c r="H1927" s="19"/>
      <c r="I1927" s="19"/>
      <c r="J1927" s="19"/>
      <c r="K1927" s="19"/>
      <c r="L1927" s="14">
        <v>4510837</v>
      </c>
      <c r="M1927" s="22">
        <v>45488</v>
      </c>
      <c r="N1927" s="19" t="s">
        <v>185</v>
      </c>
      <c r="O1927" s="19" t="s">
        <v>332</v>
      </c>
      <c r="P1927" s="15">
        <v>660</v>
      </c>
      <c r="Q1927" s="15">
        <v>433880.92</v>
      </c>
      <c r="R1927" s="15">
        <v>87089900</v>
      </c>
      <c r="S1927" s="15">
        <v>5</v>
      </c>
      <c r="T1927" s="19" t="s">
        <v>355</v>
      </c>
      <c r="U1927" s="19" t="s">
        <v>178</v>
      </c>
      <c r="V1927" s="16">
        <f t="shared" si="402"/>
        <v>21694.046000000002</v>
      </c>
      <c r="W1927" s="16">
        <f t="shared" si="403"/>
        <v>2169.4046000000003</v>
      </c>
      <c r="X1927" s="16">
        <f t="shared" si="404"/>
        <v>23863.450600000004</v>
      </c>
      <c r="Y1927" s="16">
        <f t="shared" si="405"/>
        <v>36.156743333333338</v>
      </c>
      <c r="Z1927" s="16">
        <f t="shared" si="406"/>
        <v>657.39533333333327</v>
      </c>
      <c r="AA1927" s="17">
        <f t="shared" si="407"/>
        <v>660</v>
      </c>
      <c r="AB1927" s="10">
        <v>192</v>
      </c>
      <c r="AC1927" s="18">
        <f t="shared" si="408"/>
        <v>6942.094720000001</v>
      </c>
      <c r="AD1927" s="12">
        <f t="shared" si="393"/>
        <v>492</v>
      </c>
      <c r="AE1927" s="13">
        <f t="shared" si="409"/>
        <v>168</v>
      </c>
    </row>
    <row r="1928" spans="1:31">
      <c r="A1928" s="6">
        <v>21</v>
      </c>
      <c r="B1928" s="6">
        <v>22</v>
      </c>
      <c r="C1928" s="6" t="str">
        <f t="shared" si="410"/>
        <v>651015300BELEMENT, HEATER, HYBRID 7130461456353080</v>
      </c>
      <c r="D1928" s="26" t="s">
        <v>455</v>
      </c>
      <c r="E1928" s="6" t="s">
        <v>155</v>
      </c>
      <c r="F1928" s="6"/>
      <c r="G1928" s="7" t="s">
        <v>137</v>
      </c>
      <c r="H1928" s="19"/>
      <c r="I1928" s="19"/>
      <c r="J1928" s="19"/>
      <c r="K1928" s="19"/>
      <c r="L1928" s="14">
        <v>7130461</v>
      </c>
      <c r="M1928" s="22">
        <v>45635</v>
      </c>
      <c r="N1928" s="19" t="s">
        <v>189</v>
      </c>
      <c r="O1928" s="19" t="s">
        <v>333</v>
      </c>
      <c r="P1928" s="15">
        <v>3080</v>
      </c>
      <c r="Q1928" s="15">
        <v>1684637.94</v>
      </c>
      <c r="R1928" s="15">
        <v>87089400</v>
      </c>
      <c r="S1928" s="15">
        <v>15</v>
      </c>
      <c r="T1928" s="19" t="s">
        <v>407</v>
      </c>
      <c r="U1928" s="19" t="s">
        <v>178</v>
      </c>
      <c r="V1928" s="16">
        <f t="shared" si="402"/>
        <v>252695.69099999999</v>
      </c>
      <c r="W1928" s="16">
        <f t="shared" si="403"/>
        <v>25269.569100000001</v>
      </c>
      <c r="X1928" s="16">
        <f t="shared" si="404"/>
        <v>277965.26010000001</v>
      </c>
      <c r="Y1928" s="16">
        <f t="shared" si="405"/>
        <v>90.248461071428579</v>
      </c>
      <c r="Z1928" s="16">
        <f t="shared" si="406"/>
        <v>546.96037012987006</v>
      </c>
      <c r="AA1928" s="17">
        <f t="shared" si="407"/>
        <v>3080</v>
      </c>
      <c r="AB1928" s="10">
        <v>1591</v>
      </c>
      <c r="AC1928" s="18">
        <f t="shared" si="408"/>
        <v>143585.30156464287</v>
      </c>
      <c r="AD1928" s="12">
        <f t="shared" si="393"/>
        <v>3080</v>
      </c>
      <c r="AE1928" s="13">
        <f t="shared" si="409"/>
        <v>0</v>
      </c>
    </row>
    <row r="1929" spans="1:31">
      <c r="A1929" s="6">
        <v>21</v>
      </c>
      <c r="B1929" s="6">
        <v>23</v>
      </c>
      <c r="C1929" s="6" t="str">
        <f t="shared" si="410"/>
        <v>651015300BELEMENT, HEATER, HYBRID 7684949456662800</v>
      </c>
      <c r="D1929" s="26" t="s">
        <v>455</v>
      </c>
      <c r="E1929" s="6" t="s">
        <v>155</v>
      </c>
      <c r="F1929" s="6"/>
      <c r="G1929" s="7" t="s">
        <v>137</v>
      </c>
      <c r="H1929" s="19"/>
      <c r="I1929" s="19"/>
      <c r="J1929" s="19"/>
      <c r="K1929" s="19"/>
      <c r="L1929" s="14">
        <v>7684949</v>
      </c>
      <c r="M1929" s="22">
        <v>45666</v>
      </c>
      <c r="N1929" s="19" t="s">
        <v>189</v>
      </c>
      <c r="O1929" s="19" t="s">
        <v>333</v>
      </c>
      <c r="P1929" s="15">
        <v>2800</v>
      </c>
      <c r="Q1929" s="15">
        <v>1554168.34</v>
      </c>
      <c r="R1929" s="15">
        <v>87089400</v>
      </c>
      <c r="S1929" s="15">
        <v>15</v>
      </c>
      <c r="T1929" s="19" t="s">
        <v>407</v>
      </c>
      <c r="U1929" s="19" t="s">
        <v>178</v>
      </c>
      <c r="V1929" s="16">
        <f t="shared" si="402"/>
        <v>233125.25100000002</v>
      </c>
      <c r="W1929" s="16">
        <f t="shared" si="403"/>
        <v>23312.525100000003</v>
      </c>
      <c r="X1929" s="16">
        <f t="shared" si="404"/>
        <v>256437.77610000002</v>
      </c>
      <c r="Y1929" s="16">
        <f t="shared" si="405"/>
        <v>91.584920035714291</v>
      </c>
      <c r="Z1929" s="16">
        <f t="shared" si="406"/>
        <v>555.06012142857151</v>
      </c>
      <c r="AA1929" s="17">
        <f t="shared" si="407"/>
        <v>2800</v>
      </c>
      <c r="AB1929" s="10">
        <v>1567</v>
      </c>
      <c r="AC1929" s="18">
        <f t="shared" si="408"/>
        <v>143513.56969596428</v>
      </c>
      <c r="AD1929" s="12">
        <f t="shared" si="393"/>
        <v>2519</v>
      </c>
      <c r="AE1929" s="13">
        <f t="shared" si="409"/>
        <v>281</v>
      </c>
    </row>
    <row r="1930" spans="1:31">
      <c r="A1930" s="6">
        <v>21</v>
      </c>
      <c r="B1930" s="6">
        <v>24</v>
      </c>
      <c r="C1930" s="6" t="str">
        <f t="shared" si="410"/>
        <v>6242999AABFELT, OTHER OTHER2011457453284800</v>
      </c>
      <c r="D1930" s="26" t="s">
        <v>455</v>
      </c>
      <c r="E1930" s="6" t="s">
        <v>127</v>
      </c>
      <c r="F1930" s="6"/>
      <c r="G1930" s="19" t="s">
        <v>105</v>
      </c>
      <c r="H1930" s="19"/>
      <c r="I1930" s="19"/>
      <c r="J1930" s="19"/>
      <c r="K1930" s="19"/>
      <c r="L1930" s="14">
        <v>2011457</v>
      </c>
      <c r="M1930" s="22">
        <v>45328</v>
      </c>
      <c r="N1930" s="19" t="s">
        <v>196</v>
      </c>
      <c r="O1930" s="19" t="s">
        <v>333</v>
      </c>
      <c r="P1930" s="15">
        <v>4800</v>
      </c>
      <c r="Q1930" s="15">
        <v>65850.58</v>
      </c>
      <c r="R1930" s="15">
        <v>87082900</v>
      </c>
      <c r="S1930" s="15">
        <v>15</v>
      </c>
      <c r="T1930" s="19" t="s">
        <v>343</v>
      </c>
      <c r="U1930" s="19" t="s">
        <v>178</v>
      </c>
      <c r="V1930" s="16">
        <f t="shared" si="402"/>
        <v>9877.5869999999995</v>
      </c>
      <c r="W1930" s="16">
        <f t="shared" si="403"/>
        <v>987.75869999999998</v>
      </c>
      <c r="X1930" s="16">
        <f t="shared" si="404"/>
        <v>10865.3457</v>
      </c>
      <c r="Y1930" s="16">
        <f t="shared" si="405"/>
        <v>2.2636136874999999</v>
      </c>
      <c r="Z1930" s="16">
        <f t="shared" si="406"/>
        <v>13.718870833333334</v>
      </c>
      <c r="AA1930" s="17">
        <f t="shared" si="407"/>
        <v>4800</v>
      </c>
      <c r="AB1930" s="10">
        <v>384</v>
      </c>
      <c r="AC1930" s="18">
        <f t="shared" si="408"/>
        <v>869.22765600000002</v>
      </c>
      <c r="AD1930" s="12">
        <f t="shared" si="393"/>
        <v>4569.6000000000004</v>
      </c>
      <c r="AE1930" s="13">
        <f t="shared" si="409"/>
        <v>230.39999999999964</v>
      </c>
    </row>
    <row r="1931" spans="1:31">
      <c r="A1931" s="6">
        <v>21</v>
      </c>
      <c r="B1931" s="6">
        <v>25</v>
      </c>
      <c r="C1931" s="6" t="str">
        <f t="shared" si="410"/>
        <v>634240200AHORN CONTACT, CU 681124845118600000</v>
      </c>
      <c r="D1931" s="26" t="s">
        <v>455</v>
      </c>
      <c r="E1931" s="6" t="s">
        <v>160</v>
      </c>
      <c r="F1931" s="6"/>
      <c r="G1931" s="7" t="s">
        <v>138</v>
      </c>
      <c r="H1931" s="19"/>
      <c r="I1931" s="19"/>
      <c r="J1931" s="19"/>
      <c r="K1931" s="19"/>
      <c r="L1931" s="14">
        <v>6811248</v>
      </c>
      <c r="M1931" s="22">
        <v>45118</v>
      </c>
      <c r="N1931" s="19" t="s">
        <v>189</v>
      </c>
      <c r="O1931" s="19" t="s">
        <v>332</v>
      </c>
      <c r="P1931" s="15">
        <v>600000</v>
      </c>
      <c r="Q1931" s="15">
        <v>627311.64</v>
      </c>
      <c r="R1931" s="15">
        <v>87089900</v>
      </c>
      <c r="S1931" s="15">
        <v>15</v>
      </c>
      <c r="T1931" s="19" t="s">
        <v>258</v>
      </c>
      <c r="U1931" s="19" t="s">
        <v>178</v>
      </c>
      <c r="V1931" s="16">
        <f t="shared" si="402"/>
        <v>94096.745999999999</v>
      </c>
      <c r="W1931" s="16">
        <f t="shared" si="403"/>
        <v>9409.6746000000003</v>
      </c>
      <c r="X1931" s="16">
        <f t="shared" si="404"/>
        <v>103506.4206</v>
      </c>
      <c r="Y1931" s="16">
        <f t="shared" si="405"/>
        <v>0.17251070099999999</v>
      </c>
      <c r="Z1931" s="16">
        <f t="shared" si="406"/>
        <v>1.0455194000000001</v>
      </c>
      <c r="AA1931" s="17">
        <f t="shared" si="407"/>
        <v>600000</v>
      </c>
      <c r="AB1931" s="10">
        <v>33600</v>
      </c>
      <c r="AC1931" s="18">
        <f t="shared" si="408"/>
        <v>5796.3595535999993</v>
      </c>
      <c r="AD1931" s="12">
        <f t="shared" si="393"/>
        <v>577364</v>
      </c>
      <c r="AE1931" s="13">
        <f t="shared" si="409"/>
        <v>22636</v>
      </c>
    </row>
    <row r="1932" spans="1:31">
      <c r="A1932" s="6">
        <v>21</v>
      </c>
      <c r="B1932" s="6">
        <v>26</v>
      </c>
      <c r="C1932" s="6" t="str">
        <f t="shared" si="410"/>
        <v>655226900AINFLATOR APP-4.6, 325KPA 1.8MOL, STANDARD MIB SQU2407773453558640</v>
      </c>
      <c r="D1932" s="26" t="s">
        <v>455</v>
      </c>
      <c r="E1932" s="6" t="s">
        <v>130</v>
      </c>
      <c r="F1932" s="6"/>
      <c r="G1932" s="7" t="s">
        <v>102</v>
      </c>
      <c r="H1932" s="19"/>
      <c r="I1932" s="19"/>
      <c r="J1932" s="19"/>
      <c r="K1932" s="19"/>
      <c r="L1932" s="14">
        <v>2407773</v>
      </c>
      <c r="M1932" s="22">
        <v>45355</v>
      </c>
      <c r="N1932" s="19" t="s">
        <v>197</v>
      </c>
      <c r="O1932" s="19" t="s">
        <v>333</v>
      </c>
      <c r="P1932" s="15">
        <v>8640</v>
      </c>
      <c r="Q1932" s="15">
        <v>3583311.25</v>
      </c>
      <c r="R1932" s="15">
        <v>87089500</v>
      </c>
      <c r="S1932" s="15">
        <v>15</v>
      </c>
      <c r="T1932" s="19" t="s">
        <v>381</v>
      </c>
      <c r="U1932" s="19" t="s">
        <v>200</v>
      </c>
      <c r="V1932" s="16">
        <f t="shared" si="402"/>
        <v>537496.6875</v>
      </c>
      <c r="W1932" s="16">
        <f t="shared" si="403"/>
        <v>53749.668750000004</v>
      </c>
      <c r="X1932" s="16">
        <f t="shared" si="404"/>
        <v>591246.35624999995</v>
      </c>
      <c r="Y1932" s="16">
        <f t="shared" si="405"/>
        <v>68.431291232638884</v>
      </c>
      <c r="Z1932" s="16">
        <f t="shared" si="406"/>
        <v>414.73509837962962</v>
      </c>
      <c r="AA1932" s="17">
        <f t="shared" si="407"/>
        <v>8640</v>
      </c>
      <c r="AB1932" s="10">
        <v>1440</v>
      </c>
      <c r="AC1932" s="18">
        <f t="shared" si="408"/>
        <v>98541.059374999997</v>
      </c>
      <c r="AD1932" s="12">
        <f t="shared" si="393"/>
        <v>7809</v>
      </c>
      <c r="AE1932" s="13">
        <f t="shared" si="409"/>
        <v>831</v>
      </c>
    </row>
    <row r="1933" spans="1:31">
      <c r="A1933" s="6">
        <v>21</v>
      </c>
      <c r="B1933" s="6">
        <v>27</v>
      </c>
      <c r="C1933" s="6" t="str">
        <f t="shared" si="410"/>
        <v>643302000AINFLATOR, ADP-1.3B, MP, MIB, SQUARE, NO STUD55141074554512960</v>
      </c>
      <c r="D1933" s="26" t="s">
        <v>455</v>
      </c>
      <c r="E1933" s="6" t="s">
        <v>46</v>
      </c>
      <c r="F1933" s="6"/>
      <c r="G1933" s="7" t="s">
        <v>8</v>
      </c>
      <c r="H1933" s="19"/>
      <c r="I1933" s="19"/>
      <c r="J1933" s="19"/>
      <c r="K1933" s="19"/>
      <c r="L1933" s="14">
        <v>5514107</v>
      </c>
      <c r="M1933" s="22">
        <v>45545</v>
      </c>
      <c r="N1933" s="19" t="s">
        <v>197</v>
      </c>
      <c r="O1933" s="19" t="s">
        <v>333</v>
      </c>
      <c r="P1933" s="15">
        <v>12960</v>
      </c>
      <c r="Q1933" s="15">
        <v>4565704.08</v>
      </c>
      <c r="R1933" s="15">
        <v>87089500</v>
      </c>
      <c r="S1933" s="15">
        <v>15</v>
      </c>
      <c r="T1933" s="19" t="s">
        <v>428</v>
      </c>
      <c r="U1933" s="19" t="s">
        <v>200</v>
      </c>
      <c r="V1933" s="16">
        <f t="shared" si="402"/>
        <v>684855.61199999996</v>
      </c>
      <c r="W1933" s="16">
        <f t="shared" si="403"/>
        <v>68485.561199999996</v>
      </c>
      <c r="X1933" s="16">
        <f t="shared" si="404"/>
        <v>753341.17319999996</v>
      </c>
      <c r="Y1933" s="16">
        <f t="shared" si="405"/>
        <v>58.128176944444441</v>
      </c>
      <c r="Z1933" s="16">
        <f t="shared" si="406"/>
        <v>352.29198148148151</v>
      </c>
      <c r="AA1933" s="17">
        <f t="shared" si="407"/>
        <v>12960</v>
      </c>
      <c r="AB1933" s="10">
        <v>216</v>
      </c>
      <c r="AC1933" s="18">
        <f t="shared" si="408"/>
        <v>12555.68622</v>
      </c>
      <c r="AD1933" s="12">
        <f t="shared" si="393"/>
        <v>12606</v>
      </c>
      <c r="AE1933" s="13">
        <f t="shared" si="409"/>
        <v>354</v>
      </c>
    </row>
    <row r="1934" spans="1:31">
      <c r="A1934" s="6">
        <v>21</v>
      </c>
      <c r="B1934" s="6">
        <v>28</v>
      </c>
      <c r="C1934" s="6" t="str">
        <f t="shared" si="410"/>
        <v>640294200AINFLATOR, ASP-2, GEN15,65265414560213824</v>
      </c>
      <c r="D1934" s="26" t="s">
        <v>455</v>
      </c>
      <c r="E1934" s="6" t="s">
        <v>470</v>
      </c>
      <c r="F1934" s="6"/>
      <c r="G1934" s="7" t="s">
        <v>238</v>
      </c>
      <c r="H1934" s="19"/>
      <c r="I1934" s="19"/>
      <c r="J1934" s="19"/>
      <c r="K1934" s="19"/>
      <c r="L1934" s="14">
        <v>6526541</v>
      </c>
      <c r="M1934" s="22">
        <v>45602</v>
      </c>
      <c r="N1934" s="19" t="s">
        <v>185</v>
      </c>
      <c r="O1934" s="19" t="s">
        <v>332</v>
      </c>
      <c r="P1934" s="15">
        <v>13824</v>
      </c>
      <c r="Q1934" s="15">
        <v>3568768.29</v>
      </c>
      <c r="R1934" s="15">
        <v>87089500</v>
      </c>
      <c r="S1934" s="15">
        <v>15</v>
      </c>
      <c r="T1934" s="19" t="s">
        <v>388</v>
      </c>
      <c r="U1934" s="19" t="s">
        <v>178</v>
      </c>
      <c r="V1934" s="16">
        <f t="shared" si="402"/>
        <v>535315.24349999998</v>
      </c>
      <c r="W1934" s="16">
        <f t="shared" si="403"/>
        <v>53531.52435</v>
      </c>
      <c r="X1934" s="16">
        <f t="shared" si="404"/>
        <v>588846.76784999995</v>
      </c>
      <c r="Y1934" s="16">
        <f t="shared" si="405"/>
        <v>42.595975683593743</v>
      </c>
      <c r="Z1934" s="16">
        <f t="shared" si="406"/>
        <v>258.15742838541667</v>
      </c>
      <c r="AA1934" s="17">
        <f t="shared" si="407"/>
        <v>13824</v>
      </c>
      <c r="AB1934" s="10">
        <v>864</v>
      </c>
      <c r="AC1934" s="18">
        <f t="shared" si="408"/>
        <v>36802.922990624997</v>
      </c>
      <c r="AD1934" s="12">
        <f t="shared" si="393"/>
        <v>12904</v>
      </c>
      <c r="AE1934" s="13">
        <f t="shared" si="409"/>
        <v>920</v>
      </c>
    </row>
    <row r="1935" spans="1:31">
      <c r="A1935" s="6">
        <v>21</v>
      </c>
      <c r="B1935" s="6">
        <v>29</v>
      </c>
      <c r="C1935" s="6" t="str">
        <f t="shared" si="410"/>
        <v>649421100AINFLATOR, ASP-5.1, P20, SRR, IMI, SERV, NO STUDS5002457455168640</v>
      </c>
      <c r="D1935" s="26" t="s">
        <v>455</v>
      </c>
      <c r="E1935" s="6" t="s">
        <v>469</v>
      </c>
      <c r="F1935" s="6"/>
      <c r="G1935" s="7" t="s">
        <v>16</v>
      </c>
      <c r="H1935" s="19"/>
      <c r="I1935" s="19"/>
      <c r="J1935" s="19"/>
      <c r="K1935" s="19"/>
      <c r="L1935" s="14">
        <v>5002457</v>
      </c>
      <c r="M1935" s="22">
        <v>45516</v>
      </c>
      <c r="N1935" s="19" t="s">
        <v>197</v>
      </c>
      <c r="O1935" s="19" t="s">
        <v>333</v>
      </c>
      <c r="P1935" s="15">
        <v>8640</v>
      </c>
      <c r="Q1935" s="15">
        <v>1662283.96</v>
      </c>
      <c r="R1935" s="15">
        <v>87089500</v>
      </c>
      <c r="S1935" s="15">
        <v>15</v>
      </c>
      <c r="T1935" s="19" t="s">
        <v>428</v>
      </c>
      <c r="U1935" s="19" t="s">
        <v>200</v>
      </c>
      <c r="V1935" s="16">
        <f t="shared" si="402"/>
        <v>249342.59399999998</v>
      </c>
      <c r="W1935" s="16">
        <f t="shared" si="403"/>
        <v>24934.259399999999</v>
      </c>
      <c r="X1935" s="16">
        <f t="shared" si="404"/>
        <v>274276.85339999996</v>
      </c>
      <c r="Y1935" s="16">
        <f t="shared" si="405"/>
        <v>31.745006180555553</v>
      </c>
      <c r="Z1935" s="16">
        <f t="shared" si="406"/>
        <v>192.39397685185185</v>
      </c>
      <c r="AA1935" s="17">
        <f t="shared" si="407"/>
        <v>8640</v>
      </c>
      <c r="AB1935" s="10">
        <v>960</v>
      </c>
      <c r="AC1935" s="18">
        <f t="shared" si="408"/>
        <v>30475.205933333331</v>
      </c>
      <c r="AD1935" s="12">
        <f t="shared" si="393"/>
        <v>7488</v>
      </c>
      <c r="AE1935" s="13">
        <f t="shared" si="409"/>
        <v>1152</v>
      </c>
    </row>
    <row r="1936" spans="1:31">
      <c r="A1936" s="6">
        <v>21</v>
      </c>
      <c r="B1936" s="6">
        <v>30</v>
      </c>
      <c r="C1936" s="6" t="str">
        <f t="shared" si="410"/>
        <v>655116100ALABEL, BLANK, 50.0, 25.0  LABEL, BLANK, 2PCS, 50X98316604531630000</v>
      </c>
      <c r="D1936" s="26" t="s">
        <v>455</v>
      </c>
      <c r="E1936" s="6" t="s">
        <v>49</v>
      </c>
      <c r="F1936" s="6"/>
      <c r="G1936" s="7" t="s">
        <v>11</v>
      </c>
      <c r="H1936" s="19"/>
      <c r="I1936" s="19"/>
      <c r="J1936" s="19"/>
      <c r="K1936" s="19"/>
      <c r="L1936" s="14">
        <v>9831660</v>
      </c>
      <c r="M1936" s="22">
        <v>45316</v>
      </c>
      <c r="N1936" s="19" t="s">
        <v>196</v>
      </c>
      <c r="O1936" s="19" t="s">
        <v>333</v>
      </c>
      <c r="P1936" s="15">
        <v>30000</v>
      </c>
      <c r="Q1936" s="15">
        <v>87652.89</v>
      </c>
      <c r="R1936" s="15">
        <v>87089500</v>
      </c>
      <c r="S1936" s="15">
        <v>15</v>
      </c>
      <c r="T1936" s="19" t="s">
        <v>303</v>
      </c>
      <c r="U1936" s="19" t="s">
        <v>178</v>
      </c>
      <c r="V1936" s="16">
        <f t="shared" si="402"/>
        <v>13147.933499999999</v>
      </c>
      <c r="W1936" s="16">
        <f t="shared" si="403"/>
        <v>1314.7933499999999</v>
      </c>
      <c r="X1936" s="16">
        <f t="shared" si="404"/>
        <v>14462.726849999999</v>
      </c>
      <c r="Y1936" s="16">
        <f t="shared" si="405"/>
        <v>0.48209089499999996</v>
      </c>
      <c r="Z1936" s="16">
        <f t="shared" si="406"/>
        <v>2.9217629999999999</v>
      </c>
      <c r="AA1936" s="17">
        <f t="shared" si="407"/>
        <v>30000</v>
      </c>
      <c r="AB1936" s="10">
        <v>1440</v>
      </c>
      <c r="AC1936" s="18">
        <f t="shared" si="408"/>
        <v>694.21088879999991</v>
      </c>
      <c r="AD1936" s="12">
        <f t="shared" si="393"/>
        <v>24771</v>
      </c>
      <c r="AE1936" s="13">
        <f t="shared" si="409"/>
        <v>5229</v>
      </c>
    </row>
    <row r="1937" spans="1:31">
      <c r="A1937" s="6">
        <v>21</v>
      </c>
      <c r="B1937" s="6">
        <v>31</v>
      </c>
      <c r="C1937" s="6" t="str">
        <f t="shared" si="410"/>
        <v>642837500BLABEL, BLANK, BAR CODE423110045471100000</v>
      </c>
      <c r="D1937" s="26" t="s">
        <v>455</v>
      </c>
      <c r="E1937" s="6" t="s">
        <v>478</v>
      </c>
      <c r="F1937" s="6"/>
      <c r="G1937" s="7" t="s">
        <v>369</v>
      </c>
      <c r="H1937" s="19"/>
      <c r="I1937" s="19"/>
      <c r="J1937" s="19"/>
      <c r="K1937" s="19"/>
      <c r="L1937" s="14">
        <v>4231100</v>
      </c>
      <c r="M1937" s="22">
        <v>45471</v>
      </c>
      <c r="N1937" s="19" t="s">
        <v>196</v>
      </c>
      <c r="O1937" s="19" t="s">
        <v>333</v>
      </c>
      <c r="P1937" s="15">
        <v>100000</v>
      </c>
      <c r="Q1937" s="15">
        <v>17200.07</v>
      </c>
      <c r="R1937" s="15">
        <v>87089500</v>
      </c>
      <c r="S1937" s="15">
        <v>15</v>
      </c>
      <c r="T1937" s="19" t="s">
        <v>351</v>
      </c>
      <c r="U1937" s="19" t="s">
        <v>178</v>
      </c>
      <c r="V1937" s="16">
        <f t="shared" si="402"/>
        <v>2580.0104999999999</v>
      </c>
      <c r="W1937" s="16">
        <f t="shared" si="403"/>
        <v>258.00105000000002</v>
      </c>
      <c r="X1937" s="16">
        <f t="shared" si="404"/>
        <v>2838.0115499999997</v>
      </c>
      <c r="Y1937" s="16">
        <f t="shared" si="405"/>
        <v>2.8380115499999997E-2</v>
      </c>
      <c r="Z1937" s="16">
        <f t="shared" si="406"/>
        <v>0.17200070000000001</v>
      </c>
      <c r="AA1937" s="17">
        <f t="shared" si="407"/>
        <v>100000</v>
      </c>
      <c r="AB1937" s="10">
        <v>3312</v>
      </c>
      <c r="AC1937" s="18">
        <f t="shared" si="408"/>
        <v>93.994942535999996</v>
      </c>
      <c r="AD1937" s="12">
        <f t="shared" si="393"/>
        <v>84578</v>
      </c>
      <c r="AE1937" s="13">
        <f t="shared" si="409"/>
        <v>15422</v>
      </c>
    </row>
    <row r="1938" spans="1:31">
      <c r="A1938" s="6">
        <v>21</v>
      </c>
      <c r="B1938" s="6">
        <v>32</v>
      </c>
      <c r="C1938" s="6" t="str">
        <f t="shared" si="410"/>
        <v>622408300ALABEL, BLANK, BAR CODE,964466545303100000</v>
      </c>
      <c r="D1938" s="26" t="s">
        <v>455</v>
      </c>
      <c r="E1938" s="6" t="s">
        <v>473</v>
      </c>
      <c r="F1938" s="6"/>
      <c r="G1938" s="7" t="s">
        <v>239</v>
      </c>
      <c r="H1938" s="19"/>
      <c r="I1938" s="19"/>
      <c r="J1938" s="19"/>
      <c r="K1938" s="19"/>
      <c r="L1938" s="14">
        <v>9644665</v>
      </c>
      <c r="M1938" s="22">
        <v>45303</v>
      </c>
      <c r="N1938" s="19" t="s">
        <v>196</v>
      </c>
      <c r="O1938" s="19" t="s">
        <v>333</v>
      </c>
      <c r="P1938" s="15">
        <v>100000</v>
      </c>
      <c r="Q1938" s="15">
        <v>69765.98</v>
      </c>
      <c r="R1938" s="15">
        <v>87089500</v>
      </c>
      <c r="S1938" s="15">
        <v>15</v>
      </c>
      <c r="T1938" s="19" t="s">
        <v>351</v>
      </c>
      <c r="U1938" s="19" t="s">
        <v>178</v>
      </c>
      <c r="V1938" s="16">
        <f t="shared" si="402"/>
        <v>10464.896999999999</v>
      </c>
      <c r="W1938" s="16">
        <f t="shared" si="403"/>
        <v>1046.4896999999999</v>
      </c>
      <c r="X1938" s="16">
        <f t="shared" si="404"/>
        <v>11511.386699999999</v>
      </c>
      <c r="Y1938" s="16">
        <f t="shared" si="405"/>
        <v>0.11511386699999999</v>
      </c>
      <c r="Z1938" s="16">
        <f t="shared" si="406"/>
        <v>0.69765979999999994</v>
      </c>
      <c r="AA1938" s="17">
        <f t="shared" si="407"/>
        <v>100000</v>
      </c>
      <c r="AB1938" s="10">
        <v>1152</v>
      </c>
      <c r="AC1938" s="18">
        <f t="shared" si="408"/>
        <v>132.61117478399999</v>
      </c>
      <c r="AD1938" s="12">
        <f t="shared" si="393"/>
        <v>98136</v>
      </c>
      <c r="AE1938" s="13">
        <f t="shared" si="409"/>
        <v>1864</v>
      </c>
    </row>
    <row r="1939" spans="1:31">
      <c r="A1939" s="6">
        <v>21</v>
      </c>
      <c r="B1939" s="6">
        <v>33</v>
      </c>
      <c r="C1939" s="6" t="str">
        <f t="shared" si="410"/>
        <v>630580800ALABEL, RAW MATERIAL, BLA K12 TPC BUCKLE5160585449362400000</v>
      </c>
      <c r="D1939" s="26" t="s">
        <v>455</v>
      </c>
      <c r="E1939" s="6" t="s">
        <v>71</v>
      </c>
      <c r="F1939" s="6"/>
      <c r="G1939" s="7" t="s">
        <v>31</v>
      </c>
      <c r="H1939" s="19"/>
      <c r="I1939" s="19"/>
      <c r="J1939" s="19"/>
      <c r="K1939" s="19"/>
      <c r="L1939" s="14">
        <v>5160585</v>
      </c>
      <c r="M1939" s="22">
        <v>44936</v>
      </c>
      <c r="N1939" s="19" t="s">
        <v>196</v>
      </c>
      <c r="O1939" s="19" t="s">
        <v>333</v>
      </c>
      <c r="P1939" s="15">
        <v>2400000</v>
      </c>
      <c r="Q1939" s="15">
        <v>86522.34</v>
      </c>
      <c r="R1939" s="15">
        <v>87082900</v>
      </c>
      <c r="S1939" s="15">
        <v>15</v>
      </c>
      <c r="T1939" s="19" t="s">
        <v>265</v>
      </c>
      <c r="U1939" s="19" t="s">
        <v>178</v>
      </c>
      <c r="V1939" s="16">
        <f t="shared" si="402"/>
        <v>12978.350999999999</v>
      </c>
      <c r="W1939" s="16">
        <f t="shared" si="403"/>
        <v>1297.8351</v>
      </c>
      <c r="X1939" s="16">
        <f t="shared" si="404"/>
        <v>14276.186099999999</v>
      </c>
      <c r="Y1939" s="16">
        <f t="shared" si="405"/>
        <v>5.9484108749999999E-3</v>
      </c>
      <c r="Z1939" s="16">
        <f t="shared" si="406"/>
        <v>3.6050974999999999E-2</v>
      </c>
      <c r="AA1939" s="17">
        <f t="shared" si="407"/>
        <v>2400000</v>
      </c>
      <c r="AB1939" s="10">
        <v>22392</v>
      </c>
      <c r="AC1939" s="18">
        <f t="shared" si="408"/>
        <v>133.196816313</v>
      </c>
      <c r="AD1939" s="12">
        <f t="shared" si="393"/>
        <v>548546</v>
      </c>
      <c r="AE1939" s="13">
        <f t="shared" si="409"/>
        <v>1851454</v>
      </c>
    </row>
    <row r="1940" spans="1:31">
      <c r="A1940" s="6">
        <v>21</v>
      </c>
      <c r="B1940" s="6">
        <v>34</v>
      </c>
      <c r="C1940" s="6" t="str">
        <f t="shared" si="410"/>
        <v>560762022ALATCH, BUCKLE, K12 ROADM K12A/AT, SILVER, LATCH W490021945510300000</v>
      </c>
      <c r="D1940" s="26" t="s">
        <v>455</v>
      </c>
      <c r="E1940" s="6" t="s">
        <v>74</v>
      </c>
      <c r="F1940" s="6"/>
      <c r="G1940" s="7" t="s">
        <v>34</v>
      </c>
      <c r="H1940" s="19"/>
      <c r="I1940" s="19"/>
      <c r="J1940" s="19"/>
      <c r="K1940" s="19"/>
      <c r="L1940" s="14">
        <v>4900219</v>
      </c>
      <c r="M1940" s="22">
        <v>45510</v>
      </c>
      <c r="N1940" s="19" t="s">
        <v>197</v>
      </c>
      <c r="O1940" s="19" t="s">
        <v>333</v>
      </c>
      <c r="P1940" s="15">
        <v>300000</v>
      </c>
      <c r="Q1940" s="15">
        <v>2503177.2999999998</v>
      </c>
      <c r="R1940" s="15">
        <v>87082900</v>
      </c>
      <c r="S1940" s="15">
        <v>15</v>
      </c>
      <c r="T1940" s="19" t="s">
        <v>429</v>
      </c>
      <c r="U1940" s="19" t="s">
        <v>178</v>
      </c>
      <c r="V1940" s="16">
        <f t="shared" si="402"/>
        <v>375476.59499999997</v>
      </c>
      <c r="W1940" s="16">
        <f t="shared" si="403"/>
        <v>37547.659500000002</v>
      </c>
      <c r="X1940" s="16">
        <f t="shared" si="404"/>
        <v>413024.25449999998</v>
      </c>
      <c r="Y1940" s="16">
        <f t="shared" si="405"/>
        <v>1.3767475149999999</v>
      </c>
      <c r="Z1940" s="16">
        <f t="shared" si="406"/>
        <v>8.3439243333333319</v>
      </c>
      <c r="AA1940" s="17">
        <f t="shared" si="407"/>
        <v>300000</v>
      </c>
      <c r="AB1940" s="10">
        <v>5344</v>
      </c>
      <c r="AC1940" s="18">
        <f t="shared" si="408"/>
        <v>7357.3387201599999</v>
      </c>
      <c r="AD1940" s="12">
        <f t="shared" si="393"/>
        <v>19072</v>
      </c>
      <c r="AE1940" s="13">
        <f t="shared" si="409"/>
        <v>280928</v>
      </c>
    </row>
    <row r="1941" spans="1:31">
      <c r="A1941" s="6">
        <v>21</v>
      </c>
      <c r="B1941" s="6">
        <v>35</v>
      </c>
      <c r="C1941" s="6" t="str">
        <f t="shared" si="410"/>
        <v>601472600ALATCH, RETRACTOR, R27, A ALL VERSIONS421598844951162000</v>
      </c>
      <c r="D1941" s="26" t="s">
        <v>455</v>
      </c>
      <c r="E1941" s="6" t="s">
        <v>63</v>
      </c>
      <c r="F1941" s="6"/>
      <c r="G1941" s="7" t="s">
        <v>23</v>
      </c>
      <c r="H1941" s="19"/>
      <c r="I1941" s="19"/>
      <c r="J1941" s="19"/>
      <c r="K1941" s="19"/>
      <c r="L1941" s="14">
        <v>4215988</v>
      </c>
      <c r="M1941" s="22">
        <v>44951</v>
      </c>
      <c r="N1941" s="19" t="s">
        <v>199</v>
      </c>
      <c r="O1941" s="19" t="s">
        <v>332</v>
      </c>
      <c r="P1941" s="15">
        <v>162000</v>
      </c>
      <c r="Q1941" s="15">
        <v>1167023.94</v>
      </c>
      <c r="R1941" s="15">
        <v>87082900</v>
      </c>
      <c r="S1941" s="15">
        <v>15</v>
      </c>
      <c r="T1941" s="19" t="s">
        <v>313</v>
      </c>
      <c r="U1941" s="19" t="s">
        <v>178</v>
      </c>
      <c r="V1941" s="16">
        <f t="shared" si="402"/>
        <v>175053.59099999999</v>
      </c>
      <c r="W1941" s="16">
        <f t="shared" si="403"/>
        <v>17505.359099999998</v>
      </c>
      <c r="X1941" s="16">
        <f t="shared" si="404"/>
        <v>192558.95009999999</v>
      </c>
      <c r="Y1941" s="16">
        <f t="shared" si="405"/>
        <v>1.1886354944444444</v>
      </c>
      <c r="Z1941" s="16">
        <f t="shared" si="406"/>
        <v>7.2038514814814816</v>
      </c>
      <c r="AA1941" s="17">
        <f t="shared" si="407"/>
        <v>162000</v>
      </c>
      <c r="AB1941" s="10">
        <v>5976</v>
      </c>
      <c r="AC1941" s="18">
        <f t="shared" si="408"/>
        <v>7103.2857147999994</v>
      </c>
      <c r="AD1941" s="12">
        <f t="shared" si="393"/>
        <v>86652</v>
      </c>
      <c r="AE1941" s="13">
        <f t="shared" si="409"/>
        <v>75348</v>
      </c>
    </row>
    <row r="1942" spans="1:31">
      <c r="A1942" s="6">
        <v>21</v>
      </c>
      <c r="B1942" s="6">
        <v>36</v>
      </c>
      <c r="C1942" s="6" t="str">
        <f t="shared" si="410"/>
        <v>652466500ALEATHER, HIDE TOP GRAIN, OBSIDIAN BLACK, NNB, BLA928450045751534.88</v>
      </c>
      <c r="D1942" s="26" t="s">
        <v>455</v>
      </c>
      <c r="E1942" s="6" t="s">
        <v>163</v>
      </c>
      <c r="F1942" s="6"/>
      <c r="G1942" s="7" t="s">
        <v>141</v>
      </c>
      <c r="H1942" s="19"/>
      <c r="I1942" s="19"/>
      <c r="J1942" s="19"/>
      <c r="K1942" s="19"/>
      <c r="L1942" s="14">
        <v>9284500</v>
      </c>
      <c r="M1942" s="22">
        <v>45751</v>
      </c>
      <c r="N1942" s="19" t="s">
        <v>190</v>
      </c>
      <c r="O1942" s="19" t="s">
        <v>383</v>
      </c>
      <c r="P1942" s="15">
        <v>534.88</v>
      </c>
      <c r="Q1942" s="15">
        <v>1163985.5</v>
      </c>
      <c r="R1942" s="15">
        <v>41071200</v>
      </c>
      <c r="S1942" s="15">
        <v>0</v>
      </c>
      <c r="T1942" s="19" t="s">
        <v>442</v>
      </c>
      <c r="U1942" s="19" t="s">
        <v>178</v>
      </c>
      <c r="V1942" s="16">
        <f t="shared" si="402"/>
        <v>0</v>
      </c>
      <c r="W1942" s="16">
        <f t="shared" si="403"/>
        <v>0</v>
      </c>
      <c r="X1942" s="16">
        <f t="shared" si="404"/>
        <v>0</v>
      </c>
      <c r="Y1942" s="16">
        <f t="shared" si="405"/>
        <v>0</v>
      </c>
      <c r="Z1942" s="16">
        <f t="shared" si="406"/>
        <v>2176.1619428656895</v>
      </c>
      <c r="AA1942" s="17">
        <f t="shared" si="407"/>
        <v>534.88</v>
      </c>
      <c r="AB1942" s="10">
        <v>534.88</v>
      </c>
      <c r="AC1942" s="18">
        <f t="shared" si="408"/>
        <v>0</v>
      </c>
      <c r="AD1942" s="12">
        <f t="shared" si="393"/>
        <v>534.88</v>
      </c>
      <c r="AE1942" s="13">
        <f t="shared" si="409"/>
        <v>0</v>
      </c>
    </row>
    <row r="1943" spans="1:31">
      <c r="A1943" s="6">
        <v>21</v>
      </c>
      <c r="B1943" s="6">
        <v>37</v>
      </c>
      <c r="C1943" s="6" t="str">
        <f t="shared" si="410"/>
        <v>652466500ALEATHER, HIDE TOP GRAIN, OBSIDIAN BLACK, NNB, BLA928450045751549.56</v>
      </c>
      <c r="D1943" s="26" t="s">
        <v>455</v>
      </c>
      <c r="E1943" s="6" t="s">
        <v>163</v>
      </c>
      <c r="F1943" s="6"/>
      <c r="G1943" s="7" t="s">
        <v>141</v>
      </c>
      <c r="H1943" s="19"/>
      <c r="I1943" s="19"/>
      <c r="J1943" s="19"/>
      <c r="K1943" s="19"/>
      <c r="L1943" s="14">
        <v>9284500</v>
      </c>
      <c r="M1943" s="22">
        <v>45751</v>
      </c>
      <c r="N1943" s="19" t="s">
        <v>190</v>
      </c>
      <c r="O1943" s="19" t="s">
        <v>383</v>
      </c>
      <c r="P1943" s="15">
        <v>549.55999999999995</v>
      </c>
      <c r="Q1943" s="15">
        <v>1195931.6100000001</v>
      </c>
      <c r="R1943" s="15">
        <v>41071200</v>
      </c>
      <c r="S1943" s="15">
        <v>0</v>
      </c>
      <c r="T1943" s="19" t="s">
        <v>442</v>
      </c>
      <c r="U1943" s="19" t="s">
        <v>178</v>
      </c>
      <c r="V1943" s="16">
        <f t="shared" si="402"/>
        <v>0</v>
      </c>
      <c r="W1943" s="16">
        <f t="shared" si="403"/>
        <v>0</v>
      </c>
      <c r="X1943" s="16">
        <f t="shared" si="404"/>
        <v>0</v>
      </c>
      <c r="Y1943" s="16">
        <f t="shared" si="405"/>
        <v>0</v>
      </c>
      <c r="Z1943" s="16">
        <f t="shared" si="406"/>
        <v>2176.1620387218868</v>
      </c>
      <c r="AA1943" s="17">
        <f t="shared" si="407"/>
        <v>549.55999999999995</v>
      </c>
      <c r="AB1943" s="10">
        <v>549.55999999999995</v>
      </c>
      <c r="AC1943" s="18">
        <f t="shared" si="408"/>
        <v>0</v>
      </c>
      <c r="AD1943" s="12">
        <f t="shared" si="393"/>
        <v>549.55999999999995</v>
      </c>
      <c r="AE1943" s="13">
        <f t="shared" si="409"/>
        <v>0</v>
      </c>
    </row>
    <row r="1944" spans="1:31">
      <c r="A1944" s="6">
        <v>21</v>
      </c>
      <c r="B1944" s="6">
        <v>38</v>
      </c>
      <c r="C1944" s="6" t="str">
        <f t="shared" si="410"/>
        <v>652466500ALEATHER, HIDE TOP GRAIN, OBSIDIAN BLACK, NNB, BLA928450045751553.19</v>
      </c>
      <c r="D1944" s="26" t="s">
        <v>455</v>
      </c>
      <c r="E1944" s="6" t="s">
        <v>163</v>
      </c>
      <c r="F1944" s="6"/>
      <c r="G1944" s="7" t="s">
        <v>141</v>
      </c>
      <c r="H1944" s="19"/>
      <c r="I1944" s="19"/>
      <c r="J1944" s="19"/>
      <c r="K1944" s="19"/>
      <c r="L1944" s="14">
        <v>9284500</v>
      </c>
      <c r="M1944" s="22">
        <v>45751</v>
      </c>
      <c r="N1944" s="19" t="s">
        <v>190</v>
      </c>
      <c r="O1944" s="19" t="s">
        <v>383</v>
      </c>
      <c r="P1944" s="15">
        <v>553.19000000000005</v>
      </c>
      <c r="Q1944" s="15">
        <v>1203831.6599999999</v>
      </c>
      <c r="R1944" s="15">
        <v>41071200</v>
      </c>
      <c r="S1944" s="15">
        <v>0</v>
      </c>
      <c r="T1944" s="19" t="s">
        <v>442</v>
      </c>
      <c r="U1944" s="19" t="s">
        <v>178</v>
      </c>
      <c r="V1944" s="16">
        <f t="shared" si="402"/>
        <v>0</v>
      </c>
      <c r="W1944" s="16">
        <f t="shared" si="403"/>
        <v>0</v>
      </c>
      <c r="X1944" s="16">
        <f t="shared" si="404"/>
        <v>0</v>
      </c>
      <c r="Y1944" s="16">
        <f t="shared" si="405"/>
        <v>0</v>
      </c>
      <c r="Z1944" s="16">
        <f t="shared" si="406"/>
        <v>2176.1630904390895</v>
      </c>
      <c r="AA1944" s="17">
        <f t="shared" si="407"/>
        <v>553.19000000000005</v>
      </c>
      <c r="AB1944" s="10">
        <v>553.19000000000005</v>
      </c>
      <c r="AC1944" s="18">
        <f t="shared" si="408"/>
        <v>0</v>
      </c>
      <c r="AD1944" s="12">
        <f t="shared" si="393"/>
        <v>553.19000000000005</v>
      </c>
      <c r="AE1944" s="13">
        <f t="shared" si="409"/>
        <v>0</v>
      </c>
    </row>
    <row r="1945" spans="1:31">
      <c r="A1945" s="6">
        <v>21</v>
      </c>
      <c r="B1945" s="6">
        <v>39</v>
      </c>
      <c r="C1945" s="6" t="str">
        <f t="shared" si="410"/>
        <v>652466500ALEATHER, HIDE TOP GRAIN, OBSIDIAN BLACK, NNB, BLA928450045751598.85</v>
      </c>
      <c r="D1945" s="26" t="s">
        <v>455</v>
      </c>
      <c r="E1945" s="6" t="s">
        <v>163</v>
      </c>
      <c r="F1945" s="6"/>
      <c r="G1945" s="7" t="s">
        <v>141</v>
      </c>
      <c r="H1945" s="19"/>
      <c r="I1945" s="19"/>
      <c r="J1945" s="19"/>
      <c r="K1945" s="19"/>
      <c r="L1945" s="14">
        <v>9284500</v>
      </c>
      <c r="M1945" s="22">
        <v>45751</v>
      </c>
      <c r="N1945" s="19" t="s">
        <v>190</v>
      </c>
      <c r="O1945" s="19" t="s">
        <v>383</v>
      </c>
      <c r="P1945" s="15">
        <v>598.85</v>
      </c>
      <c r="Q1945" s="15">
        <v>1303194.79</v>
      </c>
      <c r="R1945" s="15">
        <v>41071200</v>
      </c>
      <c r="S1945" s="15">
        <v>0</v>
      </c>
      <c r="T1945" s="19" t="s">
        <v>442</v>
      </c>
      <c r="U1945" s="19" t="s">
        <v>178</v>
      </c>
      <c r="V1945" s="16">
        <f t="shared" si="402"/>
        <v>0</v>
      </c>
      <c r="W1945" s="16">
        <f t="shared" si="403"/>
        <v>0</v>
      </c>
      <c r="X1945" s="16">
        <f t="shared" si="404"/>
        <v>0</v>
      </c>
      <c r="Y1945" s="16">
        <f t="shared" si="405"/>
        <v>0</v>
      </c>
      <c r="Z1945" s="16">
        <f t="shared" si="406"/>
        <v>2176.1622943975954</v>
      </c>
      <c r="AA1945" s="17">
        <f t="shared" si="407"/>
        <v>598.85</v>
      </c>
      <c r="AB1945" s="10">
        <v>391.25</v>
      </c>
      <c r="AC1945" s="18">
        <f t="shared" si="408"/>
        <v>0</v>
      </c>
      <c r="AD1945" s="12">
        <f t="shared" si="393"/>
        <v>391.25</v>
      </c>
      <c r="AE1945" s="13">
        <f t="shared" si="409"/>
        <v>207.60000000000002</v>
      </c>
    </row>
    <row r="1946" spans="1:31">
      <c r="A1946" s="6">
        <v>21</v>
      </c>
      <c r="B1946" s="6">
        <v>40</v>
      </c>
      <c r="C1946" s="6" t="str">
        <f t="shared" si="410"/>
        <v>618472000BLEVER, CAR SENS, RETRACT ALL VERSIONS, NOISE REDU408531144933170000</v>
      </c>
      <c r="D1946" s="26" t="s">
        <v>455</v>
      </c>
      <c r="E1946" s="6" t="s">
        <v>69</v>
      </c>
      <c r="F1946" s="6"/>
      <c r="G1946" s="7" t="s">
        <v>29</v>
      </c>
      <c r="H1946" s="19"/>
      <c r="I1946" s="19"/>
      <c r="J1946" s="19"/>
      <c r="K1946" s="19"/>
      <c r="L1946" s="14">
        <v>4085311</v>
      </c>
      <c r="M1946" s="22">
        <v>44933</v>
      </c>
      <c r="N1946" s="19" t="s">
        <v>196</v>
      </c>
      <c r="O1946" s="19" t="s">
        <v>333</v>
      </c>
      <c r="P1946" s="15">
        <v>170000</v>
      </c>
      <c r="Q1946" s="15">
        <v>247799.42</v>
      </c>
      <c r="R1946" s="15">
        <v>87082900</v>
      </c>
      <c r="S1946" s="15">
        <v>15</v>
      </c>
      <c r="T1946" s="19" t="s">
        <v>316</v>
      </c>
      <c r="U1946" s="19" t="s">
        <v>178</v>
      </c>
      <c r="V1946" s="16">
        <f t="shared" si="402"/>
        <v>37169.913</v>
      </c>
      <c r="W1946" s="16">
        <f t="shared" si="403"/>
        <v>3716.9913000000001</v>
      </c>
      <c r="X1946" s="16">
        <f t="shared" si="404"/>
        <v>40886.904300000002</v>
      </c>
      <c r="Y1946" s="16">
        <f t="shared" si="405"/>
        <v>0.24051120176470589</v>
      </c>
      <c r="Z1946" s="16">
        <f t="shared" si="406"/>
        <v>1.4576436470588237</v>
      </c>
      <c r="AA1946" s="17">
        <f t="shared" si="407"/>
        <v>170000</v>
      </c>
      <c r="AB1946" s="10">
        <v>5976</v>
      </c>
      <c r="AC1946" s="18">
        <f t="shared" si="408"/>
        <v>1437.2949417458824</v>
      </c>
      <c r="AD1946" s="12">
        <f t="shared" si="393"/>
        <v>86652</v>
      </c>
      <c r="AE1946" s="13">
        <f t="shared" si="409"/>
        <v>83348</v>
      </c>
    </row>
    <row r="1947" spans="1:31">
      <c r="A1947" s="6">
        <v>21</v>
      </c>
      <c r="B1947" s="6">
        <v>41</v>
      </c>
      <c r="C1947" s="6" t="str">
        <f t="shared" si="410"/>
        <v>600188700BLEVER, WEB SENS, RETRACT ALL VERSIONS421599144956270000</v>
      </c>
      <c r="D1947" s="26" t="s">
        <v>455</v>
      </c>
      <c r="E1947" s="6" t="s">
        <v>60</v>
      </c>
      <c r="F1947" s="6"/>
      <c r="G1947" s="7" t="s">
        <v>20</v>
      </c>
      <c r="H1947" s="19"/>
      <c r="I1947" s="19"/>
      <c r="J1947" s="19"/>
      <c r="K1947" s="19"/>
      <c r="L1947" s="14">
        <v>4215991</v>
      </c>
      <c r="M1947" s="22">
        <v>44956</v>
      </c>
      <c r="N1947" s="19" t="s">
        <v>199</v>
      </c>
      <c r="O1947" s="19" t="s">
        <v>332</v>
      </c>
      <c r="P1947" s="15">
        <v>270000</v>
      </c>
      <c r="Q1947" s="15">
        <v>1513733.76</v>
      </c>
      <c r="R1947" s="15">
        <v>87082900</v>
      </c>
      <c r="S1947" s="15">
        <v>15</v>
      </c>
      <c r="T1947" s="19" t="s">
        <v>310</v>
      </c>
      <c r="U1947" s="19" t="s">
        <v>178</v>
      </c>
      <c r="V1947" s="16">
        <f t="shared" si="402"/>
        <v>227060.06399999998</v>
      </c>
      <c r="W1947" s="16">
        <f t="shared" si="403"/>
        <v>22706.006399999998</v>
      </c>
      <c r="X1947" s="16">
        <f t="shared" si="404"/>
        <v>249766.07039999997</v>
      </c>
      <c r="Y1947" s="16">
        <f t="shared" si="405"/>
        <v>0.92505951999999991</v>
      </c>
      <c r="Z1947" s="16">
        <f t="shared" si="406"/>
        <v>5.6064213333333335</v>
      </c>
      <c r="AA1947" s="17">
        <f t="shared" si="407"/>
        <v>270000</v>
      </c>
      <c r="AB1947" s="10">
        <v>5976</v>
      </c>
      <c r="AC1947" s="18">
        <f t="shared" si="408"/>
        <v>5528.1556915199999</v>
      </c>
      <c r="AD1947" s="12">
        <f t="shared" si="393"/>
        <v>86652</v>
      </c>
      <c r="AE1947" s="13">
        <f t="shared" si="409"/>
        <v>183348</v>
      </c>
    </row>
    <row r="1948" spans="1:31">
      <c r="A1948" s="6">
        <v>21</v>
      </c>
      <c r="B1948" s="6">
        <v>42</v>
      </c>
      <c r="C1948" s="6" t="str">
        <f t="shared" si="410"/>
        <v>604213200ALOCKING BAR, BUCKLE, K12 K12A/AT, L=34.3, silver415111844909306000</v>
      </c>
      <c r="D1948" s="26" t="s">
        <v>455</v>
      </c>
      <c r="E1948" s="6" t="s">
        <v>75</v>
      </c>
      <c r="F1948" s="6"/>
      <c r="G1948" s="7" t="s">
        <v>35</v>
      </c>
      <c r="H1948" s="19"/>
      <c r="I1948" s="19"/>
      <c r="J1948" s="19"/>
      <c r="K1948" s="19"/>
      <c r="L1948" s="14">
        <v>4151118</v>
      </c>
      <c r="M1948" s="22">
        <v>44909</v>
      </c>
      <c r="N1948" s="19" t="s">
        <v>199</v>
      </c>
      <c r="O1948" s="19" t="s">
        <v>332</v>
      </c>
      <c r="P1948" s="15">
        <v>306000</v>
      </c>
      <c r="Q1948" s="15">
        <v>347494.89</v>
      </c>
      <c r="R1948" s="15">
        <v>87082900</v>
      </c>
      <c r="S1948" s="15">
        <v>15</v>
      </c>
      <c r="T1948" s="19" t="s">
        <v>319</v>
      </c>
      <c r="U1948" s="19" t="s">
        <v>178</v>
      </c>
      <c r="V1948" s="16">
        <f t="shared" si="402"/>
        <v>52124.233500000002</v>
      </c>
      <c r="W1948" s="16">
        <f t="shared" si="403"/>
        <v>5212.4233500000009</v>
      </c>
      <c r="X1948" s="16">
        <f t="shared" si="404"/>
        <v>57336.656849999999</v>
      </c>
      <c r="Y1948" s="16">
        <f t="shared" si="405"/>
        <v>0.1873746955882353</v>
      </c>
      <c r="Z1948" s="16">
        <f t="shared" si="406"/>
        <v>1.1356042156862745</v>
      </c>
      <c r="AA1948" s="17">
        <f t="shared" si="407"/>
        <v>306000</v>
      </c>
      <c r="AB1948" s="10">
        <v>5344</v>
      </c>
      <c r="AC1948" s="18">
        <f t="shared" si="408"/>
        <v>1001.3303732235295</v>
      </c>
      <c r="AD1948" s="12">
        <f t="shared" si="393"/>
        <v>94048</v>
      </c>
      <c r="AE1948" s="13">
        <f t="shared" si="409"/>
        <v>211952</v>
      </c>
    </row>
    <row r="1949" spans="1:31">
      <c r="A1949" s="6">
        <v>21</v>
      </c>
      <c r="B1949" s="6">
        <v>43</v>
      </c>
      <c r="C1949" s="6" t="str">
        <f t="shared" si="410"/>
        <v>618472300CMASS, CAR SENS, RETRACTO ALL VERSIONS, CAR 2-PIN406183045012209560</v>
      </c>
      <c r="D1949" s="26" t="s">
        <v>455</v>
      </c>
      <c r="E1949" s="6" t="s">
        <v>70</v>
      </c>
      <c r="F1949" s="6"/>
      <c r="G1949" s="7" t="s">
        <v>30</v>
      </c>
      <c r="H1949" s="19"/>
      <c r="I1949" s="19"/>
      <c r="J1949" s="19"/>
      <c r="K1949" s="19"/>
      <c r="L1949" s="14">
        <v>4061830</v>
      </c>
      <c r="M1949" s="22">
        <v>45012</v>
      </c>
      <c r="N1949" s="19" t="s">
        <v>196</v>
      </c>
      <c r="O1949" s="19" t="s">
        <v>333</v>
      </c>
      <c r="P1949" s="15">
        <v>209560</v>
      </c>
      <c r="Q1949" s="15">
        <v>786307.66</v>
      </c>
      <c r="R1949" s="15">
        <v>87082900</v>
      </c>
      <c r="S1949" s="15">
        <v>15</v>
      </c>
      <c r="T1949" s="19" t="s">
        <v>317</v>
      </c>
      <c r="U1949" s="19" t="s">
        <v>178</v>
      </c>
      <c r="V1949" s="16">
        <f t="shared" si="402"/>
        <v>117946.149</v>
      </c>
      <c r="W1949" s="16">
        <f t="shared" si="403"/>
        <v>11794.6149</v>
      </c>
      <c r="X1949" s="16">
        <f t="shared" si="404"/>
        <v>129740.76390000001</v>
      </c>
      <c r="Y1949" s="16">
        <f t="shared" si="405"/>
        <v>0.61911034500858941</v>
      </c>
      <c r="Z1949" s="16">
        <f t="shared" si="406"/>
        <v>3.7521839091429663</v>
      </c>
      <c r="AA1949" s="17">
        <f t="shared" si="407"/>
        <v>209560</v>
      </c>
      <c r="AB1949" s="10">
        <v>5976</v>
      </c>
      <c r="AC1949" s="18">
        <f t="shared" si="408"/>
        <v>3699.8034217713302</v>
      </c>
      <c r="AD1949" s="12">
        <f t="shared" si="393"/>
        <v>86652</v>
      </c>
      <c r="AE1949" s="13">
        <f t="shared" si="409"/>
        <v>122908</v>
      </c>
    </row>
    <row r="1950" spans="1:31">
      <c r="A1950" s="6">
        <v>21</v>
      </c>
      <c r="B1950" s="6">
        <v>44</v>
      </c>
      <c r="C1950" s="6" t="str">
        <f t="shared" si="410"/>
        <v>661147800BMetal Emblem, HMC,64468564559712960</v>
      </c>
      <c r="D1950" s="26" t="s">
        <v>455</v>
      </c>
      <c r="E1950" s="6" t="s">
        <v>479</v>
      </c>
      <c r="F1950" s="6"/>
      <c r="G1950" s="7" t="s">
        <v>395</v>
      </c>
      <c r="H1950" s="19"/>
      <c r="I1950" s="19"/>
      <c r="J1950" s="19"/>
      <c r="K1950" s="19"/>
      <c r="L1950" s="14">
        <v>6446856</v>
      </c>
      <c r="M1950" s="22">
        <v>45597</v>
      </c>
      <c r="N1950" s="19" t="s">
        <v>196</v>
      </c>
      <c r="O1950" s="19" t="s">
        <v>333</v>
      </c>
      <c r="P1950" s="15">
        <v>12960</v>
      </c>
      <c r="Q1950" s="15">
        <v>4105628.64</v>
      </c>
      <c r="R1950" s="15">
        <v>87089500</v>
      </c>
      <c r="S1950" s="15">
        <v>15</v>
      </c>
      <c r="T1950" s="19" t="s">
        <v>398</v>
      </c>
      <c r="U1950" s="19" t="s">
        <v>178</v>
      </c>
      <c r="V1950" s="16">
        <f t="shared" si="402"/>
        <v>615844.29599999997</v>
      </c>
      <c r="W1950" s="16">
        <f t="shared" si="403"/>
        <v>61584.429600000003</v>
      </c>
      <c r="X1950" s="16">
        <f t="shared" si="404"/>
        <v>677428.72560000001</v>
      </c>
      <c r="Y1950" s="16">
        <f t="shared" si="405"/>
        <v>52.270735000000002</v>
      </c>
      <c r="Z1950" s="16">
        <f t="shared" si="406"/>
        <v>316.79233333333332</v>
      </c>
      <c r="AA1950" s="17">
        <f t="shared" si="407"/>
        <v>12960</v>
      </c>
      <c r="AB1950" s="10">
        <v>216</v>
      </c>
      <c r="AC1950" s="18">
        <f t="shared" si="408"/>
        <v>11290.47876</v>
      </c>
      <c r="AD1950" s="12">
        <f t="shared" si="393"/>
        <v>10453</v>
      </c>
      <c r="AE1950" s="13">
        <f t="shared" si="409"/>
        <v>2507</v>
      </c>
    </row>
    <row r="1951" spans="1:31">
      <c r="A1951" s="6">
        <v>21</v>
      </c>
      <c r="B1951" s="6">
        <v>45</v>
      </c>
      <c r="C1951" s="6" t="str">
        <f t="shared" si="410"/>
        <v>621343500CNUT, ISO, M5, NYLON INSE NYLON INSERT2175457453381105000</v>
      </c>
      <c r="D1951" s="26" t="s">
        <v>455</v>
      </c>
      <c r="E1951" s="6" t="s">
        <v>45</v>
      </c>
      <c r="F1951" s="6"/>
      <c r="G1951" s="7" t="s">
        <v>7</v>
      </c>
      <c r="H1951" s="19"/>
      <c r="I1951" s="19"/>
      <c r="J1951" s="19"/>
      <c r="K1951" s="19"/>
      <c r="L1951" s="14">
        <v>2175457</v>
      </c>
      <c r="M1951" s="22">
        <v>45338</v>
      </c>
      <c r="N1951" s="19" t="s">
        <v>182</v>
      </c>
      <c r="O1951" s="19" t="s">
        <v>333</v>
      </c>
      <c r="P1951" s="15">
        <v>1105000</v>
      </c>
      <c r="Q1951" s="15">
        <v>1881273.11</v>
      </c>
      <c r="R1951" s="15">
        <v>87089500</v>
      </c>
      <c r="S1951" s="15">
        <v>15</v>
      </c>
      <c r="T1951" s="19" t="s">
        <v>404</v>
      </c>
      <c r="U1951" s="19" t="s">
        <v>178</v>
      </c>
      <c r="V1951" s="16">
        <f t="shared" si="402"/>
        <v>282190.96649999998</v>
      </c>
      <c r="W1951" s="16">
        <f t="shared" si="403"/>
        <v>28219.096649999999</v>
      </c>
      <c r="X1951" s="16">
        <f t="shared" si="404"/>
        <v>310410.06315</v>
      </c>
      <c r="Y1951" s="16">
        <f t="shared" si="405"/>
        <v>0.28091408429864251</v>
      </c>
      <c r="Z1951" s="16">
        <f t="shared" si="406"/>
        <v>1.7025096018099548</v>
      </c>
      <c r="AA1951" s="17">
        <f t="shared" si="407"/>
        <v>1105000</v>
      </c>
      <c r="AB1951" s="10">
        <v>6624</v>
      </c>
      <c r="AC1951" s="18">
        <f t="shared" si="408"/>
        <v>1860.7748943942079</v>
      </c>
      <c r="AD1951" s="12">
        <f t="shared" ref="AD1951:AD2000" si="411">SUMIF($C$2:$C$2284,C1951,$AB$2:$AB$2284)</f>
        <v>375112</v>
      </c>
      <c r="AE1951" s="13">
        <f t="shared" si="409"/>
        <v>729888</v>
      </c>
    </row>
    <row r="1952" spans="1:31">
      <c r="A1952" s="6">
        <v>21</v>
      </c>
      <c r="B1952" s="6">
        <v>46</v>
      </c>
      <c r="C1952" s="6" t="str">
        <f t="shared" si="410"/>
        <v>615795701BPILLAR LOOP, OVERMOULDED LIGHT GRAY, STD, WITH CA7029849456294000</v>
      </c>
      <c r="D1952" s="26" t="s">
        <v>455</v>
      </c>
      <c r="E1952" s="6" t="s">
        <v>67</v>
      </c>
      <c r="F1952" s="6"/>
      <c r="G1952" s="7" t="s">
        <v>27</v>
      </c>
      <c r="H1952" s="19"/>
      <c r="I1952" s="19"/>
      <c r="J1952" s="19"/>
      <c r="K1952" s="19"/>
      <c r="L1952" s="14">
        <v>7029849</v>
      </c>
      <c r="M1952" s="22">
        <v>45629</v>
      </c>
      <c r="N1952" s="19" t="s">
        <v>185</v>
      </c>
      <c r="O1952" s="19" t="s">
        <v>332</v>
      </c>
      <c r="P1952" s="15">
        <v>4000</v>
      </c>
      <c r="Q1952" s="15">
        <v>239479.7</v>
      </c>
      <c r="R1952" s="15">
        <v>87082900</v>
      </c>
      <c r="S1952" s="15">
        <v>15</v>
      </c>
      <c r="T1952" s="19" t="s">
        <v>198</v>
      </c>
      <c r="U1952" s="19" t="s">
        <v>178</v>
      </c>
      <c r="V1952" s="16">
        <f t="shared" si="402"/>
        <v>35921.955000000002</v>
      </c>
      <c r="W1952" s="16">
        <f t="shared" si="403"/>
        <v>3592.1955000000003</v>
      </c>
      <c r="X1952" s="16">
        <f t="shared" si="404"/>
        <v>39514.150500000003</v>
      </c>
      <c r="Y1952" s="16">
        <f t="shared" si="405"/>
        <v>9.8785376250000017</v>
      </c>
      <c r="Z1952" s="16">
        <f t="shared" si="406"/>
        <v>59.869925000000002</v>
      </c>
      <c r="AA1952" s="17">
        <f t="shared" si="407"/>
        <v>4000</v>
      </c>
      <c r="AB1952" s="10">
        <v>1672</v>
      </c>
      <c r="AC1952" s="18">
        <f t="shared" si="408"/>
        <v>16516.914909000003</v>
      </c>
      <c r="AD1952" s="12">
        <f t="shared" si="411"/>
        <v>4000</v>
      </c>
      <c r="AE1952" s="13">
        <f t="shared" si="409"/>
        <v>0</v>
      </c>
    </row>
    <row r="1953" spans="1:31">
      <c r="A1953" s="6">
        <v>21</v>
      </c>
      <c r="B1953" s="6">
        <v>47</v>
      </c>
      <c r="C1953" s="6" t="str">
        <f t="shared" si="410"/>
        <v>615795701BPILLAR LOOP, OVERMOULDED LIGHT GRAY, STD, WITH CA4558970454902000</v>
      </c>
      <c r="D1953" s="26" t="s">
        <v>455</v>
      </c>
      <c r="E1953" s="6" t="s">
        <v>67</v>
      </c>
      <c r="F1953" s="6"/>
      <c r="G1953" s="7" t="s">
        <v>27</v>
      </c>
      <c r="H1953" s="19"/>
      <c r="I1953" s="19"/>
      <c r="J1953" s="19"/>
      <c r="K1953" s="19"/>
      <c r="L1953" s="14">
        <v>4558970</v>
      </c>
      <c r="M1953" s="22">
        <v>45490</v>
      </c>
      <c r="N1953" s="19" t="s">
        <v>185</v>
      </c>
      <c r="O1953" s="19" t="s">
        <v>332</v>
      </c>
      <c r="P1953" s="15">
        <v>2000</v>
      </c>
      <c r="Q1953" s="15">
        <v>128818.62</v>
      </c>
      <c r="R1953" s="15">
        <v>87082900</v>
      </c>
      <c r="S1953" s="15">
        <v>15</v>
      </c>
      <c r="T1953" s="19" t="s">
        <v>198</v>
      </c>
      <c r="U1953" s="19" t="s">
        <v>178</v>
      </c>
      <c r="V1953" s="16">
        <f t="shared" si="402"/>
        <v>19322.792999999998</v>
      </c>
      <c r="W1953" s="16">
        <f t="shared" si="403"/>
        <v>1932.2792999999999</v>
      </c>
      <c r="X1953" s="16">
        <f t="shared" si="404"/>
        <v>21255.072299999996</v>
      </c>
      <c r="Y1953" s="16">
        <f t="shared" si="405"/>
        <v>10.627536149999997</v>
      </c>
      <c r="Z1953" s="16">
        <f t="shared" si="406"/>
        <v>64.409309999999991</v>
      </c>
      <c r="AA1953" s="17">
        <f t="shared" si="407"/>
        <v>2000</v>
      </c>
      <c r="AB1953" s="10">
        <v>1832</v>
      </c>
      <c r="AC1953" s="18">
        <f t="shared" si="408"/>
        <v>19469.646226799996</v>
      </c>
      <c r="AD1953" s="12">
        <f t="shared" si="411"/>
        <v>2000</v>
      </c>
      <c r="AE1953" s="13">
        <f t="shared" si="409"/>
        <v>0</v>
      </c>
    </row>
    <row r="1954" spans="1:31">
      <c r="A1954" s="6">
        <v>21</v>
      </c>
      <c r="B1954" s="6">
        <v>48</v>
      </c>
      <c r="C1954" s="6" t="str">
        <f t="shared" si="410"/>
        <v>615795701BPILLAR LOOP, OVERMOULDED LIGHT GRAY, STD, WITH CA8601153457154000</v>
      </c>
      <c r="D1954" s="26" t="s">
        <v>455</v>
      </c>
      <c r="E1954" s="6" t="s">
        <v>67</v>
      </c>
      <c r="F1954" s="6"/>
      <c r="G1954" s="7" t="s">
        <v>27</v>
      </c>
      <c r="H1954" s="19"/>
      <c r="I1954" s="19"/>
      <c r="J1954" s="19"/>
      <c r="K1954" s="19"/>
      <c r="L1954" s="14">
        <v>8601153</v>
      </c>
      <c r="M1954" s="22">
        <v>45715</v>
      </c>
      <c r="N1954" s="19" t="s">
        <v>185</v>
      </c>
      <c r="O1954" s="19" t="s">
        <v>332</v>
      </c>
      <c r="P1954" s="15">
        <v>4000</v>
      </c>
      <c r="Q1954" s="15">
        <v>246173.93</v>
      </c>
      <c r="R1954" s="15">
        <v>87082900</v>
      </c>
      <c r="S1954" s="15">
        <v>15</v>
      </c>
      <c r="T1954" s="19" t="s">
        <v>198</v>
      </c>
      <c r="U1954" s="19" t="s">
        <v>178</v>
      </c>
      <c r="V1954" s="16">
        <f t="shared" si="402"/>
        <v>36926.089499999995</v>
      </c>
      <c r="W1954" s="16">
        <f t="shared" si="403"/>
        <v>3692.6089499999998</v>
      </c>
      <c r="X1954" s="16">
        <f t="shared" si="404"/>
        <v>40618.698449999996</v>
      </c>
      <c r="Y1954" s="16">
        <f t="shared" si="405"/>
        <v>10.154674612499999</v>
      </c>
      <c r="Z1954" s="16">
        <f t="shared" si="406"/>
        <v>61.543482499999996</v>
      </c>
      <c r="AA1954" s="17">
        <f t="shared" si="407"/>
        <v>4000</v>
      </c>
      <c r="AB1954" s="10">
        <v>2472</v>
      </c>
      <c r="AC1954" s="18">
        <f t="shared" si="408"/>
        <v>25102.355642099999</v>
      </c>
      <c r="AD1954" s="12">
        <f t="shared" si="411"/>
        <v>3972</v>
      </c>
      <c r="AE1954" s="13">
        <f t="shared" si="409"/>
        <v>28</v>
      </c>
    </row>
    <row r="1955" spans="1:31">
      <c r="A1955" s="6">
        <v>21</v>
      </c>
      <c r="B1955" s="6">
        <v>49</v>
      </c>
      <c r="C1955" s="6" t="str">
        <f t="shared" si="410"/>
        <v>616531900ARING, CRIMP, CLAMP, BAND21754794533820000</v>
      </c>
      <c r="D1955" s="26" t="s">
        <v>455</v>
      </c>
      <c r="E1955" s="6" t="s">
        <v>52</v>
      </c>
      <c r="F1955" s="6"/>
      <c r="G1955" s="7" t="s">
        <v>410</v>
      </c>
      <c r="H1955" s="19"/>
      <c r="I1955" s="19"/>
      <c r="J1955" s="19"/>
      <c r="K1955" s="19"/>
      <c r="L1955" s="14">
        <v>2175479</v>
      </c>
      <c r="M1955" s="22">
        <v>45338</v>
      </c>
      <c r="N1955" s="19" t="s">
        <v>182</v>
      </c>
      <c r="O1955" s="19" t="s">
        <v>333</v>
      </c>
      <c r="P1955" s="15">
        <v>20000</v>
      </c>
      <c r="Q1955" s="15">
        <v>333572.17</v>
      </c>
      <c r="R1955" s="15">
        <v>87089500</v>
      </c>
      <c r="S1955" s="15">
        <v>15</v>
      </c>
      <c r="T1955" s="19" t="s">
        <v>436</v>
      </c>
      <c r="U1955" s="19" t="s">
        <v>178</v>
      </c>
      <c r="V1955" s="16">
        <f t="shared" si="402"/>
        <v>50035.825499999999</v>
      </c>
      <c r="W1955" s="16">
        <f t="shared" si="403"/>
        <v>5003.5825500000001</v>
      </c>
      <c r="X1955" s="16">
        <f t="shared" si="404"/>
        <v>55039.408049999998</v>
      </c>
      <c r="Y1955" s="16">
        <f t="shared" si="405"/>
        <v>2.7519704025</v>
      </c>
      <c r="Z1955" s="16">
        <f t="shared" si="406"/>
        <v>16.678608499999999</v>
      </c>
      <c r="AA1955" s="17">
        <f t="shared" si="407"/>
        <v>20000</v>
      </c>
      <c r="AB1955" s="10">
        <v>1568</v>
      </c>
      <c r="AC1955" s="18">
        <f t="shared" si="408"/>
        <v>4315.0895911200005</v>
      </c>
      <c r="AD1955" s="12">
        <f t="shared" si="411"/>
        <v>20000</v>
      </c>
      <c r="AE1955" s="13">
        <f t="shared" si="409"/>
        <v>0</v>
      </c>
    </row>
    <row r="1956" spans="1:31">
      <c r="A1956" s="6">
        <v>21</v>
      </c>
      <c r="B1956" s="6">
        <v>50</v>
      </c>
      <c r="C1956" s="6" t="str">
        <f t="shared" si="410"/>
        <v>616531900ARING, CRIMP, CLAMP, BAND20497804533018000</v>
      </c>
      <c r="D1956" s="26" t="s">
        <v>455</v>
      </c>
      <c r="E1956" s="6" t="s">
        <v>52</v>
      </c>
      <c r="F1956" s="6"/>
      <c r="G1956" s="7" t="s">
        <v>410</v>
      </c>
      <c r="H1956" s="19"/>
      <c r="I1956" s="19"/>
      <c r="J1956" s="19"/>
      <c r="K1956" s="19"/>
      <c r="L1956" s="14">
        <v>2049780</v>
      </c>
      <c r="M1956" s="22">
        <v>45330</v>
      </c>
      <c r="N1956" s="19" t="s">
        <v>182</v>
      </c>
      <c r="O1956" s="19" t="s">
        <v>333</v>
      </c>
      <c r="P1956" s="15">
        <v>18000</v>
      </c>
      <c r="Q1956" s="15">
        <v>306178.65000000002</v>
      </c>
      <c r="R1956" s="15">
        <v>87089500</v>
      </c>
      <c r="S1956" s="15">
        <v>15</v>
      </c>
      <c r="T1956" s="19" t="s">
        <v>436</v>
      </c>
      <c r="U1956" s="19" t="s">
        <v>178</v>
      </c>
      <c r="V1956" s="16">
        <f t="shared" si="402"/>
        <v>45926.797500000001</v>
      </c>
      <c r="W1956" s="16">
        <f t="shared" si="403"/>
        <v>4592.6797500000002</v>
      </c>
      <c r="X1956" s="16">
        <f t="shared" si="404"/>
        <v>50519.477250000004</v>
      </c>
      <c r="Y1956" s="16">
        <f t="shared" si="405"/>
        <v>2.806637625</v>
      </c>
      <c r="Z1956" s="16">
        <f t="shared" si="406"/>
        <v>17.009925000000003</v>
      </c>
      <c r="AA1956" s="17">
        <f t="shared" si="407"/>
        <v>18000</v>
      </c>
      <c r="AB1956" s="10">
        <v>3040</v>
      </c>
      <c r="AC1956" s="18">
        <f t="shared" si="408"/>
        <v>8532.1783799999994</v>
      </c>
      <c r="AD1956" s="12">
        <f t="shared" si="411"/>
        <v>17072</v>
      </c>
      <c r="AE1956" s="13">
        <f t="shared" si="409"/>
        <v>928</v>
      </c>
    </row>
    <row r="1957" spans="1:31">
      <c r="A1957" s="6">
        <v>21</v>
      </c>
      <c r="B1957" s="6">
        <v>51</v>
      </c>
      <c r="C1957" s="6" t="str">
        <f t="shared" si="410"/>
        <v>639590100BSCREW SELF TAPPING INTERNAL T15, 15.0993779944782120000</v>
      </c>
      <c r="D1957" s="26" t="s">
        <v>455</v>
      </c>
      <c r="E1957" s="6" t="s">
        <v>165</v>
      </c>
      <c r="F1957" s="6"/>
      <c r="G1957" s="7" t="s">
        <v>143</v>
      </c>
      <c r="H1957" s="19"/>
      <c r="I1957" s="19"/>
      <c r="J1957" s="19"/>
      <c r="K1957" s="19"/>
      <c r="L1957" s="14">
        <v>9937799</v>
      </c>
      <c r="M1957" s="22">
        <v>44782</v>
      </c>
      <c r="N1957" s="19" t="s">
        <v>180</v>
      </c>
      <c r="O1957" s="19" t="s">
        <v>332</v>
      </c>
      <c r="P1957" s="15">
        <v>120000</v>
      </c>
      <c r="Q1957" s="15">
        <v>131753.76999999999</v>
      </c>
      <c r="R1957" s="15">
        <v>87089900</v>
      </c>
      <c r="S1957" s="15">
        <v>15</v>
      </c>
      <c r="T1957" s="19" t="s">
        <v>262</v>
      </c>
      <c r="U1957" s="19" t="s">
        <v>178</v>
      </c>
      <c r="V1957" s="16">
        <f t="shared" si="402"/>
        <v>19763.065499999997</v>
      </c>
      <c r="W1957" s="16">
        <f t="shared" si="403"/>
        <v>1976.3065499999998</v>
      </c>
      <c r="X1957" s="16">
        <f t="shared" si="404"/>
        <v>21739.372049999998</v>
      </c>
      <c r="Y1957" s="16">
        <f t="shared" si="405"/>
        <v>0.18116143374999999</v>
      </c>
      <c r="Z1957" s="16">
        <f t="shared" si="406"/>
        <v>1.0979480833333333</v>
      </c>
      <c r="AA1957" s="17">
        <f t="shared" si="407"/>
        <v>120000</v>
      </c>
      <c r="AB1957" s="10">
        <v>14436</v>
      </c>
      <c r="AC1957" s="18">
        <f t="shared" si="408"/>
        <v>2615.2464576150001</v>
      </c>
      <c r="AD1957" s="12">
        <f t="shared" si="411"/>
        <v>120000</v>
      </c>
      <c r="AE1957" s="13">
        <f t="shared" si="409"/>
        <v>0</v>
      </c>
    </row>
    <row r="1958" spans="1:31">
      <c r="A1958" s="6">
        <v>21</v>
      </c>
      <c r="B1958" s="6">
        <v>52</v>
      </c>
      <c r="C1958" s="6" t="str">
        <f t="shared" si="410"/>
        <v>639590100BSCREW SELF TAPPING INTERNAL T15, 15.01029545325120000</v>
      </c>
      <c r="D1958" s="26" t="s">
        <v>455</v>
      </c>
      <c r="E1958" s="6" t="s">
        <v>165</v>
      </c>
      <c r="F1958" s="6"/>
      <c r="G1958" s="7" t="s">
        <v>143</v>
      </c>
      <c r="H1958" s="19"/>
      <c r="I1958" s="19"/>
      <c r="J1958" s="19"/>
      <c r="K1958" s="19"/>
      <c r="L1958" s="14">
        <v>10295</v>
      </c>
      <c r="M1958" s="22">
        <v>45325</v>
      </c>
      <c r="N1958" s="19" t="s">
        <v>180</v>
      </c>
      <c r="O1958" s="19" t="s">
        <v>332</v>
      </c>
      <c r="P1958" s="15">
        <v>120000</v>
      </c>
      <c r="Q1958" s="15">
        <v>157172.87</v>
      </c>
      <c r="R1958" s="15">
        <v>73181500</v>
      </c>
      <c r="S1958" s="15">
        <v>15</v>
      </c>
      <c r="T1958" s="19" t="s">
        <v>291</v>
      </c>
      <c r="U1958" s="19" t="s">
        <v>178</v>
      </c>
      <c r="V1958" s="16">
        <f t="shared" si="402"/>
        <v>23575.930499999999</v>
      </c>
      <c r="W1958" s="16">
        <f t="shared" si="403"/>
        <v>2357.5930499999999</v>
      </c>
      <c r="X1958" s="16">
        <f t="shared" si="404"/>
        <v>25933.523549999998</v>
      </c>
      <c r="Y1958" s="16">
        <f t="shared" si="405"/>
        <v>0.21611269624999999</v>
      </c>
      <c r="Z1958" s="16">
        <f t="shared" si="406"/>
        <v>1.3097739166666666</v>
      </c>
      <c r="AA1958" s="17">
        <f t="shared" si="407"/>
        <v>120000</v>
      </c>
      <c r="AB1958" s="10">
        <v>15904</v>
      </c>
      <c r="AC1958" s="18">
        <f t="shared" si="408"/>
        <v>3437.0563211599997</v>
      </c>
      <c r="AD1958" s="12">
        <f t="shared" si="411"/>
        <v>120000</v>
      </c>
      <c r="AE1958" s="13">
        <f t="shared" si="409"/>
        <v>0</v>
      </c>
    </row>
    <row r="1959" spans="1:31">
      <c r="A1959" s="6">
        <v>21</v>
      </c>
      <c r="B1959" s="6">
        <v>53</v>
      </c>
      <c r="C1959" s="6" t="str">
        <f t="shared" si="410"/>
        <v>639590100BSCREW SELF TAPPING INTERNAL T15, 15.0849633745709120000</v>
      </c>
      <c r="D1959" s="26" t="s">
        <v>455</v>
      </c>
      <c r="E1959" s="6" t="s">
        <v>165</v>
      </c>
      <c r="F1959" s="6"/>
      <c r="G1959" s="7" t="s">
        <v>143</v>
      </c>
      <c r="H1959" s="19"/>
      <c r="I1959" s="19"/>
      <c r="J1959" s="19"/>
      <c r="K1959" s="19"/>
      <c r="L1959" s="14">
        <v>8496337</v>
      </c>
      <c r="M1959" s="22">
        <v>45709</v>
      </c>
      <c r="N1959" s="19" t="s">
        <v>180</v>
      </c>
      <c r="O1959" s="19" t="s">
        <v>332</v>
      </c>
      <c r="P1959" s="15">
        <v>120000</v>
      </c>
      <c r="Q1959" s="15">
        <v>164295.38</v>
      </c>
      <c r="R1959" s="15">
        <v>87089400</v>
      </c>
      <c r="S1959" s="15">
        <v>15</v>
      </c>
      <c r="T1959" s="19" t="s">
        <v>425</v>
      </c>
      <c r="U1959" s="19" t="s">
        <v>178</v>
      </c>
      <c r="V1959" s="16">
        <f t="shared" si="402"/>
        <v>24644.307000000001</v>
      </c>
      <c r="W1959" s="16">
        <f t="shared" si="403"/>
        <v>2464.4307000000003</v>
      </c>
      <c r="X1959" s="16">
        <f t="shared" si="404"/>
        <v>27108.737700000001</v>
      </c>
      <c r="Y1959" s="16">
        <f t="shared" si="405"/>
        <v>0.22590614750000002</v>
      </c>
      <c r="Z1959" s="16">
        <f t="shared" si="406"/>
        <v>1.3691281666666668</v>
      </c>
      <c r="AA1959" s="17">
        <f t="shared" si="407"/>
        <v>120000</v>
      </c>
      <c r="AB1959" s="10">
        <v>15892</v>
      </c>
      <c r="AC1959" s="18">
        <f t="shared" si="408"/>
        <v>3590.1004960700002</v>
      </c>
      <c r="AD1959" s="12">
        <f t="shared" si="411"/>
        <v>113208</v>
      </c>
      <c r="AE1959" s="13">
        <f t="shared" si="409"/>
        <v>6792</v>
      </c>
    </row>
    <row r="1960" spans="1:31">
      <c r="A1960" s="6">
        <v>21</v>
      </c>
      <c r="B1960" s="6">
        <v>54</v>
      </c>
      <c r="C1960" s="6" t="str">
        <f t="shared" si="410"/>
        <v>NPB10271-ZKSCREW, SELF-TAPPING, MET OTHER, HEXALOBULAR INTER9561081452972000000</v>
      </c>
      <c r="D1960" s="26" t="s">
        <v>455</v>
      </c>
      <c r="E1960" s="6" t="s">
        <v>76</v>
      </c>
      <c r="F1960" s="6"/>
      <c r="G1960" s="7" t="s">
        <v>36</v>
      </c>
      <c r="H1960" s="19"/>
      <c r="I1960" s="19"/>
      <c r="J1960" s="19"/>
      <c r="K1960" s="19"/>
      <c r="L1960" s="14">
        <v>9561081</v>
      </c>
      <c r="M1960" s="22">
        <v>45297</v>
      </c>
      <c r="N1960" s="19" t="s">
        <v>185</v>
      </c>
      <c r="O1960" s="19" t="s">
        <v>332</v>
      </c>
      <c r="P1960" s="15">
        <v>2000000</v>
      </c>
      <c r="Q1960" s="15">
        <v>1657868.13</v>
      </c>
      <c r="R1960" s="15">
        <v>87082900</v>
      </c>
      <c r="S1960" s="15">
        <v>15</v>
      </c>
      <c r="T1960" s="19" t="s">
        <v>450</v>
      </c>
      <c r="U1960" s="19" t="s">
        <v>178</v>
      </c>
      <c r="V1960" s="16">
        <f t="shared" si="402"/>
        <v>248680.21949999998</v>
      </c>
      <c r="W1960" s="16">
        <f t="shared" si="403"/>
        <v>24868.021949999998</v>
      </c>
      <c r="X1960" s="16">
        <f t="shared" si="404"/>
        <v>273548.24144999997</v>
      </c>
      <c r="Y1960" s="16">
        <f t="shared" si="405"/>
        <v>0.13677412072499998</v>
      </c>
      <c r="Z1960" s="16">
        <f t="shared" si="406"/>
        <v>0.828934065</v>
      </c>
      <c r="AA1960" s="17">
        <f t="shared" si="407"/>
        <v>2000000</v>
      </c>
      <c r="AB1960" s="10">
        <v>10688</v>
      </c>
      <c r="AC1960" s="18">
        <f t="shared" si="408"/>
        <v>1461.8418023087997</v>
      </c>
      <c r="AD1960" s="12">
        <f t="shared" si="411"/>
        <v>38144</v>
      </c>
      <c r="AE1960" s="13">
        <f t="shared" si="409"/>
        <v>1961856</v>
      </c>
    </row>
    <row r="1961" spans="1:31">
      <c r="A1961" s="6">
        <v>21</v>
      </c>
      <c r="B1961" s="6">
        <v>55</v>
      </c>
      <c r="C1961" s="6" t="str">
        <f t="shared" si="410"/>
        <v>644345600ASCREW, SELF-TAPPING, PLA PLASTIC, 3.0, CROSS587174045565120000</v>
      </c>
      <c r="D1961" s="26" t="s">
        <v>455</v>
      </c>
      <c r="E1961" s="6" t="s">
        <v>166</v>
      </c>
      <c r="F1961" s="6"/>
      <c r="G1961" s="7" t="s">
        <v>144</v>
      </c>
      <c r="H1961" s="19"/>
      <c r="I1961" s="19"/>
      <c r="J1961" s="19"/>
      <c r="K1961" s="19"/>
      <c r="L1961" s="14">
        <v>5871740</v>
      </c>
      <c r="M1961" s="22">
        <v>45565</v>
      </c>
      <c r="N1961" s="19" t="s">
        <v>189</v>
      </c>
      <c r="O1961" s="19" t="s">
        <v>333</v>
      </c>
      <c r="P1961" s="15">
        <v>120000</v>
      </c>
      <c r="Q1961" s="15">
        <v>92800.89</v>
      </c>
      <c r="R1961" s="15">
        <v>87089500</v>
      </c>
      <c r="S1961" s="15">
        <v>15</v>
      </c>
      <c r="T1961" s="19" t="s">
        <v>392</v>
      </c>
      <c r="U1961" s="19" t="s">
        <v>178</v>
      </c>
      <c r="V1961" s="16">
        <f t="shared" si="402"/>
        <v>13920.1335</v>
      </c>
      <c r="W1961" s="16">
        <f t="shared" si="403"/>
        <v>1392.0133500000002</v>
      </c>
      <c r="X1961" s="16">
        <f t="shared" si="404"/>
        <v>15312.146850000001</v>
      </c>
      <c r="Y1961" s="16">
        <f t="shared" si="405"/>
        <v>0.12760122375000002</v>
      </c>
      <c r="Z1961" s="16">
        <f t="shared" si="406"/>
        <v>0.77334075000000002</v>
      </c>
      <c r="AA1961" s="17">
        <f t="shared" si="407"/>
        <v>120000</v>
      </c>
      <c r="AB1961" s="10">
        <v>16800</v>
      </c>
      <c r="AC1961" s="18">
        <f t="shared" si="408"/>
        <v>2143.7005590000003</v>
      </c>
      <c r="AD1961" s="12">
        <f t="shared" si="411"/>
        <v>48614</v>
      </c>
      <c r="AE1961" s="13">
        <f t="shared" si="409"/>
        <v>71386</v>
      </c>
    </row>
    <row r="1962" spans="1:31">
      <c r="A1962" s="6">
        <v>21</v>
      </c>
      <c r="B1962" s="6">
        <v>56</v>
      </c>
      <c r="C1962" s="6" t="str">
        <f t="shared" si="410"/>
        <v>628408700ASCREW, STANDARD, METRIC, M5, HEXALOBULAR INTERNAL67069784561245000</v>
      </c>
      <c r="D1962" s="26" t="s">
        <v>455</v>
      </c>
      <c r="E1962" s="6" t="s">
        <v>167</v>
      </c>
      <c r="F1962" s="6"/>
      <c r="G1962" s="7" t="s">
        <v>145</v>
      </c>
      <c r="H1962" s="19"/>
      <c r="I1962" s="19"/>
      <c r="J1962" s="19"/>
      <c r="K1962" s="19"/>
      <c r="L1962" s="14">
        <v>6706978</v>
      </c>
      <c r="M1962" s="22">
        <v>45612</v>
      </c>
      <c r="N1962" s="19" t="s">
        <v>189</v>
      </c>
      <c r="O1962" s="19" t="s">
        <v>333</v>
      </c>
      <c r="P1962" s="15">
        <v>45000</v>
      </c>
      <c r="Q1962" s="15">
        <v>238630.11</v>
      </c>
      <c r="R1962" s="15">
        <v>87089400</v>
      </c>
      <c r="S1962" s="15">
        <v>15</v>
      </c>
      <c r="T1962" s="19" t="s">
        <v>463</v>
      </c>
      <c r="U1962" s="19" t="s">
        <v>178</v>
      </c>
      <c r="V1962" s="16">
        <f t="shared" si="402"/>
        <v>35794.516499999998</v>
      </c>
      <c r="W1962" s="16">
        <f t="shared" si="403"/>
        <v>3579.45165</v>
      </c>
      <c r="X1962" s="16">
        <f t="shared" si="404"/>
        <v>39373.968150000001</v>
      </c>
      <c r="Y1962" s="16">
        <f t="shared" si="405"/>
        <v>0.87497707000000002</v>
      </c>
      <c r="Z1962" s="16">
        <f t="shared" si="406"/>
        <v>5.3028913333333332</v>
      </c>
      <c r="AA1962" s="17">
        <f t="shared" si="407"/>
        <v>45000</v>
      </c>
      <c r="AB1962" s="10">
        <v>25200</v>
      </c>
      <c r="AC1962" s="18">
        <f t="shared" si="408"/>
        <v>22049.422164</v>
      </c>
      <c r="AD1962" s="12">
        <f t="shared" si="411"/>
        <v>25200</v>
      </c>
      <c r="AE1962" s="13">
        <f t="shared" si="409"/>
        <v>19800</v>
      </c>
    </row>
    <row r="1963" spans="1:31">
      <c r="A1963" s="6">
        <v>21</v>
      </c>
      <c r="B1963" s="6">
        <v>57</v>
      </c>
      <c r="C1963" s="6" t="str">
        <f t="shared" si="410"/>
        <v>651409900ASCREW, STD METRIC M6 HEXALOBULAR INTERNAL, T4798510145681100000</v>
      </c>
      <c r="D1963" s="26" t="s">
        <v>455</v>
      </c>
      <c r="E1963" s="6" t="s">
        <v>168</v>
      </c>
      <c r="F1963" s="6"/>
      <c r="G1963" s="7" t="s">
        <v>146</v>
      </c>
      <c r="H1963" s="19"/>
      <c r="I1963" s="19"/>
      <c r="J1963" s="19"/>
      <c r="K1963" s="19"/>
      <c r="L1963" s="14">
        <v>7985101</v>
      </c>
      <c r="M1963" s="22">
        <v>45681</v>
      </c>
      <c r="N1963" s="19" t="s">
        <v>180</v>
      </c>
      <c r="O1963" s="19" t="s">
        <v>332</v>
      </c>
      <c r="P1963" s="15">
        <v>100000</v>
      </c>
      <c r="Q1963" s="15">
        <v>135898.69</v>
      </c>
      <c r="R1963" s="15">
        <v>87089400</v>
      </c>
      <c r="S1963" s="15">
        <v>15</v>
      </c>
      <c r="T1963" s="19" t="s">
        <v>425</v>
      </c>
      <c r="U1963" s="19" t="s">
        <v>178</v>
      </c>
      <c r="V1963" s="16">
        <f t="shared" si="402"/>
        <v>20384.803499999998</v>
      </c>
      <c r="W1963" s="16">
        <f t="shared" si="403"/>
        <v>2038.4803499999998</v>
      </c>
      <c r="X1963" s="16">
        <f t="shared" si="404"/>
        <v>22423.28385</v>
      </c>
      <c r="Y1963" s="16">
        <f t="shared" si="405"/>
        <v>0.2242328385</v>
      </c>
      <c r="Z1963" s="16">
        <f t="shared" si="406"/>
        <v>1.3589869000000001</v>
      </c>
      <c r="AA1963" s="17">
        <f t="shared" si="407"/>
        <v>100000</v>
      </c>
      <c r="AB1963" s="10">
        <v>16800</v>
      </c>
      <c r="AC1963" s="18">
        <f t="shared" si="408"/>
        <v>3767.1116867999999</v>
      </c>
      <c r="AD1963" s="12">
        <f t="shared" si="411"/>
        <v>18614</v>
      </c>
      <c r="AE1963" s="13">
        <f t="shared" si="409"/>
        <v>81386</v>
      </c>
    </row>
    <row r="1964" spans="1:31">
      <c r="A1964" s="6">
        <v>21</v>
      </c>
      <c r="B1964" s="6">
        <v>58</v>
      </c>
      <c r="C1964" s="6" t="str">
        <f t="shared" si="410"/>
        <v>608225700ASCREW,STD METRIIC HEXALOBULAR  M5 T25 12MM59822704557035000</v>
      </c>
      <c r="D1964" s="26" t="s">
        <v>455</v>
      </c>
      <c r="E1964" s="6" t="s">
        <v>169</v>
      </c>
      <c r="F1964" s="6"/>
      <c r="G1964" s="7" t="s">
        <v>147</v>
      </c>
      <c r="H1964" s="19"/>
      <c r="I1964" s="19"/>
      <c r="J1964" s="19"/>
      <c r="K1964" s="19"/>
      <c r="L1964" s="14">
        <v>5982270</v>
      </c>
      <c r="M1964" s="22">
        <v>45570</v>
      </c>
      <c r="N1964" s="19" t="s">
        <v>190</v>
      </c>
      <c r="O1964" s="19" t="s">
        <v>332</v>
      </c>
      <c r="P1964" s="15">
        <v>35000</v>
      </c>
      <c r="Q1964" s="15">
        <v>113451.42</v>
      </c>
      <c r="R1964" s="15">
        <v>87089400</v>
      </c>
      <c r="S1964" s="15">
        <v>15</v>
      </c>
      <c r="T1964" s="19" t="s">
        <v>275</v>
      </c>
      <c r="U1964" s="19" t="s">
        <v>178</v>
      </c>
      <c r="V1964" s="16">
        <f t="shared" si="402"/>
        <v>17017.713</v>
      </c>
      <c r="W1964" s="16">
        <f t="shared" si="403"/>
        <v>1701.7713000000001</v>
      </c>
      <c r="X1964" s="16">
        <f t="shared" si="404"/>
        <v>18719.4843</v>
      </c>
      <c r="Y1964" s="16">
        <f t="shared" si="405"/>
        <v>0.53484240857142862</v>
      </c>
      <c r="Z1964" s="16">
        <f t="shared" si="406"/>
        <v>3.2414691428571429</v>
      </c>
      <c r="AA1964" s="17">
        <f t="shared" si="407"/>
        <v>35000</v>
      </c>
      <c r="AB1964" s="10">
        <v>12492</v>
      </c>
      <c r="AC1964" s="18">
        <f t="shared" si="408"/>
        <v>6681.2513678742862</v>
      </c>
      <c r="AD1964" s="12">
        <f t="shared" si="411"/>
        <v>35000</v>
      </c>
      <c r="AE1964" s="13">
        <f t="shared" si="409"/>
        <v>0</v>
      </c>
    </row>
    <row r="1965" spans="1:31">
      <c r="A1965" s="6">
        <v>21</v>
      </c>
      <c r="B1965" s="6">
        <v>59</v>
      </c>
      <c r="C1965" s="6" t="str">
        <f t="shared" si="410"/>
        <v>608225700ASCREW,STD METRIIC HEXALOBULAR  M5 T25 12MM85752984571420000</v>
      </c>
      <c r="D1965" s="26" t="s">
        <v>455</v>
      </c>
      <c r="E1965" s="6" t="s">
        <v>169</v>
      </c>
      <c r="F1965" s="6"/>
      <c r="G1965" s="7" t="s">
        <v>147</v>
      </c>
      <c r="H1965" s="19"/>
      <c r="I1965" s="19"/>
      <c r="J1965" s="19"/>
      <c r="K1965" s="19"/>
      <c r="L1965" s="14">
        <v>8575298</v>
      </c>
      <c r="M1965" s="22">
        <v>45714</v>
      </c>
      <c r="N1965" s="19" t="s">
        <v>180</v>
      </c>
      <c r="O1965" s="19" t="s">
        <v>332</v>
      </c>
      <c r="P1965" s="15">
        <v>20000</v>
      </c>
      <c r="Q1965" s="15">
        <v>72892.23</v>
      </c>
      <c r="R1965" s="15">
        <v>87089400</v>
      </c>
      <c r="S1965" s="15">
        <v>15</v>
      </c>
      <c r="T1965" s="19" t="s">
        <v>275</v>
      </c>
      <c r="U1965" s="19" t="s">
        <v>178</v>
      </c>
      <c r="V1965" s="16">
        <f t="shared" si="402"/>
        <v>10933.834499999999</v>
      </c>
      <c r="W1965" s="16">
        <f t="shared" si="403"/>
        <v>1093.38345</v>
      </c>
      <c r="X1965" s="16">
        <f t="shared" si="404"/>
        <v>12027.217949999998</v>
      </c>
      <c r="Y1965" s="16">
        <f t="shared" si="405"/>
        <v>0.60136089749999988</v>
      </c>
      <c r="Z1965" s="16">
        <f t="shared" si="406"/>
        <v>3.6446114999999999</v>
      </c>
      <c r="AA1965" s="17">
        <f t="shared" si="407"/>
        <v>20000</v>
      </c>
      <c r="AB1965" s="10">
        <v>4308</v>
      </c>
      <c r="AC1965" s="18">
        <f t="shared" si="408"/>
        <v>2590.6627464299995</v>
      </c>
      <c r="AD1965" s="12">
        <f t="shared" si="411"/>
        <v>18428</v>
      </c>
      <c r="AE1965" s="13">
        <f t="shared" si="409"/>
        <v>1572</v>
      </c>
    </row>
    <row r="1966" spans="1:31">
      <c r="A1966" s="6">
        <v>21</v>
      </c>
      <c r="B1966" s="6">
        <v>60</v>
      </c>
      <c r="C1966" s="6" t="str">
        <f t="shared" si="410"/>
        <v>PC47516-3810SNAP-IN-FASTENER, PUSH P PUSH PIN, BLACK99145704532242000</v>
      </c>
      <c r="D1966" s="26" t="s">
        <v>455</v>
      </c>
      <c r="E1966" s="6" t="s">
        <v>54</v>
      </c>
      <c r="F1966" s="6"/>
      <c r="G1966" s="7" t="s">
        <v>14</v>
      </c>
      <c r="H1966" s="19"/>
      <c r="I1966" s="19"/>
      <c r="J1966" s="19"/>
      <c r="K1966" s="19"/>
      <c r="L1966" s="14">
        <v>9914570</v>
      </c>
      <c r="M1966" s="22">
        <v>45322</v>
      </c>
      <c r="N1966" s="19" t="s">
        <v>196</v>
      </c>
      <c r="O1966" s="19" t="s">
        <v>333</v>
      </c>
      <c r="P1966" s="15">
        <v>42000</v>
      </c>
      <c r="Q1966" s="15">
        <v>49173.14</v>
      </c>
      <c r="R1966" s="15">
        <v>87089500</v>
      </c>
      <c r="S1966" s="15">
        <v>15</v>
      </c>
      <c r="T1966" s="19" t="s">
        <v>306</v>
      </c>
      <c r="U1966" s="19" t="s">
        <v>178</v>
      </c>
      <c r="V1966" s="16">
        <f t="shared" si="402"/>
        <v>7375.9709999999995</v>
      </c>
      <c r="W1966" s="16">
        <f t="shared" si="403"/>
        <v>737.59709999999995</v>
      </c>
      <c r="X1966" s="16">
        <f t="shared" si="404"/>
        <v>8113.5680999999995</v>
      </c>
      <c r="Y1966" s="16">
        <f t="shared" si="405"/>
        <v>0.19318019285714286</v>
      </c>
      <c r="Z1966" s="16">
        <f t="shared" si="406"/>
        <v>1.1707890476190477</v>
      </c>
      <c r="AA1966" s="17">
        <f t="shared" si="407"/>
        <v>42000</v>
      </c>
      <c r="AB1966" s="10">
        <v>1728</v>
      </c>
      <c r="AC1966" s="18">
        <f t="shared" si="408"/>
        <v>333.81537325714288</v>
      </c>
      <c r="AD1966" s="12">
        <f t="shared" si="411"/>
        <v>1728</v>
      </c>
      <c r="AE1966" s="13">
        <f t="shared" si="409"/>
        <v>40272</v>
      </c>
    </row>
    <row r="1967" spans="1:31">
      <c r="A1967" s="6">
        <v>21</v>
      </c>
      <c r="B1967" s="6">
        <v>61</v>
      </c>
      <c r="C1967" s="6" t="str">
        <f t="shared" si="410"/>
        <v>601182600ASPINDLE, RETRACTOR, R27, STD49681364551335840</v>
      </c>
      <c r="D1967" s="26" t="s">
        <v>455</v>
      </c>
      <c r="E1967" s="6" t="s">
        <v>61</v>
      </c>
      <c r="F1967" s="6"/>
      <c r="G1967" s="7" t="s">
        <v>21</v>
      </c>
      <c r="H1967" s="19"/>
      <c r="I1967" s="19"/>
      <c r="J1967" s="19"/>
      <c r="K1967" s="19"/>
      <c r="L1967" s="14">
        <v>4968136</v>
      </c>
      <c r="M1967" s="22">
        <v>45513</v>
      </c>
      <c r="N1967" s="19" t="s">
        <v>336</v>
      </c>
      <c r="O1967" s="19" t="s">
        <v>332</v>
      </c>
      <c r="P1967" s="15">
        <v>35840</v>
      </c>
      <c r="Q1967" s="15">
        <v>1646579.76</v>
      </c>
      <c r="R1967" s="15">
        <v>87082900</v>
      </c>
      <c r="S1967" s="15">
        <v>15</v>
      </c>
      <c r="T1967" s="19" t="s">
        <v>311</v>
      </c>
      <c r="U1967" s="19" t="s">
        <v>178</v>
      </c>
      <c r="V1967" s="16">
        <f t="shared" si="402"/>
        <v>246986.96399999998</v>
      </c>
      <c r="W1967" s="16">
        <f t="shared" si="403"/>
        <v>24698.696400000001</v>
      </c>
      <c r="X1967" s="16">
        <f t="shared" si="404"/>
        <v>271685.66039999999</v>
      </c>
      <c r="Y1967" s="16">
        <f t="shared" si="405"/>
        <v>7.5805150781249999</v>
      </c>
      <c r="Z1967" s="16">
        <f t="shared" si="406"/>
        <v>45.942515624999999</v>
      </c>
      <c r="AA1967" s="17">
        <f t="shared" si="407"/>
        <v>35840</v>
      </c>
      <c r="AB1967" s="10">
        <v>5976</v>
      </c>
      <c r="AC1967" s="18">
        <f t="shared" si="408"/>
        <v>45301.158106875002</v>
      </c>
      <c r="AD1967" s="12">
        <f t="shared" si="411"/>
        <v>5976</v>
      </c>
      <c r="AE1967" s="13">
        <f t="shared" si="409"/>
        <v>29864</v>
      </c>
    </row>
    <row r="1968" spans="1:31">
      <c r="A1968" s="6">
        <v>21</v>
      </c>
      <c r="B1968" s="6">
        <v>62</v>
      </c>
      <c r="C1968" s="6" t="str">
        <f t="shared" si="410"/>
        <v>651166400CSPRING, COIL, UPPER 86777234572040000</v>
      </c>
      <c r="D1968" s="26" t="s">
        <v>455</v>
      </c>
      <c r="E1968" s="6" t="s">
        <v>170</v>
      </c>
      <c r="F1968" s="6"/>
      <c r="G1968" s="7" t="s">
        <v>148</v>
      </c>
      <c r="H1968" s="19"/>
      <c r="I1968" s="19"/>
      <c r="J1968" s="19"/>
      <c r="K1968" s="19"/>
      <c r="L1968" s="14">
        <v>8677723</v>
      </c>
      <c r="M1968" s="22">
        <v>45720</v>
      </c>
      <c r="N1968" s="19" t="s">
        <v>189</v>
      </c>
      <c r="O1968" s="19" t="s">
        <v>333</v>
      </c>
      <c r="P1968" s="15">
        <v>40000</v>
      </c>
      <c r="Q1968" s="15">
        <v>79057.19</v>
      </c>
      <c r="R1968" s="15">
        <v>87089500</v>
      </c>
      <c r="S1968" s="15">
        <v>15</v>
      </c>
      <c r="T1968" s="19" t="s">
        <v>386</v>
      </c>
      <c r="U1968" s="19" t="s">
        <v>178</v>
      </c>
      <c r="V1968" s="16">
        <f t="shared" si="402"/>
        <v>11858.5785</v>
      </c>
      <c r="W1968" s="16">
        <f t="shared" si="403"/>
        <v>1185.8578500000001</v>
      </c>
      <c r="X1968" s="16">
        <f t="shared" si="404"/>
        <v>13044.43635</v>
      </c>
      <c r="Y1968" s="16">
        <f t="shared" si="405"/>
        <v>0.32611090874999998</v>
      </c>
      <c r="Z1968" s="16">
        <f t="shared" si="406"/>
        <v>1.9764297500000001</v>
      </c>
      <c r="AA1968" s="17">
        <f t="shared" si="407"/>
        <v>40000</v>
      </c>
      <c r="AB1968" s="10">
        <v>25200</v>
      </c>
      <c r="AC1968" s="18">
        <f t="shared" si="408"/>
        <v>8217.9949004999999</v>
      </c>
      <c r="AD1968" s="12">
        <f t="shared" si="411"/>
        <v>25200</v>
      </c>
      <c r="AE1968" s="13">
        <f t="shared" si="409"/>
        <v>14800</v>
      </c>
    </row>
    <row r="1969" spans="1:31">
      <c r="A1969" s="6">
        <v>21</v>
      </c>
      <c r="B1969" s="6">
        <v>63</v>
      </c>
      <c r="C1969" s="6" t="str">
        <f t="shared" si="410"/>
        <v>566305721BSPRING, SHEET, LEAF, RET ALL VERSIONS, WS ECE4742807449445000</v>
      </c>
      <c r="D1969" s="26" t="s">
        <v>455</v>
      </c>
      <c r="E1969" s="6" t="s">
        <v>59</v>
      </c>
      <c r="F1969" s="6"/>
      <c r="G1969" s="7" t="s">
        <v>19</v>
      </c>
      <c r="H1969" s="19"/>
      <c r="I1969" s="19"/>
      <c r="J1969" s="19"/>
      <c r="K1969" s="19"/>
      <c r="L1969" s="14">
        <v>4742807</v>
      </c>
      <c r="M1969" s="22">
        <v>44944</v>
      </c>
      <c r="N1969" s="19" t="s">
        <v>196</v>
      </c>
      <c r="O1969" s="19" t="s">
        <v>337</v>
      </c>
      <c r="P1969" s="15">
        <v>5000</v>
      </c>
      <c r="Q1969" s="15">
        <v>143362.42000000001</v>
      </c>
      <c r="R1969" s="15">
        <v>87082900</v>
      </c>
      <c r="S1969" s="15">
        <v>15</v>
      </c>
      <c r="T1969" s="19" t="s">
        <v>309</v>
      </c>
      <c r="U1969" s="19" t="s">
        <v>178</v>
      </c>
      <c r="V1969" s="16">
        <f t="shared" si="402"/>
        <v>21504.363000000001</v>
      </c>
      <c r="W1969" s="16">
        <f t="shared" si="403"/>
        <v>2150.4363000000003</v>
      </c>
      <c r="X1969" s="16">
        <f t="shared" si="404"/>
        <v>23654.799300000002</v>
      </c>
      <c r="Y1969" s="16">
        <f t="shared" si="405"/>
        <v>4.7309598600000005</v>
      </c>
      <c r="Z1969" s="16">
        <f t="shared" si="406"/>
        <v>28.672484000000004</v>
      </c>
      <c r="AA1969" s="17">
        <f t="shared" si="407"/>
        <v>5000</v>
      </c>
      <c r="AB1969" s="10">
        <v>107.316</v>
      </c>
      <c r="AC1969" s="18">
        <f t="shared" si="408"/>
        <v>507.70768833576005</v>
      </c>
      <c r="AD1969" s="12">
        <f t="shared" si="411"/>
        <v>1540.98</v>
      </c>
      <c r="AE1969" s="13">
        <f t="shared" si="409"/>
        <v>3459.02</v>
      </c>
    </row>
    <row r="1970" spans="1:31">
      <c r="A1970" s="6">
        <v>21</v>
      </c>
      <c r="B1970" s="6">
        <v>64</v>
      </c>
      <c r="C1970" s="6" t="str">
        <f t="shared" si="410"/>
        <v>605151600ASPRING, SHEET, LEAF, RET ALL VERSIONS, WS US407852744933100000</v>
      </c>
      <c r="D1970" s="26" t="s">
        <v>455</v>
      </c>
      <c r="E1970" s="6" t="s">
        <v>65</v>
      </c>
      <c r="F1970" s="6"/>
      <c r="G1970" s="7" t="s">
        <v>25</v>
      </c>
      <c r="H1970" s="19"/>
      <c r="I1970" s="19"/>
      <c r="J1970" s="19"/>
      <c r="K1970" s="19"/>
      <c r="L1970" s="14">
        <v>4078527</v>
      </c>
      <c r="M1970" s="22">
        <v>44933</v>
      </c>
      <c r="N1970" s="19" t="s">
        <v>196</v>
      </c>
      <c r="O1970" s="19" t="s">
        <v>333</v>
      </c>
      <c r="P1970" s="15">
        <v>100000</v>
      </c>
      <c r="Q1970" s="15">
        <v>147318.03</v>
      </c>
      <c r="R1970" s="15">
        <v>87082900</v>
      </c>
      <c r="S1970" s="15">
        <v>15</v>
      </c>
      <c r="T1970" s="19" t="s">
        <v>314</v>
      </c>
      <c r="U1970" s="19" t="s">
        <v>178</v>
      </c>
      <c r="V1970" s="16">
        <f t="shared" si="402"/>
        <v>22097.7045</v>
      </c>
      <c r="W1970" s="16">
        <f t="shared" si="403"/>
        <v>2209.77045</v>
      </c>
      <c r="X1970" s="16">
        <f t="shared" si="404"/>
        <v>24307.47495</v>
      </c>
      <c r="Y1970" s="16">
        <f t="shared" si="405"/>
        <v>0.24307474949999999</v>
      </c>
      <c r="Z1970" s="16">
        <f t="shared" si="406"/>
        <v>1.4731802999999999</v>
      </c>
      <c r="AA1970" s="17">
        <f t="shared" si="407"/>
        <v>100000</v>
      </c>
      <c r="AB1970" s="10">
        <v>5976</v>
      </c>
      <c r="AC1970" s="18">
        <f t="shared" si="408"/>
        <v>1452.6147030120001</v>
      </c>
      <c r="AD1970" s="12">
        <f t="shared" si="411"/>
        <v>86652</v>
      </c>
      <c r="AE1970" s="13">
        <f t="shared" si="409"/>
        <v>13348</v>
      </c>
    </row>
    <row r="1971" spans="1:31">
      <c r="A1971" s="6">
        <v>21</v>
      </c>
      <c r="B1971" s="6">
        <v>65</v>
      </c>
      <c r="C1971" s="6" t="str">
        <f t="shared" si="410"/>
        <v>560130122ASPRING, WIRE, COMPRESSIO K12A/AT495151045028300000</v>
      </c>
      <c r="D1971" s="26" t="s">
        <v>455</v>
      </c>
      <c r="E1971" s="6" t="s">
        <v>73</v>
      </c>
      <c r="F1971" s="6"/>
      <c r="G1971" s="7" t="s">
        <v>33</v>
      </c>
      <c r="H1971" s="19"/>
      <c r="I1971" s="19"/>
      <c r="J1971" s="19"/>
      <c r="K1971" s="19"/>
      <c r="L1971" s="14">
        <v>4951510</v>
      </c>
      <c r="M1971" s="22">
        <v>45028</v>
      </c>
      <c r="N1971" s="19" t="s">
        <v>199</v>
      </c>
      <c r="O1971" s="19" t="s">
        <v>332</v>
      </c>
      <c r="P1971" s="15">
        <v>300000</v>
      </c>
      <c r="Q1971" s="15">
        <v>285155.93</v>
      </c>
      <c r="R1971" s="15">
        <v>87082900</v>
      </c>
      <c r="S1971" s="15">
        <v>15</v>
      </c>
      <c r="T1971" s="19" t="s">
        <v>319</v>
      </c>
      <c r="U1971" s="19" t="s">
        <v>178</v>
      </c>
      <c r="V1971" s="16">
        <f t="shared" si="402"/>
        <v>42773.389499999997</v>
      </c>
      <c r="W1971" s="16">
        <f t="shared" si="403"/>
        <v>4277.3389500000003</v>
      </c>
      <c r="X1971" s="16">
        <f t="shared" si="404"/>
        <v>47050.728449999995</v>
      </c>
      <c r="Y1971" s="16">
        <f t="shared" si="405"/>
        <v>0.15683576149999998</v>
      </c>
      <c r="Z1971" s="16">
        <f t="shared" si="406"/>
        <v>0.9505197666666666</v>
      </c>
      <c r="AA1971" s="17">
        <f t="shared" si="407"/>
        <v>300000</v>
      </c>
      <c r="AB1971" s="10">
        <v>5344</v>
      </c>
      <c r="AC1971" s="18">
        <f t="shared" si="408"/>
        <v>838.13030945599985</v>
      </c>
      <c r="AD1971" s="12">
        <f t="shared" si="411"/>
        <v>94048</v>
      </c>
      <c r="AE1971" s="13">
        <f t="shared" si="409"/>
        <v>205952</v>
      </c>
    </row>
    <row r="1972" spans="1:31">
      <c r="A1972" s="6">
        <v>21</v>
      </c>
      <c r="B1972" s="6">
        <v>66</v>
      </c>
      <c r="C1972" s="6" t="str">
        <f t="shared" si="410"/>
        <v>605555507ESTEERING DISC NATURE WHITE717838944902100800</v>
      </c>
      <c r="D1972" s="26" t="s">
        <v>455</v>
      </c>
      <c r="E1972" s="6" t="s">
        <v>66</v>
      </c>
      <c r="F1972" s="6"/>
      <c r="G1972" s="7" t="s">
        <v>26</v>
      </c>
      <c r="H1972" s="19"/>
      <c r="I1972" s="19"/>
      <c r="J1972" s="19"/>
      <c r="K1972" s="19"/>
      <c r="L1972" s="14">
        <v>7178389</v>
      </c>
      <c r="M1972" s="22">
        <v>44902</v>
      </c>
      <c r="N1972" s="19" t="s">
        <v>185</v>
      </c>
      <c r="O1972" s="19" t="s">
        <v>332</v>
      </c>
      <c r="P1972" s="15">
        <v>100800</v>
      </c>
      <c r="Q1972" s="15">
        <v>397158.13</v>
      </c>
      <c r="R1972" s="15">
        <v>87082900</v>
      </c>
      <c r="S1972" s="15">
        <v>15</v>
      </c>
      <c r="T1972" s="19" t="s">
        <v>315</v>
      </c>
      <c r="U1972" s="19" t="s">
        <v>178</v>
      </c>
      <c r="V1972" s="16">
        <f t="shared" ref="V1972:V2000" si="412">Q1972*S1972%</f>
        <v>59573.719499999999</v>
      </c>
      <c r="W1972" s="16">
        <f t="shared" ref="W1972:W2000" si="413">V1972*0.1</f>
        <v>5957.3719500000007</v>
      </c>
      <c r="X1972" s="16">
        <f t="shared" ref="X1972:X2000" si="414">V1972+W1972</f>
        <v>65531.09145</v>
      </c>
      <c r="Y1972" s="16">
        <f t="shared" ref="Y1972:Y2000" si="415">X1972/P1972</f>
        <v>0.65011003422619051</v>
      </c>
      <c r="Z1972" s="16">
        <f t="shared" ref="Z1972:Z2000" si="416">Q1972/P1972</f>
        <v>3.9400608134920634</v>
      </c>
      <c r="AA1972" s="17">
        <f t="shared" ref="AA1972:AA2000" si="417">P1972</f>
        <v>100800</v>
      </c>
      <c r="AB1972" s="10">
        <v>5976</v>
      </c>
      <c r="AC1972" s="18">
        <f t="shared" ref="AC1972:AC2000" si="418">AB1972*Y1972</f>
        <v>3885.0575645357144</v>
      </c>
      <c r="AD1972" s="12">
        <f t="shared" si="411"/>
        <v>80292</v>
      </c>
      <c r="AE1972" s="13">
        <f t="shared" ref="AE1972:AE2000" si="419">AA1972-AD1972</f>
        <v>20508</v>
      </c>
    </row>
    <row r="1973" spans="1:31">
      <c r="A1973" s="6">
        <v>21</v>
      </c>
      <c r="B1973" s="6">
        <v>67</v>
      </c>
      <c r="C1973" s="6" t="str">
        <f t="shared" si="410"/>
        <v>609183701ASTUD, M6 X 1.0, 16.0402550745458126000</v>
      </c>
      <c r="D1973" s="26" t="s">
        <v>455</v>
      </c>
      <c r="E1973" s="6" t="s">
        <v>51</v>
      </c>
      <c r="F1973" s="6"/>
      <c r="G1973" s="7" t="s">
        <v>411</v>
      </c>
      <c r="H1973" s="19"/>
      <c r="I1973" s="19"/>
      <c r="J1973" s="19"/>
      <c r="K1973" s="19"/>
      <c r="L1973" s="14">
        <v>4025507</v>
      </c>
      <c r="M1973" s="22">
        <v>45458</v>
      </c>
      <c r="N1973" s="19" t="s">
        <v>185</v>
      </c>
      <c r="O1973" s="19" t="s">
        <v>332</v>
      </c>
      <c r="P1973" s="15">
        <v>126000</v>
      </c>
      <c r="Q1973" s="15">
        <v>351674.67</v>
      </c>
      <c r="R1973" s="15">
        <v>87089500</v>
      </c>
      <c r="S1973" s="15">
        <v>15</v>
      </c>
      <c r="T1973" s="19" t="s">
        <v>304</v>
      </c>
      <c r="U1973" s="19" t="s">
        <v>178</v>
      </c>
      <c r="V1973" s="16">
        <f t="shared" si="412"/>
        <v>52751.200499999999</v>
      </c>
      <c r="W1973" s="16">
        <f t="shared" si="413"/>
        <v>5275.1200500000004</v>
      </c>
      <c r="X1973" s="16">
        <f t="shared" si="414"/>
        <v>58026.320549999997</v>
      </c>
      <c r="Y1973" s="16">
        <f t="shared" si="415"/>
        <v>0.46052635357142857</v>
      </c>
      <c r="Z1973" s="16">
        <f t="shared" si="416"/>
        <v>2.7910688095238094</v>
      </c>
      <c r="AA1973" s="17">
        <f t="shared" si="417"/>
        <v>126000</v>
      </c>
      <c r="AB1973" s="10">
        <v>5760</v>
      </c>
      <c r="AC1973" s="18">
        <f t="shared" si="418"/>
        <v>2652.6317965714284</v>
      </c>
      <c r="AD1973" s="12">
        <f t="shared" si="411"/>
        <v>113280</v>
      </c>
      <c r="AE1973" s="13">
        <f t="shared" si="419"/>
        <v>12720</v>
      </c>
    </row>
    <row r="1974" spans="1:31">
      <c r="A1974" s="6">
        <v>21</v>
      </c>
      <c r="B1974" s="6">
        <v>68</v>
      </c>
      <c r="C1974" s="6" t="str">
        <f t="shared" si="410"/>
        <v>603171100BTAPE, ADHESIVE, TERAOKA TERAOKA NO.560S 221409284533650000</v>
      </c>
      <c r="D1974" s="26" t="s">
        <v>455</v>
      </c>
      <c r="E1974" s="6" t="s">
        <v>50</v>
      </c>
      <c r="F1974" s="6"/>
      <c r="G1974" s="7" t="s">
        <v>12</v>
      </c>
      <c r="H1974" s="19"/>
      <c r="I1974" s="19"/>
      <c r="J1974" s="19"/>
      <c r="K1974" s="19"/>
      <c r="L1974" s="14">
        <v>2140928</v>
      </c>
      <c r="M1974" s="22">
        <v>45336</v>
      </c>
      <c r="N1974" s="19" t="s">
        <v>196</v>
      </c>
      <c r="O1974" s="19" t="s">
        <v>333</v>
      </c>
      <c r="P1974" s="15">
        <v>50000</v>
      </c>
      <c r="Q1974" s="15">
        <v>283973.52</v>
      </c>
      <c r="R1974" s="15">
        <v>87089500</v>
      </c>
      <c r="S1974" s="15">
        <v>15</v>
      </c>
      <c r="T1974" s="19" t="s">
        <v>323</v>
      </c>
      <c r="U1974" s="19" t="s">
        <v>178</v>
      </c>
      <c r="V1974" s="16">
        <f t="shared" si="412"/>
        <v>42596.027999999998</v>
      </c>
      <c r="W1974" s="16">
        <f t="shared" si="413"/>
        <v>4259.6027999999997</v>
      </c>
      <c r="X1974" s="16">
        <f t="shared" si="414"/>
        <v>46855.630799999999</v>
      </c>
      <c r="Y1974" s="16">
        <f t="shared" si="415"/>
        <v>0.93711261599999995</v>
      </c>
      <c r="Z1974" s="16">
        <f t="shared" si="416"/>
        <v>5.6794704000000005</v>
      </c>
      <c r="AA1974" s="17">
        <f t="shared" si="417"/>
        <v>50000</v>
      </c>
      <c r="AB1974" s="10">
        <v>518.4</v>
      </c>
      <c r="AC1974" s="18">
        <f t="shared" si="418"/>
        <v>485.79918013439993</v>
      </c>
      <c r="AD1974" s="12">
        <f t="shared" si="411"/>
        <v>9129.6</v>
      </c>
      <c r="AE1974" s="13">
        <f t="shared" si="419"/>
        <v>40870.400000000001</v>
      </c>
    </row>
    <row r="1975" spans="1:31">
      <c r="A1975" s="6">
        <v>21</v>
      </c>
      <c r="B1975" s="6">
        <v>69</v>
      </c>
      <c r="C1975" s="6" t="str">
        <f t="shared" si="410"/>
        <v>625090202BTAPE, IC, CONTINUOUS, 13.0 MM., PET 3M 842197216584530935100</v>
      </c>
      <c r="D1975" s="26" t="s">
        <v>455</v>
      </c>
      <c r="E1975" s="6" t="s">
        <v>128</v>
      </c>
      <c r="F1975" s="6"/>
      <c r="G1975" s="19" t="s">
        <v>103</v>
      </c>
      <c r="H1975" s="19"/>
      <c r="I1975" s="19"/>
      <c r="J1975" s="19"/>
      <c r="K1975" s="19"/>
      <c r="L1975" s="14">
        <v>9721658</v>
      </c>
      <c r="M1975" s="22">
        <v>45309</v>
      </c>
      <c r="N1975" s="19" t="s">
        <v>196</v>
      </c>
      <c r="O1975" s="19" t="s">
        <v>333</v>
      </c>
      <c r="P1975" s="15">
        <v>35100</v>
      </c>
      <c r="Q1975" s="15">
        <v>436316.42</v>
      </c>
      <c r="R1975" s="15">
        <v>87089500</v>
      </c>
      <c r="S1975" s="15">
        <v>15</v>
      </c>
      <c r="T1975" s="19" t="s">
        <v>228</v>
      </c>
      <c r="U1975" s="19" t="s">
        <v>178</v>
      </c>
      <c r="V1975" s="16">
        <f t="shared" si="412"/>
        <v>65447.462999999996</v>
      </c>
      <c r="W1975" s="16">
        <f t="shared" si="413"/>
        <v>6544.7462999999998</v>
      </c>
      <c r="X1975" s="16">
        <f t="shared" si="414"/>
        <v>71992.209300000002</v>
      </c>
      <c r="Y1975" s="16">
        <f t="shared" si="415"/>
        <v>2.0510600940170942</v>
      </c>
      <c r="Z1975" s="16">
        <f t="shared" si="416"/>
        <v>12.430667236467237</v>
      </c>
      <c r="AA1975" s="17">
        <f t="shared" si="417"/>
        <v>35100</v>
      </c>
      <c r="AB1975" s="10">
        <v>529.91999999999996</v>
      </c>
      <c r="AC1975" s="18">
        <f t="shared" si="418"/>
        <v>1086.8977650215386</v>
      </c>
      <c r="AD1975" s="12">
        <f t="shared" si="411"/>
        <v>4779.3600000000006</v>
      </c>
      <c r="AE1975" s="13">
        <f t="shared" si="419"/>
        <v>30320.639999999999</v>
      </c>
    </row>
    <row r="1976" spans="1:31">
      <c r="A1976" s="6">
        <v>21</v>
      </c>
      <c r="B1976" s="6">
        <v>70</v>
      </c>
      <c r="C1976" s="6" t="str">
        <f t="shared" si="410"/>
        <v>NWB2834WASHER, WAVED 726858645147105000</v>
      </c>
      <c r="D1976" s="26" t="s">
        <v>455</v>
      </c>
      <c r="E1976" s="6" t="s">
        <v>77</v>
      </c>
      <c r="F1976" s="6"/>
      <c r="G1976" s="7" t="s">
        <v>37</v>
      </c>
      <c r="H1976" s="19"/>
      <c r="I1976" s="19"/>
      <c r="J1976" s="19"/>
      <c r="K1976" s="19"/>
      <c r="L1976" s="14">
        <v>7268586</v>
      </c>
      <c r="M1976" s="22">
        <v>45147</v>
      </c>
      <c r="N1976" s="19" t="s">
        <v>196</v>
      </c>
      <c r="O1976" s="19" t="s">
        <v>333</v>
      </c>
      <c r="P1976" s="15">
        <v>105000</v>
      </c>
      <c r="Q1976" s="15">
        <v>186605.54</v>
      </c>
      <c r="R1976" s="15">
        <v>87082900</v>
      </c>
      <c r="S1976" s="15">
        <v>15</v>
      </c>
      <c r="T1976" s="19" t="s">
        <v>207</v>
      </c>
      <c r="U1976" s="19" t="s">
        <v>178</v>
      </c>
      <c r="V1976" s="16">
        <f t="shared" si="412"/>
        <v>27990.831000000002</v>
      </c>
      <c r="W1976" s="16">
        <f t="shared" si="413"/>
        <v>2799.0831000000003</v>
      </c>
      <c r="X1976" s="16">
        <f t="shared" si="414"/>
        <v>30789.914100000002</v>
      </c>
      <c r="Y1976" s="16">
        <f t="shared" si="415"/>
        <v>0.29323727714285713</v>
      </c>
      <c r="Z1976" s="16">
        <f t="shared" si="416"/>
        <v>1.777195619047619</v>
      </c>
      <c r="AA1976" s="17">
        <f t="shared" si="417"/>
        <v>105000</v>
      </c>
      <c r="AB1976" s="10">
        <v>5344</v>
      </c>
      <c r="AC1976" s="18">
        <f t="shared" si="418"/>
        <v>1567.0600090514286</v>
      </c>
      <c r="AD1976" s="12">
        <f t="shared" si="411"/>
        <v>19072</v>
      </c>
      <c r="AE1976" s="13">
        <f t="shared" si="419"/>
        <v>85928</v>
      </c>
    </row>
    <row r="1977" spans="1:31">
      <c r="A1977" s="6">
        <v>21</v>
      </c>
      <c r="B1977" s="6">
        <v>71</v>
      </c>
      <c r="C1977" s="6" t="str">
        <f t="shared" si="410"/>
        <v>566098600CWEBBING PIN, RETRACTOR, AGB, AGB-95POM FARBE:SCH432749644950120000</v>
      </c>
      <c r="D1977" s="26" t="s">
        <v>455</v>
      </c>
      <c r="E1977" s="6" t="s">
        <v>57</v>
      </c>
      <c r="F1977" s="6"/>
      <c r="G1977" s="7" t="s">
        <v>17</v>
      </c>
      <c r="H1977" s="19"/>
      <c r="I1977" s="19"/>
      <c r="J1977" s="19"/>
      <c r="K1977" s="19"/>
      <c r="L1977" s="14">
        <v>4327496</v>
      </c>
      <c r="M1977" s="22">
        <v>44950</v>
      </c>
      <c r="N1977" s="19" t="s">
        <v>199</v>
      </c>
      <c r="O1977" s="19" t="s">
        <v>332</v>
      </c>
      <c r="P1977" s="15">
        <v>120000</v>
      </c>
      <c r="Q1977" s="15">
        <v>117311.7</v>
      </c>
      <c r="R1977" s="15">
        <v>87082900</v>
      </c>
      <c r="S1977" s="15">
        <v>15</v>
      </c>
      <c r="T1977" s="19" t="s">
        <v>307</v>
      </c>
      <c r="U1977" s="19" t="s">
        <v>178</v>
      </c>
      <c r="V1977" s="16">
        <f t="shared" si="412"/>
        <v>17596.754999999997</v>
      </c>
      <c r="W1977" s="16">
        <f t="shared" si="413"/>
        <v>1759.6754999999998</v>
      </c>
      <c r="X1977" s="16">
        <f t="shared" si="414"/>
        <v>19356.430499999999</v>
      </c>
      <c r="Y1977" s="16">
        <f t="shared" si="415"/>
        <v>0.16130358749999998</v>
      </c>
      <c r="Z1977" s="16">
        <f t="shared" si="416"/>
        <v>0.97759750000000001</v>
      </c>
      <c r="AA1977" s="17">
        <f t="shared" si="417"/>
        <v>120000</v>
      </c>
      <c r="AB1977" s="10">
        <v>5976</v>
      </c>
      <c r="AC1977" s="18">
        <f t="shared" si="418"/>
        <v>963.95023889999993</v>
      </c>
      <c r="AD1977" s="12">
        <f t="shared" si="411"/>
        <v>86652</v>
      </c>
      <c r="AE1977" s="13">
        <f t="shared" si="419"/>
        <v>33348</v>
      </c>
    </row>
    <row r="1978" spans="1:31">
      <c r="A1978" s="6">
        <v>21</v>
      </c>
      <c r="B1978" s="6">
        <v>72</v>
      </c>
      <c r="C1978" s="6" t="str">
        <f t="shared" si="410"/>
        <v>625236501AWEBBING YARN PET HYOSUNG 1670DTEX F144 V0 WHIT62972374508497200</v>
      </c>
      <c r="D1978" s="26" t="s">
        <v>455</v>
      </c>
      <c r="E1978" s="6" t="s">
        <v>491</v>
      </c>
      <c r="F1978" s="6"/>
      <c r="G1978" s="7" t="s">
        <v>422</v>
      </c>
      <c r="H1978" s="19"/>
      <c r="I1978" s="19"/>
      <c r="J1978" s="19"/>
      <c r="K1978" s="19"/>
      <c r="L1978" s="14">
        <v>6297237</v>
      </c>
      <c r="M1978" s="22">
        <v>45084</v>
      </c>
      <c r="N1978" s="19" t="s">
        <v>185</v>
      </c>
      <c r="O1978" s="19" t="s">
        <v>337</v>
      </c>
      <c r="P1978" s="15">
        <v>97200</v>
      </c>
      <c r="Q1978" s="15">
        <v>13537821.6</v>
      </c>
      <c r="R1978" s="15">
        <v>54022090</v>
      </c>
      <c r="S1978" s="15">
        <v>5</v>
      </c>
      <c r="T1978" s="19" t="s">
        <v>435</v>
      </c>
      <c r="U1978" s="19" t="s">
        <v>178</v>
      </c>
      <c r="V1978" s="16">
        <f t="shared" si="412"/>
        <v>676891.08000000007</v>
      </c>
      <c r="W1978" s="16">
        <f t="shared" si="413"/>
        <v>67689.108000000007</v>
      </c>
      <c r="X1978" s="16">
        <f t="shared" si="414"/>
        <v>744580.18800000008</v>
      </c>
      <c r="Y1978" s="16">
        <f t="shared" si="415"/>
        <v>7.6602900000000007</v>
      </c>
      <c r="Z1978" s="16">
        <f t="shared" si="416"/>
        <v>139.27799999999999</v>
      </c>
      <c r="AA1978" s="17">
        <f t="shared" si="417"/>
        <v>97200</v>
      </c>
      <c r="AB1978" s="10">
        <v>623.52</v>
      </c>
      <c r="AC1978" s="18">
        <f t="shared" si="418"/>
        <v>4776.3440208000002</v>
      </c>
      <c r="AD1978" s="12">
        <f t="shared" si="411"/>
        <v>4364.6399999999994</v>
      </c>
      <c r="AE1978" s="13">
        <f t="shared" si="419"/>
        <v>92835.36</v>
      </c>
    </row>
    <row r="1979" spans="1:31">
      <c r="A1979" s="6">
        <v>21</v>
      </c>
      <c r="B1979" s="6">
        <v>73</v>
      </c>
      <c r="C1979" s="6" t="str">
        <f t="shared" si="410"/>
        <v>625255601AWEBBING YARN PET PERF FIBERS 110DTEX F35, V0399198445457288</v>
      </c>
      <c r="D1979" s="26" t="s">
        <v>455</v>
      </c>
      <c r="E1979" s="6" t="s">
        <v>488</v>
      </c>
      <c r="F1979" s="6"/>
      <c r="G1979" s="7" t="s">
        <v>419</v>
      </c>
      <c r="H1979" s="19"/>
      <c r="I1979" s="19"/>
      <c r="J1979" s="19"/>
      <c r="K1979" s="19"/>
      <c r="L1979" s="14">
        <v>3991984</v>
      </c>
      <c r="M1979" s="22">
        <v>45457</v>
      </c>
      <c r="N1979" s="19" t="s">
        <v>197</v>
      </c>
      <c r="O1979" s="19" t="s">
        <v>337</v>
      </c>
      <c r="P1979" s="15">
        <v>288</v>
      </c>
      <c r="Q1979" s="15">
        <v>107819.84</v>
      </c>
      <c r="R1979" s="15">
        <v>54025290</v>
      </c>
      <c r="S1979" s="15">
        <v>5</v>
      </c>
      <c r="T1979" s="19" t="s">
        <v>433</v>
      </c>
      <c r="U1979" s="19" t="s">
        <v>178</v>
      </c>
      <c r="V1979" s="16">
        <f t="shared" si="412"/>
        <v>5390.9920000000002</v>
      </c>
      <c r="W1979" s="16">
        <f t="shared" si="413"/>
        <v>539.0992</v>
      </c>
      <c r="X1979" s="16">
        <f t="shared" si="414"/>
        <v>5930.0911999999998</v>
      </c>
      <c r="Y1979" s="16">
        <f t="shared" si="415"/>
        <v>20.590594444444445</v>
      </c>
      <c r="Z1979" s="16">
        <f t="shared" si="416"/>
        <v>374.37444444444441</v>
      </c>
      <c r="AA1979" s="17">
        <f t="shared" si="417"/>
        <v>288</v>
      </c>
      <c r="AB1979" s="10">
        <v>93.483240000000023</v>
      </c>
      <c r="AC1979" s="18">
        <f t="shared" si="418"/>
        <v>1924.8754821926673</v>
      </c>
      <c r="AD1979" s="12">
        <f t="shared" si="411"/>
        <v>99.003240000000019</v>
      </c>
      <c r="AE1979" s="13">
        <f t="shared" si="419"/>
        <v>188.99675999999999</v>
      </c>
    </row>
    <row r="1980" spans="1:31">
      <c r="A1980" s="6">
        <v>21</v>
      </c>
      <c r="B1980" s="6">
        <v>74</v>
      </c>
      <c r="C1980" s="6" t="str">
        <f t="shared" si="410"/>
        <v>623642402AWEBBING YARN PET PERF FIBERS 275DTEX F35 V03751958454431575</v>
      </c>
      <c r="D1980" s="26" t="s">
        <v>455</v>
      </c>
      <c r="E1980" s="6" t="s">
        <v>487</v>
      </c>
      <c r="F1980" s="6"/>
      <c r="G1980" s="7" t="s">
        <v>418</v>
      </c>
      <c r="H1980" s="19"/>
      <c r="I1980" s="19"/>
      <c r="J1980" s="19"/>
      <c r="K1980" s="19"/>
      <c r="L1980" s="14">
        <v>3751958</v>
      </c>
      <c r="M1980" s="22">
        <v>45443</v>
      </c>
      <c r="N1980" s="19" t="s">
        <v>197</v>
      </c>
      <c r="O1980" s="19" t="s">
        <v>337</v>
      </c>
      <c r="P1980" s="15">
        <v>1575</v>
      </c>
      <c r="Q1980" s="15">
        <v>313244.25</v>
      </c>
      <c r="R1980" s="15">
        <v>54025290</v>
      </c>
      <c r="S1980" s="15">
        <v>5</v>
      </c>
      <c r="T1980" s="19" t="s">
        <v>432</v>
      </c>
      <c r="U1980" s="19" t="s">
        <v>200</v>
      </c>
      <c r="V1980" s="16">
        <f t="shared" si="412"/>
        <v>15662.212500000001</v>
      </c>
      <c r="W1980" s="16">
        <f t="shared" si="413"/>
        <v>1566.2212500000003</v>
      </c>
      <c r="X1980" s="16">
        <f t="shared" si="414"/>
        <v>17228.43375</v>
      </c>
      <c r="Y1980" s="16">
        <f t="shared" si="415"/>
        <v>10.938688095238096</v>
      </c>
      <c r="Z1980" s="16">
        <f t="shared" si="416"/>
        <v>198.88523809523809</v>
      </c>
      <c r="AA1980" s="17">
        <f t="shared" si="417"/>
        <v>1575</v>
      </c>
      <c r="AB1980" s="10">
        <v>1206.9540000000002</v>
      </c>
      <c r="AC1980" s="18">
        <f t="shared" si="418"/>
        <v>13202.493351300003</v>
      </c>
      <c r="AD1980" s="12">
        <f t="shared" si="411"/>
        <v>1206.9540000000002</v>
      </c>
      <c r="AE1980" s="13">
        <f t="shared" si="419"/>
        <v>368.04599999999982</v>
      </c>
    </row>
    <row r="1981" spans="1:31">
      <c r="A1981" s="6">
        <v>21</v>
      </c>
      <c r="B1981" s="6">
        <v>75</v>
      </c>
      <c r="C1981" s="6" t="str">
        <f t="shared" si="410"/>
        <v>625254901AWEBBING YARN PET PERF FIBERS 550DTEX F70 V0707719845134137733</v>
      </c>
      <c r="D1981" s="26" t="s">
        <v>455</v>
      </c>
      <c r="E1981" s="6" t="s">
        <v>486</v>
      </c>
      <c r="F1981" s="6"/>
      <c r="G1981" s="7" t="s">
        <v>417</v>
      </c>
      <c r="H1981" s="19"/>
      <c r="I1981" s="19"/>
      <c r="J1981" s="19"/>
      <c r="K1981" s="19"/>
      <c r="L1981" s="14">
        <v>7077198</v>
      </c>
      <c r="M1981" s="22">
        <v>45134</v>
      </c>
      <c r="N1981" s="19" t="s">
        <v>197</v>
      </c>
      <c r="O1981" s="19" t="s">
        <v>337</v>
      </c>
      <c r="P1981" s="15">
        <v>137733</v>
      </c>
      <c r="Q1981" s="15">
        <v>23488638.550000001</v>
      </c>
      <c r="R1981" s="15">
        <v>54025290</v>
      </c>
      <c r="S1981" s="15">
        <v>5</v>
      </c>
      <c r="T1981" s="19" t="s">
        <v>431</v>
      </c>
      <c r="U1981" s="19" t="s">
        <v>178</v>
      </c>
      <c r="V1981" s="16">
        <f t="shared" si="412"/>
        <v>1174431.9275</v>
      </c>
      <c r="W1981" s="16">
        <f t="shared" si="413"/>
        <v>117443.19275</v>
      </c>
      <c r="X1981" s="16">
        <f t="shared" si="414"/>
        <v>1291875.1202499999</v>
      </c>
      <c r="Y1981" s="16">
        <f t="shared" si="415"/>
        <v>9.3795613269877212</v>
      </c>
      <c r="Z1981" s="16">
        <f t="shared" si="416"/>
        <v>170.53747867250405</v>
      </c>
      <c r="AA1981" s="17">
        <f t="shared" si="417"/>
        <v>137733</v>
      </c>
      <c r="AB1981" s="10">
        <v>2374.5479999999998</v>
      </c>
      <c r="AC1981" s="18">
        <f t="shared" si="418"/>
        <v>22272.218589876036</v>
      </c>
      <c r="AD1981" s="12">
        <f t="shared" si="411"/>
        <v>2759.808</v>
      </c>
      <c r="AE1981" s="13">
        <f t="shared" si="419"/>
        <v>134973.19200000001</v>
      </c>
    </row>
    <row r="1982" spans="1:31">
      <c r="A1982" s="6">
        <v>21</v>
      </c>
      <c r="B1982" s="6">
        <v>76</v>
      </c>
      <c r="C1982" s="6" t="str">
        <f t="shared" si="410"/>
        <v>597509600AWEBBING, COATING, P10960 P109604300080245394300</v>
      </c>
      <c r="D1982" s="26" t="s">
        <v>455</v>
      </c>
      <c r="E1982" s="6" t="s">
        <v>481</v>
      </c>
      <c r="F1982" s="6"/>
      <c r="G1982" s="7" t="s">
        <v>413</v>
      </c>
      <c r="H1982" s="19"/>
      <c r="I1982" s="19"/>
      <c r="J1982" s="19"/>
      <c r="K1982" s="19"/>
      <c r="L1982" s="14">
        <v>3000802</v>
      </c>
      <c r="M1982" s="22">
        <v>45394</v>
      </c>
      <c r="N1982" s="19" t="s">
        <v>185</v>
      </c>
      <c r="O1982" s="19" t="s">
        <v>337</v>
      </c>
      <c r="P1982" s="15">
        <v>300</v>
      </c>
      <c r="Q1982" s="15">
        <v>435159.64</v>
      </c>
      <c r="R1982" s="15">
        <v>38099190</v>
      </c>
      <c r="S1982" s="15">
        <v>7.5</v>
      </c>
      <c r="T1982" s="19" t="s">
        <v>430</v>
      </c>
      <c r="U1982" s="19" t="s">
        <v>178</v>
      </c>
      <c r="V1982" s="16">
        <f t="shared" si="412"/>
        <v>32636.972999999998</v>
      </c>
      <c r="W1982" s="16">
        <f t="shared" si="413"/>
        <v>3263.6972999999998</v>
      </c>
      <c r="X1982" s="16">
        <f t="shared" si="414"/>
        <v>35900.670299999998</v>
      </c>
      <c r="Y1982" s="16">
        <f t="shared" si="415"/>
        <v>119.66890099999999</v>
      </c>
      <c r="Z1982" s="16">
        <f t="shared" si="416"/>
        <v>1450.5321333333334</v>
      </c>
      <c r="AA1982" s="17">
        <f t="shared" si="417"/>
        <v>300</v>
      </c>
      <c r="AB1982" s="10">
        <v>35.279999999999994</v>
      </c>
      <c r="AC1982" s="18">
        <f t="shared" si="418"/>
        <v>4221.9188272799993</v>
      </c>
      <c r="AD1982" s="12">
        <f t="shared" si="411"/>
        <v>40.703999999999994</v>
      </c>
      <c r="AE1982" s="13">
        <f t="shared" si="419"/>
        <v>259.29599999999999</v>
      </c>
    </row>
    <row r="1983" spans="1:31">
      <c r="A1983" s="6">
        <v>21</v>
      </c>
      <c r="B1983" s="6">
        <v>77</v>
      </c>
      <c r="C1983" s="6" t="str">
        <f t="shared" si="410"/>
        <v>597509800AWEBBING, COATING, P17101 P171013300080245394480</v>
      </c>
      <c r="D1983" s="26" t="s">
        <v>455</v>
      </c>
      <c r="E1983" s="6" t="s">
        <v>482</v>
      </c>
      <c r="F1983" s="6"/>
      <c r="G1983" s="7" t="s">
        <v>414</v>
      </c>
      <c r="H1983" s="19"/>
      <c r="I1983" s="19"/>
      <c r="J1983" s="19"/>
      <c r="K1983" s="19"/>
      <c r="L1983" s="14">
        <v>3000802</v>
      </c>
      <c r="M1983" s="22">
        <v>45394</v>
      </c>
      <c r="N1983" s="19" t="s">
        <v>185</v>
      </c>
      <c r="O1983" s="19" t="s">
        <v>337</v>
      </c>
      <c r="P1983" s="15">
        <v>480</v>
      </c>
      <c r="Q1983" s="15">
        <v>342109.54</v>
      </c>
      <c r="R1983" s="15">
        <v>38099190</v>
      </c>
      <c r="S1983" s="15">
        <v>7.5</v>
      </c>
      <c r="T1983" s="19" t="s">
        <v>430</v>
      </c>
      <c r="U1983" s="19" t="s">
        <v>178</v>
      </c>
      <c r="V1983" s="16">
        <f t="shared" si="412"/>
        <v>25658.215499999998</v>
      </c>
      <c r="W1983" s="16">
        <f t="shared" si="413"/>
        <v>2565.8215500000001</v>
      </c>
      <c r="X1983" s="16">
        <f t="shared" si="414"/>
        <v>28224.037049999999</v>
      </c>
      <c r="Y1983" s="16">
        <f t="shared" si="415"/>
        <v>58.800077187500001</v>
      </c>
      <c r="Z1983" s="16">
        <f t="shared" si="416"/>
        <v>712.72820833333333</v>
      </c>
      <c r="AA1983" s="17">
        <f t="shared" si="417"/>
        <v>480</v>
      </c>
      <c r="AB1983" s="10">
        <v>70.559999999999988</v>
      </c>
      <c r="AC1983" s="18">
        <f t="shared" si="418"/>
        <v>4148.933446349999</v>
      </c>
      <c r="AD1983" s="12">
        <f t="shared" si="411"/>
        <v>81.407999999999987</v>
      </c>
      <c r="AE1983" s="13">
        <f t="shared" si="419"/>
        <v>398.59199999999998</v>
      </c>
    </row>
    <row r="1984" spans="1:31">
      <c r="A1984" s="6">
        <v>21</v>
      </c>
      <c r="B1984" s="6">
        <v>78</v>
      </c>
      <c r="C1984" s="6" t="str">
        <f t="shared" si="410"/>
        <v>597509900AWEBBING, COATING, P70007 P7000783000802453942600</v>
      </c>
      <c r="D1984" s="26" t="s">
        <v>455</v>
      </c>
      <c r="E1984" s="6" t="s">
        <v>483</v>
      </c>
      <c r="F1984" s="6"/>
      <c r="G1984" s="7" t="s">
        <v>415</v>
      </c>
      <c r="H1984" s="19"/>
      <c r="I1984" s="19"/>
      <c r="J1984" s="19"/>
      <c r="K1984" s="19"/>
      <c r="L1984" s="14">
        <v>3000802</v>
      </c>
      <c r="M1984" s="22">
        <v>45394</v>
      </c>
      <c r="N1984" s="19" t="s">
        <v>185</v>
      </c>
      <c r="O1984" s="19" t="s">
        <v>337</v>
      </c>
      <c r="P1984" s="15">
        <v>2600</v>
      </c>
      <c r="Q1984" s="15">
        <v>955383.72</v>
      </c>
      <c r="R1984" s="15">
        <v>38099190</v>
      </c>
      <c r="S1984" s="15">
        <v>7.5</v>
      </c>
      <c r="T1984" s="19" t="s">
        <v>430</v>
      </c>
      <c r="U1984" s="19" t="s">
        <v>178</v>
      </c>
      <c r="V1984" s="16">
        <f t="shared" si="412"/>
        <v>71653.778999999995</v>
      </c>
      <c r="W1984" s="16">
        <f t="shared" si="413"/>
        <v>7165.3778999999995</v>
      </c>
      <c r="X1984" s="16">
        <f t="shared" si="414"/>
        <v>78819.156900000002</v>
      </c>
      <c r="Y1984" s="16">
        <f t="shared" si="415"/>
        <v>30.315060346153846</v>
      </c>
      <c r="Z1984" s="16">
        <f t="shared" si="416"/>
        <v>367.45527692307689</v>
      </c>
      <c r="AA1984" s="17">
        <f t="shared" si="417"/>
        <v>2600</v>
      </c>
      <c r="AB1984" s="10">
        <v>779.32000800000003</v>
      </c>
      <c r="AC1984" s="18">
        <f t="shared" si="418"/>
        <v>23625.133071485099</v>
      </c>
      <c r="AD1984" s="12">
        <f t="shared" si="411"/>
        <v>812.46400800000004</v>
      </c>
      <c r="AE1984" s="13">
        <f t="shared" si="419"/>
        <v>1787.5359920000001</v>
      </c>
    </row>
    <row r="1985" spans="1:31">
      <c r="A1985" s="6">
        <v>21</v>
      </c>
      <c r="B1985" s="6">
        <v>79</v>
      </c>
      <c r="C1985" s="6" t="str">
        <f t="shared" si="410"/>
        <v>597510100AWEBBING, COATING, P70014 P700146300080245394115</v>
      </c>
      <c r="D1985" s="26" t="s">
        <v>455</v>
      </c>
      <c r="E1985" s="6" t="s">
        <v>485</v>
      </c>
      <c r="F1985" s="6"/>
      <c r="G1985" s="7" t="s">
        <v>416</v>
      </c>
      <c r="H1985" s="19"/>
      <c r="I1985" s="19"/>
      <c r="J1985" s="19"/>
      <c r="K1985" s="19"/>
      <c r="L1985" s="14">
        <v>3000802</v>
      </c>
      <c r="M1985" s="22">
        <v>45394</v>
      </c>
      <c r="N1985" s="19" t="s">
        <v>185</v>
      </c>
      <c r="O1985" s="19" t="s">
        <v>337</v>
      </c>
      <c r="P1985" s="15">
        <v>115</v>
      </c>
      <c r="Q1985" s="15">
        <v>26840.63</v>
      </c>
      <c r="R1985" s="15">
        <v>38099190</v>
      </c>
      <c r="S1985" s="15">
        <v>7.5</v>
      </c>
      <c r="T1985" s="19" t="s">
        <v>430</v>
      </c>
      <c r="U1985" s="19" t="s">
        <v>178</v>
      </c>
      <c r="V1985" s="16">
        <f t="shared" si="412"/>
        <v>2013.0472500000001</v>
      </c>
      <c r="W1985" s="16">
        <f t="shared" si="413"/>
        <v>201.30472500000002</v>
      </c>
      <c r="X1985" s="16">
        <f t="shared" si="414"/>
        <v>2214.351975</v>
      </c>
      <c r="Y1985" s="16">
        <f t="shared" si="415"/>
        <v>19.255234565217393</v>
      </c>
      <c r="Z1985" s="16">
        <f t="shared" si="416"/>
        <v>233.39678260869567</v>
      </c>
      <c r="AA1985" s="17">
        <f t="shared" si="417"/>
        <v>115</v>
      </c>
      <c r="AB1985" s="10">
        <v>14.277600000000001</v>
      </c>
      <c r="AC1985" s="18">
        <f t="shared" si="418"/>
        <v>274.91853702834788</v>
      </c>
      <c r="AD1985" s="12">
        <f t="shared" si="411"/>
        <v>16.701600000000003</v>
      </c>
      <c r="AE1985" s="13">
        <f t="shared" si="419"/>
        <v>98.298400000000001</v>
      </c>
    </row>
    <row r="1986" spans="1:31">
      <c r="A1986" s="6">
        <v>21</v>
      </c>
      <c r="B1986" s="6">
        <v>80</v>
      </c>
      <c r="C1986" s="6" t="str">
        <f t="shared" ref="C1986:C2000" si="420">E1986&amp;G1986&amp;L1986&amp;M1986&amp;P1986</f>
        <v>630771800AWEBBING, COATING,P170036300080245394240</v>
      </c>
      <c r="D1986" s="26" t="s">
        <v>455</v>
      </c>
      <c r="E1986" s="6" t="s">
        <v>494</v>
      </c>
      <c r="F1986" s="6"/>
      <c r="G1986" s="7" t="s">
        <v>456</v>
      </c>
      <c r="H1986" s="19"/>
      <c r="I1986" s="19"/>
      <c r="J1986" s="19"/>
      <c r="K1986" s="19"/>
      <c r="L1986" s="14">
        <v>3000802</v>
      </c>
      <c r="M1986" s="22">
        <v>45394</v>
      </c>
      <c r="N1986" s="19" t="s">
        <v>185</v>
      </c>
      <c r="O1986" s="19" t="s">
        <v>337</v>
      </c>
      <c r="P1986" s="15">
        <v>240</v>
      </c>
      <c r="Q1986" s="15">
        <v>108095.51</v>
      </c>
      <c r="R1986" s="15">
        <v>38099190</v>
      </c>
      <c r="S1986" s="15">
        <v>7.5</v>
      </c>
      <c r="T1986" s="19" t="s">
        <v>430</v>
      </c>
      <c r="U1986" s="19" t="s">
        <v>178</v>
      </c>
      <c r="V1986" s="16">
        <f t="shared" si="412"/>
        <v>8107.1632499999996</v>
      </c>
      <c r="W1986" s="16">
        <f t="shared" si="413"/>
        <v>810.71632499999998</v>
      </c>
      <c r="X1986" s="16">
        <f t="shared" si="414"/>
        <v>8917.879574999999</v>
      </c>
      <c r="Y1986" s="16">
        <f t="shared" si="415"/>
        <v>37.157831562499993</v>
      </c>
      <c r="Z1986" s="16">
        <f t="shared" si="416"/>
        <v>450.39795833333329</v>
      </c>
      <c r="AA1986" s="17">
        <f t="shared" si="417"/>
        <v>240</v>
      </c>
      <c r="AB1986" s="10">
        <v>62.217768000000007</v>
      </c>
      <c r="AC1986" s="18">
        <f t="shared" si="418"/>
        <v>2311.8773435387025</v>
      </c>
      <c r="AD1986" s="12">
        <f t="shared" si="411"/>
        <v>62.217768000000007</v>
      </c>
      <c r="AE1986" s="13">
        <f t="shared" si="419"/>
        <v>177.78223199999999</v>
      </c>
    </row>
    <row r="1987" spans="1:31">
      <c r="A1987" s="6">
        <v>21</v>
      </c>
      <c r="B1987" s="6">
        <v>81</v>
      </c>
      <c r="C1987" s="6" t="str">
        <f t="shared" si="420"/>
        <v>597510000BWEBBING, COATING,P3225503000802453942880</v>
      </c>
      <c r="D1987" s="26" t="s">
        <v>455</v>
      </c>
      <c r="E1987" s="6" t="s">
        <v>484</v>
      </c>
      <c r="F1987" s="6"/>
      <c r="G1987" s="7" t="s">
        <v>444</v>
      </c>
      <c r="H1987" s="19"/>
      <c r="I1987" s="19"/>
      <c r="J1987" s="19"/>
      <c r="K1987" s="19"/>
      <c r="L1987" s="14">
        <v>3000802</v>
      </c>
      <c r="M1987" s="22">
        <v>45394</v>
      </c>
      <c r="N1987" s="19" t="s">
        <v>185</v>
      </c>
      <c r="O1987" s="19" t="s">
        <v>337</v>
      </c>
      <c r="P1987" s="15">
        <v>2880</v>
      </c>
      <c r="Q1987" s="15">
        <v>922168.08</v>
      </c>
      <c r="R1987" s="15">
        <v>38099190</v>
      </c>
      <c r="S1987" s="15">
        <v>7.5</v>
      </c>
      <c r="T1987" s="19" t="s">
        <v>430</v>
      </c>
      <c r="U1987" s="19" t="s">
        <v>178</v>
      </c>
      <c r="V1987" s="16">
        <f t="shared" si="412"/>
        <v>69162.606</v>
      </c>
      <c r="W1987" s="16">
        <f t="shared" si="413"/>
        <v>6916.2606000000005</v>
      </c>
      <c r="X1987" s="16">
        <f t="shared" si="414"/>
        <v>76078.866599999994</v>
      </c>
      <c r="Y1987" s="16">
        <f t="shared" si="415"/>
        <v>26.416273124999996</v>
      </c>
      <c r="Z1987" s="16">
        <f t="shared" si="416"/>
        <v>320.19725</v>
      </c>
      <c r="AA1987" s="17">
        <f t="shared" si="417"/>
        <v>2880</v>
      </c>
      <c r="AB1987" s="10">
        <v>912.09777600000007</v>
      </c>
      <c r="AC1987" s="18">
        <f t="shared" si="418"/>
        <v>24094.223967521069</v>
      </c>
      <c r="AD1987" s="12">
        <f t="shared" si="411"/>
        <v>956.68977600000005</v>
      </c>
      <c r="AE1987" s="13">
        <f t="shared" si="419"/>
        <v>1923.3102239999998</v>
      </c>
    </row>
    <row r="1988" spans="1:31">
      <c r="A1988" s="6">
        <v>21</v>
      </c>
      <c r="B1988" s="6">
        <v>82</v>
      </c>
      <c r="C1988" s="6" t="str">
        <f t="shared" si="420"/>
        <v>630770900AWEBBING, COATING,P609705300080245394960</v>
      </c>
      <c r="D1988" s="26" t="s">
        <v>455</v>
      </c>
      <c r="E1988" s="6" t="s">
        <v>495</v>
      </c>
      <c r="F1988" s="6"/>
      <c r="G1988" s="7" t="s">
        <v>457</v>
      </c>
      <c r="H1988" s="19"/>
      <c r="I1988" s="19"/>
      <c r="J1988" s="19"/>
      <c r="K1988" s="19"/>
      <c r="L1988" s="14">
        <v>3000802</v>
      </c>
      <c r="M1988" s="22">
        <v>45394</v>
      </c>
      <c r="N1988" s="19" t="s">
        <v>185</v>
      </c>
      <c r="O1988" s="19" t="s">
        <v>337</v>
      </c>
      <c r="P1988" s="15">
        <v>960</v>
      </c>
      <c r="Q1988" s="15">
        <v>384236.7</v>
      </c>
      <c r="R1988" s="15">
        <v>38099190</v>
      </c>
      <c r="S1988" s="15">
        <v>7.5</v>
      </c>
      <c r="T1988" s="19" t="s">
        <v>430</v>
      </c>
      <c r="U1988" s="19" t="s">
        <v>178</v>
      </c>
      <c r="V1988" s="16">
        <f t="shared" si="412"/>
        <v>28817.752499999999</v>
      </c>
      <c r="W1988" s="16">
        <f t="shared" si="413"/>
        <v>2881.7752500000001</v>
      </c>
      <c r="X1988" s="16">
        <f t="shared" si="414"/>
        <v>31699.527749999997</v>
      </c>
      <c r="Y1988" s="16">
        <f t="shared" si="415"/>
        <v>33.020341406249997</v>
      </c>
      <c r="Z1988" s="16">
        <f t="shared" si="416"/>
        <v>400.24656250000004</v>
      </c>
      <c r="AA1988" s="17">
        <f t="shared" si="417"/>
        <v>960</v>
      </c>
      <c r="AB1988" s="10">
        <v>629.85777600000006</v>
      </c>
      <c r="AC1988" s="18">
        <f t="shared" si="418"/>
        <v>20798.118800901339</v>
      </c>
      <c r="AD1988" s="12">
        <f t="shared" si="411"/>
        <v>629.85777600000006</v>
      </c>
      <c r="AE1988" s="13">
        <f t="shared" si="419"/>
        <v>330.14222399999994</v>
      </c>
    </row>
    <row r="1989" spans="1:31">
      <c r="A1989" s="6">
        <v>21</v>
      </c>
      <c r="B1989" s="6">
        <v>83</v>
      </c>
      <c r="C1989" s="6" t="str">
        <f t="shared" si="420"/>
        <v>623642117AWEBBING, YARN PET, HYOSU VIETNAM, 1100 DTEX, F96,54759834554220592</v>
      </c>
      <c r="D1989" s="26" t="s">
        <v>455</v>
      </c>
      <c r="E1989" s="6" t="s">
        <v>496</v>
      </c>
      <c r="F1989" s="6"/>
      <c r="G1989" s="7" t="s">
        <v>458</v>
      </c>
      <c r="H1989" s="19"/>
      <c r="I1989" s="19"/>
      <c r="J1989" s="19"/>
      <c r="K1989" s="19"/>
      <c r="L1989" s="14">
        <v>5475983</v>
      </c>
      <c r="M1989" s="22">
        <v>45542</v>
      </c>
      <c r="N1989" s="19" t="s">
        <v>185</v>
      </c>
      <c r="O1989" s="19" t="s">
        <v>337</v>
      </c>
      <c r="P1989" s="15">
        <v>20592</v>
      </c>
      <c r="Q1989" s="15">
        <v>3216799.87</v>
      </c>
      <c r="R1989" s="15">
        <v>54022090</v>
      </c>
      <c r="S1989" s="15">
        <v>5</v>
      </c>
      <c r="T1989" s="19" t="s">
        <v>464</v>
      </c>
      <c r="U1989" s="19" t="s">
        <v>178</v>
      </c>
      <c r="V1989" s="16">
        <f t="shared" si="412"/>
        <v>160839.99350000001</v>
      </c>
      <c r="W1989" s="16">
        <f t="shared" si="413"/>
        <v>16083.999350000002</v>
      </c>
      <c r="X1989" s="16">
        <f t="shared" si="414"/>
        <v>176923.99285000001</v>
      </c>
      <c r="Y1989" s="16">
        <f t="shared" si="415"/>
        <v>8.5918799946581199</v>
      </c>
      <c r="Z1989" s="16">
        <f t="shared" si="416"/>
        <v>156.2159999028749</v>
      </c>
      <c r="AA1989" s="17">
        <f t="shared" si="417"/>
        <v>20592</v>
      </c>
      <c r="AB1989" s="10">
        <v>11730</v>
      </c>
      <c r="AC1989" s="18">
        <f t="shared" si="418"/>
        <v>100782.75233733974</v>
      </c>
      <c r="AD1989" s="12">
        <f t="shared" si="411"/>
        <v>11730</v>
      </c>
      <c r="AE1989" s="13">
        <f t="shared" si="419"/>
        <v>8862</v>
      </c>
    </row>
    <row r="1990" spans="1:31">
      <c r="A1990" s="6">
        <v>21</v>
      </c>
      <c r="B1990" s="6">
        <v>84</v>
      </c>
      <c r="C1990" s="6" t="str">
        <f t="shared" si="420"/>
        <v>640839400AWEBBING, YARN, PET, OTIZ 575 DTEX, F97, Z130, WHI626703045082480</v>
      </c>
      <c r="D1990" s="26" t="s">
        <v>455</v>
      </c>
      <c r="E1990" s="6" t="s">
        <v>489</v>
      </c>
      <c r="F1990" s="6"/>
      <c r="G1990" s="7" t="s">
        <v>420</v>
      </c>
      <c r="H1990" s="19"/>
      <c r="I1990" s="19"/>
      <c r="J1990" s="19"/>
      <c r="K1990" s="19"/>
      <c r="L1990" s="14">
        <v>6267030</v>
      </c>
      <c r="M1990" s="22">
        <v>45082</v>
      </c>
      <c r="N1990" s="19" t="s">
        <v>185</v>
      </c>
      <c r="O1990" s="19" t="s">
        <v>337</v>
      </c>
      <c r="P1990" s="15">
        <v>480</v>
      </c>
      <c r="Q1990" s="15">
        <v>394315.2</v>
      </c>
      <c r="R1990" s="15">
        <v>54022090</v>
      </c>
      <c r="S1990" s="15">
        <v>5</v>
      </c>
      <c r="T1990" s="19" t="s">
        <v>434</v>
      </c>
      <c r="U1990" s="19" t="s">
        <v>178</v>
      </c>
      <c r="V1990" s="16">
        <f t="shared" si="412"/>
        <v>19715.760000000002</v>
      </c>
      <c r="W1990" s="16">
        <f t="shared" si="413"/>
        <v>1971.5760000000002</v>
      </c>
      <c r="X1990" s="16">
        <f t="shared" si="414"/>
        <v>21687.336000000003</v>
      </c>
      <c r="Y1990" s="16">
        <f t="shared" si="415"/>
        <v>45.181950000000008</v>
      </c>
      <c r="Z1990" s="16">
        <f t="shared" si="416"/>
        <v>821.49</v>
      </c>
      <c r="AA1990" s="17">
        <f t="shared" si="417"/>
        <v>480</v>
      </c>
      <c r="AB1990" s="10">
        <v>0.72</v>
      </c>
      <c r="AC1990" s="18">
        <f t="shared" si="418"/>
        <v>32.531004000000003</v>
      </c>
      <c r="AD1990" s="12">
        <f t="shared" si="411"/>
        <v>5.04</v>
      </c>
      <c r="AE1990" s="13">
        <f t="shared" si="419"/>
        <v>474.96</v>
      </c>
    </row>
    <row r="1991" spans="1:31">
      <c r="A1991" s="6">
        <v>21</v>
      </c>
      <c r="B1991" s="6">
        <v>85</v>
      </c>
      <c r="C1991" s="6" t="str">
        <f t="shared" si="420"/>
        <v>623851800AWEBBING,YARN,PET,Hyosung 830, F96, V0, White62972374508458320</v>
      </c>
      <c r="D1991" s="26" t="s">
        <v>455</v>
      </c>
      <c r="E1991" s="6" t="s">
        <v>490</v>
      </c>
      <c r="F1991" s="6"/>
      <c r="G1991" s="7" t="s">
        <v>421</v>
      </c>
      <c r="H1991" s="19"/>
      <c r="I1991" s="19"/>
      <c r="J1991" s="19"/>
      <c r="K1991" s="19"/>
      <c r="L1991" s="14">
        <v>6297237</v>
      </c>
      <c r="M1991" s="22">
        <v>45084</v>
      </c>
      <c r="N1991" s="19" t="s">
        <v>185</v>
      </c>
      <c r="O1991" s="19" t="s">
        <v>337</v>
      </c>
      <c r="P1991" s="15">
        <v>58320</v>
      </c>
      <c r="Q1991" s="15">
        <v>9290026.0800000001</v>
      </c>
      <c r="R1991" s="15">
        <v>54022090</v>
      </c>
      <c r="S1991" s="15">
        <v>5</v>
      </c>
      <c r="T1991" s="19" t="s">
        <v>435</v>
      </c>
      <c r="U1991" s="19" t="s">
        <v>178</v>
      </c>
      <c r="V1991" s="16">
        <f t="shared" si="412"/>
        <v>464501.304</v>
      </c>
      <c r="W1991" s="16">
        <f t="shared" si="413"/>
        <v>46450.130400000002</v>
      </c>
      <c r="X1991" s="16">
        <f t="shared" si="414"/>
        <v>510951.43440000003</v>
      </c>
      <c r="Y1991" s="16">
        <f t="shared" si="415"/>
        <v>8.7611699999999999</v>
      </c>
      <c r="Z1991" s="16">
        <f t="shared" si="416"/>
        <v>159.29400000000001</v>
      </c>
      <c r="AA1991" s="17">
        <f t="shared" si="417"/>
        <v>58320</v>
      </c>
      <c r="AB1991" s="10">
        <v>69.48</v>
      </c>
      <c r="AC1991" s="18">
        <f t="shared" si="418"/>
        <v>608.72609160000002</v>
      </c>
      <c r="AD1991" s="12">
        <f t="shared" si="411"/>
        <v>486.36</v>
      </c>
      <c r="AE1991" s="13">
        <f t="shared" si="419"/>
        <v>57833.64</v>
      </c>
    </row>
    <row r="1992" spans="1:31">
      <c r="A1992" s="6">
        <v>21</v>
      </c>
      <c r="B1992" s="6">
        <v>86</v>
      </c>
      <c r="C1992" s="6" t="str">
        <f t="shared" si="420"/>
        <v>666794000AYarn for Webbing, PET, INDORAMA3991984454577560</v>
      </c>
      <c r="D1992" s="26" t="s">
        <v>455</v>
      </c>
      <c r="E1992" s="6" t="s">
        <v>497</v>
      </c>
      <c r="F1992" s="6"/>
      <c r="G1992" s="7" t="s">
        <v>466</v>
      </c>
      <c r="H1992" s="19"/>
      <c r="I1992" s="19"/>
      <c r="J1992" s="19"/>
      <c r="K1992" s="19"/>
      <c r="L1992" s="14">
        <v>3991984</v>
      </c>
      <c r="M1992" s="22">
        <v>45457</v>
      </c>
      <c r="N1992" s="19" t="s">
        <v>197</v>
      </c>
      <c r="O1992" s="19" t="s">
        <v>337</v>
      </c>
      <c r="P1992" s="15">
        <v>7560</v>
      </c>
      <c r="Q1992" s="15">
        <v>1224636.44</v>
      </c>
      <c r="R1992" s="15">
        <v>54025290</v>
      </c>
      <c r="S1992" s="15">
        <v>5</v>
      </c>
      <c r="T1992" s="19" t="s">
        <v>433</v>
      </c>
      <c r="U1992" s="19" t="s">
        <v>178</v>
      </c>
      <c r="V1992" s="16">
        <f t="shared" si="412"/>
        <v>61231.822</v>
      </c>
      <c r="W1992" s="16">
        <f t="shared" si="413"/>
        <v>6123.1822000000002</v>
      </c>
      <c r="X1992" s="16">
        <f t="shared" si="414"/>
        <v>67355.004199999996</v>
      </c>
      <c r="Y1992" s="16">
        <f t="shared" si="415"/>
        <v>8.9093920899470902</v>
      </c>
      <c r="Z1992" s="16">
        <f t="shared" si="416"/>
        <v>161.98894708994709</v>
      </c>
      <c r="AA1992" s="17">
        <f t="shared" si="417"/>
        <v>7560</v>
      </c>
      <c r="AB1992" s="10">
        <v>31.538399999999999</v>
      </c>
      <c r="AC1992" s="18">
        <f t="shared" si="418"/>
        <v>280.98797148958732</v>
      </c>
      <c r="AD1992" s="12">
        <f t="shared" si="411"/>
        <v>31.538399999999999</v>
      </c>
      <c r="AE1992" s="13">
        <f t="shared" si="419"/>
        <v>7528.4615999999996</v>
      </c>
    </row>
    <row r="1993" spans="1:31">
      <c r="A1993" s="6">
        <v>21</v>
      </c>
      <c r="B1993" s="6">
        <v>87</v>
      </c>
      <c r="C1993" s="6" t="str">
        <f t="shared" si="420"/>
        <v>625236508AYarn for Webbing, PET, H Hyosung Vietnam, 1670 dt56599394555320592</v>
      </c>
      <c r="D1993" s="26" t="s">
        <v>455</v>
      </c>
      <c r="E1993" s="6" t="s">
        <v>498</v>
      </c>
      <c r="F1993" s="6"/>
      <c r="G1993" s="7" t="s">
        <v>459</v>
      </c>
      <c r="H1993" s="19"/>
      <c r="I1993" s="19"/>
      <c r="J1993" s="19"/>
      <c r="K1993" s="19"/>
      <c r="L1993" s="14">
        <v>5659939</v>
      </c>
      <c r="M1993" s="22">
        <v>45553</v>
      </c>
      <c r="N1993" s="19" t="s">
        <v>185</v>
      </c>
      <c r="O1993" s="19" t="s">
        <v>337</v>
      </c>
      <c r="P1993" s="15">
        <v>20592</v>
      </c>
      <c r="Q1993" s="15">
        <v>3059456.4</v>
      </c>
      <c r="R1993" s="15">
        <v>54022090</v>
      </c>
      <c r="S1993" s="15">
        <v>5</v>
      </c>
      <c r="T1993" s="19" t="s">
        <v>464</v>
      </c>
      <c r="U1993" s="19" t="s">
        <v>178</v>
      </c>
      <c r="V1993" s="16">
        <f t="shared" si="412"/>
        <v>152972.82</v>
      </c>
      <c r="W1993" s="16">
        <f t="shared" si="413"/>
        <v>15297.282000000001</v>
      </c>
      <c r="X1993" s="16">
        <f t="shared" si="414"/>
        <v>168270.10200000001</v>
      </c>
      <c r="Y1993" s="16">
        <f t="shared" si="415"/>
        <v>8.1716250000000006</v>
      </c>
      <c r="Z1993" s="16">
        <f t="shared" si="416"/>
        <v>148.57499999999999</v>
      </c>
      <c r="AA1993" s="17">
        <f t="shared" si="417"/>
        <v>20592</v>
      </c>
      <c r="AB1993" s="10">
        <v>20592</v>
      </c>
      <c r="AC1993" s="18">
        <f t="shared" si="418"/>
        <v>168270.10200000001</v>
      </c>
      <c r="AD1993" s="12">
        <f t="shared" si="411"/>
        <v>20592</v>
      </c>
      <c r="AE1993" s="13">
        <f t="shared" si="419"/>
        <v>0</v>
      </c>
    </row>
    <row r="1994" spans="1:31">
      <c r="A1994" s="6">
        <v>21</v>
      </c>
      <c r="B1994" s="6">
        <v>88</v>
      </c>
      <c r="C1994" s="6" t="str">
        <f t="shared" si="420"/>
        <v>625236508AYarn for Webbing, PET, H Hyosung Vietnam, 1670 dt60247274557420592</v>
      </c>
      <c r="D1994" s="26" t="s">
        <v>455</v>
      </c>
      <c r="E1994" s="6" t="s">
        <v>498</v>
      </c>
      <c r="F1994" s="6"/>
      <c r="G1994" s="7" t="s">
        <v>459</v>
      </c>
      <c r="H1994" s="19"/>
      <c r="I1994" s="19"/>
      <c r="J1994" s="19"/>
      <c r="K1994" s="19"/>
      <c r="L1994" s="14">
        <v>6024727</v>
      </c>
      <c r="M1994" s="22">
        <v>45574</v>
      </c>
      <c r="N1994" s="19" t="s">
        <v>185</v>
      </c>
      <c r="O1994" s="19" t="s">
        <v>337</v>
      </c>
      <c r="P1994" s="15">
        <v>20592</v>
      </c>
      <c r="Q1994" s="15">
        <v>3057654.6</v>
      </c>
      <c r="R1994" s="15">
        <v>54022090</v>
      </c>
      <c r="S1994" s="15">
        <v>5</v>
      </c>
      <c r="T1994" s="19" t="s">
        <v>464</v>
      </c>
      <c r="U1994" s="19" t="s">
        <v>178</v>
      </c>
      <c r="V1994" s="16">
        <f t="shared" si="412"/>
        <v>152882.73000000001</v>
      </c>
      <c r="W1994" s="16">
        <f t="shared" si="413"/>
        <v>15288.273000000001</v>
      </c>
      <c r="X1994" s="16">
        <f t="shared" si="414"/>
        <v>168171.00300000003</v>
      </c>
      <c r="Y1994" s="16">
        <f t="shared" si="415"/>
        <v>8.1668125000000007</v>
      </c>
      <c r="Z1994" s="16">
        <f t="shared" si="416"/>
        <v>148.48750000000001</v>
      </c>
      <c r="AA1994" s="17">
        <f t="shared" si="417"/>
        <v>20592</v>
      </c>
      <c r="AB1994" s="10">
        <v>20592</v>
      </c>
      <c r="AC1994" s="18">
        <f t="shared" si="418"/>
        <v>168171.00300000003</v>
      </c>
      <c r="AD1994" s="12">
        <f t="shared" si="411"/>
        <v>20592</v>
      </c>
      <c r="AE1994" s="13">
        <f t="shared" si="419"/>
        <v>0</v>
      </c>
    </row>
    <row r="1995" spans="1:31">
      <c r="A1995" s="6">
        <v>21</v>
      </c>
      <c r="B1995" s="6">
        <v>89</v>
      </c>
      <c r="C1995" s="6" t="str">
        <f t="shared" si="420"/>
        <v>625236508AYarn for Webbing, PET, H Hyosung Vietnam, 1670 dt60247254557420592</v>
      </c>
      <c r="D1995" s="26" t="s">
        <v>455</v>
      </c>
      <c r="E1995" s="6" t="s">
        <v>498</v>
      </c>
      <c r="F1995" s="6"/>
      <c r="G1995" s="7" t="s">
        <v>459</v>
      </c>
      <c r="H1995" s="19"/>
      <c r="I1995" s="19"/>
      <c r="J1995" s="19"/>
      <c r="K1995" s="19"/>
      <c r="L1995" s="14">
        <v>6024725</v>
      </c>
      <c r="M1995" s="22">
        <v>45574</v>
      </c>
      <c r="N1995" s="19" t="s">
        <v>185</v>
      </c>
      <c r="O1995" s="19" t="s">
        <v>337</v>
      </c>
      <c r="P1995" s="15">
        <v>20592</v>
      </c>
      <c r="Q1995" s="15">
        <v>3057654.6</v>
      </c>
      <c r="R1995" s="15">
        <v>54022090</v>
      </c>
      <c r="S1995" s="15">
        <v>5</v>
      </c>
      <c r="T1995" s="19" t="s">
        <v>464</v>
      </c>
      <c r="U1995" s="19" t="s">
        <v>178</v>
      </c>
      <c r="V1995" s="16">
        <f t="shared" si="412"/>
        <v>152882.73000000001</v>
      </c>
      <c r="W1995" s="16">
        <f t="shared" si="413"/>
        <v>15288.273000000001</v>
      </c>
      <c r="X1995" s="16">
        <f t="shared" si="414"/>
        <v>168171.00300000003</v>
      </c>
      <c r="Y1995" s="16">
        <f t="shared" si="415"/>
        <v>8.1668125000000007</v>
      </c>
      <c r="Z1995" s="16">
        <f t="shared" si="416"/>
        <v>148.48750000000001</v>
      </c>
      <c r="AA1995" s="17">
        <f t="shared" si="417"/>
        <v>20592</v>
      </c>
      <c r="AB1995" s="10">
        <v>20592</v>
      </c>
      <c r="AC1995" s="18">
        <f t="shared" si="418"/>
        <v>168171.00300000003</v>
      </c>
      <c r="AD1995" s="12">
        <f t="shared" si="411"/>
        <v>20592</v>
      </c>
      <c r="AE1995" s="13">
        <f t="shared" si="419"/>
        <v>0</v>
      </c>
    </row>
    <row r="1996" spans="1:31">
      <c r="A1996" s="6">
        <v>21</v>
      </c>
      <c r="B1996" s="6">
        <v>90</v>
      </c>
      <c r="C1996" s="6" t="str">
        <f t="shared" si="420"/>
        <v>625236508AYarn for Webbing, PET, H Hyosung Vietnam, 1670 dt60247244557420592</v>
      </c>
      <c r="D1996" s="26" t="s">
        <v>455</v>
      </c>
      <c r="E1996" s="6" t="s">
        <v>498</v>
      </c>
      <c r="F1996" s="6"/>
      <c r="G1996" s="7" t="s">
        <v>459</v>
      </c>
      <c r="H1996" s="19"/>
      <c r="I1996" s="19"/>
      <c r="J1996" s="19"/>
      <c r="K1996" s="19"/>
      <c r="L1996" s="14">
        <v>6024724</v>
      </c>
      <c r="M1996" s="22">
        <v>45574</v>
      </c>
      <c r="N1996" s="19" t="s">
        <v>185</v>
      </c>
      <c r="O1996" s="19" t="s">
        <v>337</v>
      </c>
      <c r="P1996" s="15">
        <v>20592</v>
      </c>
      <c r="Q1996" s="15">
        <v>3057654.6</v>
      </c>
      <c r="R1996" s="15">
        <v>54022090</v>
      </c>
      <c r="S1996" s="15">
        <v>5</v>
      </c>
      <c r="T1996" s="19" t="s">
        <v>464</v>
      </c>
      <c r="U1996" s="19" t="s">
        <v>178</v>
      </c>
      <c r="V1996" s="16">
        <f t="shared" si="412"/>
        <v>152882.73000000001</v>
      </c>
      <c r="W1996" s="16">
        <f t="shared" si="413"/>
        <v>15288.273000000001</v>
      </c>
      <c r="X1996" s="16">
        <f t="shared" si="414"/>
        <v>168171.00300000003</v>
      </c>
      <c r="Y1996" s="16">
        <f t="shared" si="415"/>
        <v>8.1668125000000007</v>
      </c>
      <c r="Z1996" s="16">
        <f t="shared" si="416"/>
        <v>148.48750000000001</v>
      </c>
      <c r="AA1996" s="17">
        <f t="shared" si="417"/>
        <v>20592</v>
      </c>
      <c r="AB1996" s="10">
        <v>20592</v>
      </c>
      <c r="AC1996" s="18">
        <f t="shared" si="418"/>
        <v>168171.00300000003</v>
      </c>
      <c r="AD1996" s="12">
        <f t="shared" si="411"/>
        <v>20592</v>
      </c>
      <c r="AE1996" s="13">
        <f t="shared" si="419"/>
        <v>0</v>
      </c>
    </row>
    <row r="1997" spans="1:31">
      <c r="A1997" s="6">
        <v>21</v>
      </c>
      <c r="B1997" s="6">
        <v>91</v>
      </c>
      <c r="C1997" s="6" t="str">
        <f t="shared" si="420"/>
        <v>625236508AYarn for Webbing, PET, H Hyosung Vietnam, 1670 dt65235064560220592</v>
      </c>
      <c r="D1997" s="26" t="s">
        <v>455</v>
      </c>
      <c r="E1997" s="6" t="s">
        <v>498</v>
      </c>
      <c r="F1997" s="6"/>
      <c r="G1997" s="7" t="s">
        <v>459</v>
      </c>
      <c r="H1997" s="19"/>
      <c r="I1997" s="19"/>
      <c r="J1997" s="19"/>
      <c r="K1997" s="19"/>
      <c r="L1997" s="14">
        <v>6523506</v>
      </c>
      <c r="M1997" s="22">
        <v>45602</v>
      </c>
      <c r="N1997" s="19" t="s">
        <v>185</v>
      </c>
      <c r="O1997" s="19" t="s">
        <v>337</v>
      </c>
      <c r="P1997" s="15">
        <v>20592</v>
      </c>
      <c r="Q1997" s="15">
        <v>3218694.34</v>
      </c>
      <c r="R1997" s="15">
        <v>54022090</v>
      </c>
      <c r="S1997" s="15">
        <v>5</v>
      </c>
      <c r="T1997" s="19" t="s">
        <v>464</v>
      </c>
      <c r="U1997" s="19" t="s">
        <v>178</v>
      </c>
      <c r="V1997" s="16">
        <f t="shared" si="412"/>
        <v>160934.717</v>
      </c>
      <c r="W1997" s="16">
        <f t="shared" si="413"/>
        <v>16093.471700000002</v>
      </c>
      <c r="X1997" s="16">
        <f t="shared" si="414"/>
        <v>177028.1887</v>
      </c>
      <c r="Y1997" s="16">
        <f t="shared" si="415"/>
        <v>8.5969400106837615</v>
      </c>
      <c r="Z1997" s="16">
        <f t="shared" si="416"/>
        <v>156.30800019425018</v>
      </c>
      <c r="AA1997" s="17">
        <f t="shared" si="417"/>
        <v>20592</v>
      </c>
      <c r="AB1997" s="10">
        <v>20592</v>
      </c>
      <c r="AC1997" s="18">
        <f t="shared" si="418"/>
        <v>177028.18870000003</v>
      </c>
      <c r="AD1997" s="12">
        <f t="shared" si="411"/>
        <v>20592</v>
      </c>
      <c r="AE1997" s="13">
        <f t="shared" si="419"/>
        <v>0</v>
      </c>
    </row>
    <row r="1998" spans="1:31">
      <c r="A1998" s="6">
        <v>21</v>
      </c>
      <c r="B1998" s="6">
        <v>92</v>
      </c>
      <c r="C1998" s="6" t="str">
        <f t="shared" si="420"/>
        <v>625236508AYarn for Webbing, PET, H Hyosung Vietnam, 1670 dt65234984560220592</v>
      </c>
      <c r="D1998" s="26" t="s">
        <v>455</v>
      </c>
      <c r="E1998" s="6" t="s">
        <v>498</v>
      </c>
      <c r="F1998" s="6"/>
      <c r="G1998" s="7" t="s">
        <v>459</v>
      </c>
      <c r="H1998" s="19"/>
      <c r="I1998" s="19"/>
      <c r="J1998" s="19"/>
      <c r="K1998" s="19"/>
      <c r="L1998" s="14">
        <v>6523498</v>
      </c>
      <c r="M1998" s="22">
        <v>45602</v>
      </c>
      <c r="N1998" s="19" t="s">
        <v>185</v>
      </c>
      <c r="O1998" s="19" t="s">
        <v>337</v>
      </c>
      <c r="P1998" s="15">
        <v>20592</v>
      </c>
      <c r="Q1998" s="15">
        <v>3218694.34</v>
      </c>
      <c r="R1998" s="15">
        <v>54022090</v>
      </c>
      <c r="S1998" s="15">
        <v>5</v>
      </c>
      <c r="T1998" s="19" t="s">
        <v>464</v>
      </c>
      <c r="U1998" s="19" t="s">
        <v>178</v>
      </c>
      <c r="V1998" s="16">
        <f t="shared" si="412"/>
        <v>160934.717</v>
      </c>
      <c r="W1998" s="16">
        <f t="shared" si="413"/>
        <v>16093.471700000002</v>
      </c>
      <c r="X1998" s="16">
        <f t="shared" si="414"/>
        <v>177028.1887</v>
      </c>
      <c r="Y1998" s="16">
        <f t="shared" si="415"/>
        <v>8.5969400106837615</v>
      </c>
      <c r="Z1998" s="16">
        <f t="shared" si="416"/>
        <v>156.30800019425018</v>
      </c>
      <c r="AA1998" s="17">
        <f t="shared" si="417"/>
        <v>20592</v>
      </c>
      <c r="AB1998" s="10">
        <v>17868.22</v>
      </c>
      <c r="AC1998" s="18">
        <f t="shared" si="418"/>
        <v>153612.0154376998</v>
      </c>
      <c r="AD1998" s="12">
        <f t="shared" si="411"/>
        <v>17868.22</v>
      </c>
      <c r="AE1998" s="13">
        <f t="shared" si="419"/>
        <v>2723.7799999999988</v>
      </c>
    </row>
    <row r="1999" spans="1:31">
      <c r="A1999" s="6">
        <v>21</v>
      </c>
      <c r="B1999" s="6">
        <v>93</v>
      </c>
      <c r="C1999" s="6" t="str">
        <f t="shared" si="420"/>
        <v>623851805AYarn for Webbing, PET, H Hyosung Vietnam, 830 dte52901574553220400</v>
      </c>
      <c r="D1999" s="26" t="s">
        <v>455</v>
      </c>
      <c r="E1999" s="6" t="s">
        <v>499</v>
      </c>
      <c r="F1999" s="6"/>
      <c r="G1999" s="7" t="s">
        <v>460</v>
      </c>
      <c r="H1999" s="19"/>
      <c r="I1999" s="19"/>
      <c r="J1999" s="19"/>
      <c r="K1999" s="19"/>
      <c r="L1999" s="14">
        <v>5290157</v>
      </c>
      <c r="M1999" s="22">
        <v>45532</v>
      </c>
      <c r="N1999" s="19" t="s">
        <v>185</v>
      </c>
      <c r="O1999" s="19" t="s">
        <v>337</v>
      </c>
      <c r="P1999" s="15">
        <v>20400</v>
      </c>
      <c r="Q1999" s="15">
        <v>3998471.4</v>
      </c>
      <c r="R1999" s="15">
        <v>54022090</v>
      </c>
      <c r="S1999" s="15">
        <v>5</v>
      </c>
      <c r="T1999" s="19" t="s">
        <v>464</v>
      </c>
      <c r="U1999" s="19" t="s">
        <v>178</v>
      </c>
      <c r="V1999" s="16">
        <f t="shared" si="412"/>
        <v>199923.57</v>
      </c>
      <c r="W1999" s="16">
        <f t="shared" si="413"/>
        <v>19992.357000000004</v>
      </c>
      <c r="X1999" s="16">
        <f t="shared" si="414"/>
        <v>219915.92700000003</v>
      </c>
      <c r="Y1999" s="16">
        <f t="shared" si="415"/>
        <v>10.780192500000002</v>
      </c>
      <c r="Z1999" s="16">
        <f t="shared" si="416"/>
        <v>196.0035</v>
      </c>
      <c r="AA1999" s="17">
        <f t="shared" si="417"/>
        <v>20400</v>
      </c>
      <c r="AB1999" s="10">
        <v>15184.547999999999</v>
      </c>
      <c r="AC1999" s="18">
        <f t="shared" si="418"/>
        <v>163692.35046549002</v>
      </c>
      <c r="AD1999" s="12">
        <f t="shared" si="411"/>
        <v>15184.547999999999</v>
      </c>
      <c r="AE1999" s="13">
        <f t="shared" si="419"/>
        <v>5215.4520000000011</v>
      </c>
    </row>
    <row r="2000" spans="1:31">
      <c r="A2000" s="6">
        <v>21</v>
      </c>
      <c r="B2000" s="6">
        <v>94</v>
      </c>
      <c r="C2000" s="6" t="str">
        <f t="shared" si="420"/>
        <v>621440100AYARN, PERFORMANCE 275DTE X/F35/Z60 WHITE375195845443880</v>
      </c>
      <c r="D2000" s="26" t="s">
        <v>455</v>
      </c>
      <c r="E2000" s="6" t="s">
        <v>500</v>
      </c>
      <c r="F2000" s="6"/>
      <c r="G2000" s="7" t="s">
        <v>461</v>
      </c>
      <c r="H2000" s="19"/>
      <c r="I2000" s="19"/>
      <c r="J2000" s="19"/>
      <c r="K2000" s="19"/>
      <c r="L2000" s="14">
        <v>3751958</v>
      </c>
      <c r="M2000" s="22">
        <v>45443</v>
      </c>
      <c r="N2000" s="19" t="s">
        <v>197</v>
      </c>
      <c r="O2000" s="19" t="s">
        <v>337</v>
      </c>
      <c r="P2000" s="15">
        <v>880</v>
      </c>
      <c r="Q2000" s="15">
        <v>283514.96000000002</v>
      </c>
      <c r="R2000" s="15">
        <v>54025290</v>
      </c>
      <c r="S2000" s="15">
        <v>5</v>
      </c>
      <c r="T2000" s="19" t="s">
        <v>432</v>
      </c>
      <c r="U2000" s="19" t="s">
        <v>200</v>
      </c>
      <c r="V2000" s="16">
        <f t="shared" si="412"/>
        <v>14175.748000000001</v>
      </c>
      <c r="W2000" s="16">
        <f t="shared" si="413"/>
        <v>1417.5748000000003</v>
      </c>
      <c r="X2000" s="16">
        <f t="shared" si="414"/>
        <v>15593.322800000002</v>
      </c>
      <c r="Y2000" s="16">
        <f t="shared" si="415"/>
        <v>17.719685000000002</v>
      </c>
      <c r="Z2000" s="16">
        <f t="shared" si="416"/>
        <v>322.17609090909093</v>
      </c>
      <c r="AA2000" s="17">
        <f t="shared" si="417"/>
        <v>880</v>
      </c>
      <c r="AB2000" s="10">
        <v>606.27599999999995</v>
      </c>
      <c r="AC2000" s="18">
        <f t="shared" si="418"/>
        <v>10743.01974306</v>
      </c>
      <c r="AD2000" s="12">
        <f t="shared" si="411"/>
        <v>606.27599999999995</v>
      </c>
      <c r="AE2000" s="13">
        <f t="shared" si="419"/>
        <v>273.72400000000005</v>
      </c>
    </row>
  </sheetData>
  <autoFilter ref="A1:AE2000" xr:uid="{0A347B2C-8486-4B3D-BD99-0CE29F7D3E88}"/>
  <conditionalFormatting sqref="AE1:AE2000">
    <cfRule type="cellIs" dxfId="0" priority="1" operator="lessThan">
      <formula>0</formula>
    </cfRule>
  </conditionalFormatting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43ba7a-86de-451a-87fb-27b9ccb4abc4}" enabled="0" method="" siteId="{9143ba7a-86de-451a-87fb-27b9ccb4abc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 Utilization from Apr 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Kelkar</dc:creator>
  <cp:lastModifiedBy>Sushant Atram</cp:lastModifiedBy>
  <dcterms:created xsi:type="dcterms:W3CDTF">2024-05-22T00:45:06Z</dcterms:created>
  <dcterms:modified xsi:type="dcterms:W3CDTF">2026-06-04T05:44:53Z</dcterms:modified>
</cp:coreProperties>
</file>